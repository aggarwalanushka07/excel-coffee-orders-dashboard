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FEEF3537-784C-42E5-8FF6-4336A6B1031B}" xr6:coauthVersionLast="47" xr6:coauthVersionMax="47" xr10:uidLastSave="{00000000-0000-0000-0000-000000000000}"/>
  <bookViews>
    <workbookView xWindow="-108" yWindow="-108" windowWidth="23256" windowHeight="12456" xr2:uid="{00000000-000D-0000-FFFF-FFFF00000000}"/>
  </bookViews>
  <sheets>
    <sheet name="DASHBOARD" sheetId="21" r:id="rId1"/>
    <sheet name="Total_sales" sheetId="18" r:id="rId2"/>
    <sheet name="Country bar chart" sheetId="19" r:id="rId3"/>
    <sheet name="Top 5 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iterateDelta="1E-4"/>
  <pivotCaches>
    <pivotCache cacheId="1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a="1"/>
  <c r="N3" i="17" s="1"/>
  <c r="J3" i="17"/>
  <c r="O3" i="17" s="1" a="1"/>
  <c r="O3" i="17" s="1"/>
  <c r="K3" i="17"/>
  <c r="L3" i="17"/>
  <c r="M3" i="17" s="1"/>
  <c r="I4" i="17"/>
  <c r="N4" i="17" s="1" a="1"/>
  <c r="N4" i="17" s="1"/>
  <c r="J4" i="17"/>
  <c r="O4" i="17" s="1" a="1"/>
  <c r="O4" i="17" s="1"/>
  <c r="K4" i="17"/>
  <c r="L4" i="17"/>
  <c r="M4" i="17" s="1"/>
  <c r="I5" i="17"/>
  <c r="N5" i="17" s="1" a="1"/>
  <c r="N5" i="17" s="1"/>
  <c r="J5" i="17"/>
  <c r="O5" i="17" s="1" a="1"/>
  <c r="O5" i="17" s="1"/>
  <c r="K5" i="17"/>
  <c r="L5" i="17"/>
  <c r="M5" i="17" s="1"/>
  <c r="I6" i="17"/>
  <c r="N6" i="17" s="1" a="1"/>
  <c r="N6" i="17" s="1"/>
  <c r="J6" i="17"/>
  <c r="O6" i="17" s="1" a="1"/>
  <c r="O6" i="17" s="1"/>
  <c r="K6" i="17"/>
  <c r="L6" i="17"/>
  <c r="M6" i="17" s="1"/>
  <c r="I7" i="17"/>
  <c r="N7" i="17" s="1" a="1"/>
  <c r="N7" i="17" s="1"/>
  <c r="J7" i="17"/>
  <c r="O7" i="17" s="1" a="1"/>
  <c r="O7" i="17" s="1"/>
  <c r="K7" i="17"/>
  <c r="L7" i="17"/>
  <c r="M7" i="17" s="1"/>
  <c r="I8" i="17"/>
  <c r="N8" i="17" s="1" a="1"/>
  <c r="N8" i="17" s="1"/>
  <c r="J8" i="17"/>
  <c r="O8" i="17" s="1" a="1"/>
  <c r="O8" i="17" s="1"/>
  <c r="K8" i="17"/>
  <c r="L8" i="17"/>
  <c r="M8" i="17" s="1"/>
  <c r="I9" i="17"/>
  <c r="N9" i="17" s="1" a="1"/>
  <c r="N9" i="17" s="1"/>
  <c r="J9" i="17"/>
  <c r="O9" i="17" s="1" a="1"/>
  <c r="O9" i="17" s="1"/>
  <c r="K9" i="17"/>
  <c r="L9" i="17"/>
  <c r="M9" i="17" s="1"/>
  <c r="I10" i="17"/>
  <c r="N10" i="17" s="1" a="1"/>
  <c r="N10" i="17" s="1"/>
  <c r="J10" i="17"/>
  <c r="O10" i="17" s="1" a="1"/>
  <c r="O10" i="17" s="1"/>
  <c r="K10" i="17"/>
  <c r="L10" i="17"/>
  <c r="M10" i="17" s="1"/>
  <c r="I11" i="17"/>
  <c r="N11" i="17" s="1" a="1"/>
  <c r="N11" i="17" s="1"/>
  <c r="J11" i="17"/>
  <c r="O11" i="17" s="1" a="1"/>
  <c r="O11" i="17" s="1"/>
  <c r="K11" i="17"/>
  <c r="L11" i="17"/>
  <c r="M11" i="17" s="1"/>
  <c r="I12" i="17"/>
  <c r="N12" i="17" s="1" a="1"/>
  <c r="N12" i="17" s="1"/>
  <c r="J12" i="17"/>
  <c r="O12" i="17" s="1" a="1"/>
  <c r="O12" i="17" s="1"/>
  <c r="K12" i="17"/>
  <c r="L12" i="17"/>
  <c r="M12" i="17" s="1"/>
  <c r="I13" i="17"/>
  <c r="N13" i="17" s="1" a="1"/>
  <c r="N13" i="17" s="1"/>
  <c r="J13" i="17"/>
  <c r="O13" i="17" s="1" a="1"/>
  <c r="O13" i="17" s="1"/>
  <c r="K13" i="17"/>
  <c r="L13" i="17"/>
  <c r="M13" i="17" s="1"/>
  <c r="I14" i="17"/>
  <c r="N14" i="17" s="1" a="1"/>
  <c r="N14" i="17" s="1"/>
  <c r="J14" i="17"/>
  <c r="O14" i="17" s="1" a="1"/>
  <c r="O14" i="17" s="1"/>
  <c r="K14" i="17"/>
  <c r="L14" i="17"/>
  <c r="M14" i="17" s="1"/>
  <c r="I15" i="17"/>
  <c r="N15" i="17" s="1" a="1"/>
  <c r="N15" i="17" s="1"/>
  <c r="J15" i="17"/>
  <c r="O15" i="17" s="1" a="1"/>
  <c r="O15" i="17" s="1"/>
  <c r="K15" i="17"/>
  <c r="L15" i="17"/>
  <c r="M15" i="17" s="1"/>
  <c r="I16" i="17"/>
  <c r="N16" i="17" s="1" a="1"/>
  <c r="N16" i="17" s="1"/>
  <c r="J16" i="17"/>
  <c r="O16" i="17" s="1" a="1"/>
  <c r="O16" i="17" s="1"/>
  <c r="K16" i="17"/>
  <c r="L16" i="17"/>
  <c r="M16" i="17" s="1"/>
  <c r="I17" i="17"/>
  <c r="N17" i="17" s="1" a="1"/>
  <c r="N17" i="17" s="1"/>
  <c r="J17" i="17"/>
  <c r="O17" i="17" s="1" a="1"/>
  <c r="O17" i="17" s="1"/>
  <c r="K17" i="17"/>
  <c r="L17" i="17"/>
  <c r="M17" i="17" s="1"/>
  <c r="I18" i="17"/>
  <c r="N18" i="17" s="1" a="1"/>
  <c r="N18" i="17" s="1"/>
  <c r="J18" i="17"/>
  <c r="O18" i="17" s="1" a="1"/>
  <c r="O18" i="17" s="1"/>
  <c r="K18" i="17"/>
  <c r="L18" i="17"/>
  <c r="M18" i="17" s="1"/>
  <c r="I19" i="17"/>
  <c r="N19" i="17" s="1" a="1"/>
  <c r="N19" i="17" s="1"/>
  <c r="J19" i="17"/>
  <c r="O19" i="17" s="1" a="1"/>
  <c r="O19" i="17" s="1"/>
  <c r="K19" i="17"/>
  <c r="L19" i="17"/>
  <c r="M19" i="17" s="1"/>
  <c r="I20" i="17"/>
  <c r="N20" i="17" s="1" a="1"/>
  <c r="N20" i="17" s="1"/>
  <c r="J20" i="17"/>
  <c r="O20" i="17" s="1" a="1"/>
  <c r="O20" i="17" s="1"/>
  <c r="K20" i="17"/>
  <c r="L20" i="17"/>
  <c r="M20" i="17" s="1"/>
  <c r="I21" i="17"/>
  <c r="N21" i="17" s="1" a="1"/>
  <c r="N21" i="17" s="1"/>
  <c r="J21" i="17"/>
  <c r="O21" i="17" s="1" a="1"/>
  <c r="O21" i="17" s="1"/>
  <c r="K21" i="17"/>
  <c r="L21" i="17"/>
  <c r="M21" i="17" s="1"/>
  <c r="I22" i="17"/>
  <c r="N22" i="17" s="1" a="1"/>
  <c r="N22" i="17" s="1"/>
  <c r="J22" i="17"/>
  <c r="O22" i="17" s="1" a="1"/>
  <c r="O22" i="17" s="1"/>
  <c r="K22" i="17"/>
  <c r="L22" i="17"/>
  <c r="M22" i="17" s="1"/>
  <c r="I23" i="17"/>
  <c r="N23" i="17" s="1" a="1"/>
  <c r="N23" i="17" s="1"/>
  <c r="J23" i="17"/>
  <c r="O23" i="17" s="1" a="1"/>
  <c r="O23" i="17" s="1"/>
  <c r="K23" i="17"/>
  <c r="L23" i="17"/>
  <c r="M23" i="17" s="1"/>
  <c r="I24" i="17"/>
  <c r="N24" i="17" s="1" a="1"/>
  <c r="N24" i="17" s="1"/>
  <c r="J24" i="17"/>
  <c r="O24" i="17" s="1" a="1"/>
  <c r="O24" i="17" s="1"/>
  <c r="K24" i="17"/>
  <c r="L24" i="17"/>
  <c r="M24" i="17" s="1"/>
  <c r="I25" i="17"/>
  <c r="N25" i="17" s="1" a="1"/>
  <c r="N25" i="17" s="1"/>
  <c r="J25" i="17"/>
  <c r="O25" i="17" s="1" a="1"/>
  <c r="O25" i="17" s="1"/>
  <c r="K25" i="17"/>
  <c r="L25" i="17"/>
  <c r="M25" i="17" s="1"/>
  <c r="I26" i="17"/>
  <c r="N26" i="17" s="1" a="1"/>
  <c r="N26" i="17" s="1"/>
  <c r="J26" i="17"/>
  <c r="O26" i="17" s="1" a="1"/>
  <c r="O26" i="17" s="1"/>
  <c r="K26" i="17"/>
  <c r="L26" i="17"/>
  <c r="M26" i="17" s="1"/>
  <c r="I27" i="17"/>
  <c r="N27" i="17" s="1" a="1"/>
  <c r="N27" i="17" s="1"/>
  <c r="J27" i="17"/>
  <c r="O27" i="17" s="1" a="1"/>
  <c r="O27" i="17" s="1"/>
  <c r="K27" i="17"/>
  <c r="L27" i="17"/>
  <c r="M27" i="17" s="1"/>
  <c r="I28" i="17"/>
  <c r="N28" i="17" s="1" a="1"/>
  <c r="N28" i="17" s="1"/>
  <c r="J28" i="17"/>
  <c r="O28" i="17" s="1" a="1"/>
  <c r="O28" i="17" s="1"/>
  <c r="K28" i="17"/>
  <c r="L28" i="17"/>
  <c r="M28" i="17" s="1"/>
  <c r="I29" i="17"/>
  <c r="N29" i="17" s="1" a="1"/>
  <c r="N29" i="17" s="1"/>
  <c r="J29" i="17"/>
  <c r="O29" i="17" s="1" a="1"/>
  <c r="O29" i="17" s="1"/>
  <c r="K29" i="17"/>
  <c r="L29" i="17"/>
  <c r="M29" i="17" s="1"/>
  <c r="I30" i="17"/>
  <c r="N30" i="17" s="1" a="1"/>
  <c r="N30" i="17" s="1"/>
  <c r="J30" i="17"/>
  <c r="O30" i="17" s="1" a="1"/>
  <c r="O30" i="17" s="1"/>
  <c r="K30" i="17"/>
  <c r="L30" i="17"/>
  <c r="M30" i="17" s="1"/>
  <c r="I31" i="17"/>
  <c r="N31" i="17" s="1" a="1"/>
  <c r="N31" i="17" s="1"/>
  <c r="J31" i="17"/>
  <c r="O31" i="17" s="1" a="1"/>
  <c r="O31" i="17" s="1"/>
  <c r="K31" i="17"/>
  <c r="L31" i="17"/>
  <c r="M31" i="17" s="1"/>
  <c r="I32" i="17"/>
  <c r="N32" i="17" s="1" a="1"/>
  <c r="N32" i="17" s="1"/>
  <c r="J32" i="17"/>
  <c r="O32" i="17" s="1" a="1"/>
  <c r="O32" i="17" s="1"/>
  <c r="K32" i="17"/>
  <c r="L32" i="17"/>
  <c r="M32" i="17" s="1"/>
  <c r="I33" i="17"/>
  <c r="N33" i="17" s="1" a="1"/>
  <c r="N33" i="17" s="1"/>
  <c r="J33" i="17"/>
  <c r="O33" i="17" s="1" a="1"/>
  <c r="O33" i="17" s="1"/>
  <c r="K33" i="17"/>
  <c r="L33" i="17"/>
  <c r="M33" i="17" s="1"/>
  <c r="I34" i="17"/>
  <c r="N34" i="17" s="1" a="1"/>
  <c r="N34" i="17" s="1"/>
  <c r="J34" i="17"/>
  <c r="O34" i="17" s="1" a="1"/>
  <c r="O34" i="17" s="1"/>
  <c r="K34" i="17"/>
  <c r="L34" i="17"/>
  <c r="M34" i="17" s="1"/>
  <c r="I35" i="17"/>
  <c r="N35" i="17" s="1" a="1"/>
  <c r="N35" i="17" s="1"/>
  <c r="J35" i="17"/>
  <c r="O35" i="17" s="1" a="1"/>
  <c r="O35" i="17" s="1"/>
  <c r="K35" i="17"/>
  <c r="L35" i="17"/>
  <c r="M35" i="17" s="1"/>
  <c r="I36" i="17"/>
  <c r="N36" i="17" s="1" a="1"/>
  <c r="N36" i="17" s="1"/>
  <c r="J36" i="17"/>
  <c r="O36" i="17" s="1" a="1"/>
  <c r="O36" i="17" s="1"/>
  <c r="K36" i="17"/>
  <c r="L36" i="17"/>
  <c r="M36" i="17" s="1"/>
  <c r="I37" i="17"/>
  <c r="N37" i="17" s="1" a="1"/>
  <c r="N37" i="17" s="1"/>
  <c r="J37" i="17"/>
  <c r="O37" i="17" s="1" a="1"/>
  <c r="O37" i="17" s="1"/>
  <c r="K37" i="17"/>
  <c r="L37" i="17"/>
  <c r="M37" i="17" s="1"/>
  <c r="I38" i="17"/>
  <c r="N38" i="17" s="1" a="1"/>
  <c r="N38" i="17" s="1"/>
  <c r="J38" i="17"/>
  <c r="O38" i="17" s="1" a="1"/>
  <c r="O38" i="17" s="1"/>
  <c r="K38" i="17"/>
  <c r="L38" i="17"/>
  <c r="M38" i="17" s="1"/>
  <c r="I39" i="17"/>
  <c r="N39" i="17" s="1" a="1"/>
  <c r="N39" i="17" s="1"/>
  <c r="J39" i="17"/>
  <c r="O39" i="17" s="1" a="1"/>
  <c r="O39" i="17" s="1"/>
  <c r="K39" i="17"/>
  <c r="L39" i="17"/>
  <c r="M39" i="17" s="1"/>
  <c r="I40" i="17"/>
  <c r="N40" i="17" s="1" a="1"/>
  <c r="N40" i="17" s="1"/>
  <c r="J40" i="17"/>
  <c r="O40" i="17" s="1" a="1"/>
  <c r="O40" i="17" s="1"/>
  <c r="K40" i="17"/>
  <c r="L40" i="17"/>
  <c r="M40" i="17" s="1"/>
  <c r="I41" i="17"/>
  <c r="N41" i="17" s="1" a="1"/>
  <c r="N41" i="17" s="1"/>
  <c r="J41" i="17"/>
  <c r="O41" i="17" s="1" a="1"/>
  <c r="O41" i="17" s="1"/>
  <c r="K41" i="17"/>
  <c r="L41" i="17"/>
  <c r="M41" i="17" s="1"/>
  <c r="I42" i="17"/>
  <c r="N42" i="17" s="1" a="1"/>
  <c r="N42" i="17" s="1"/>
  <c r="J42" i="17"/>
  <c r="O42" i="17" s="1" a="1"/>
  <c r="O42" i="17" s="1"/>
  <c r="K42" i="17"/>
  <c r="L42" i="17"/>
  <c r="M42" i="17" s="1"/>
  <c r="I43" i="17"/>
  <c r="N43" i="17" s="1" a="1"/>
  <c r="N43" i="17" s="1"/>
  <c r="J43" i="17"/>
  <c r="O43" i="17" s="1" a="1"/>
  <c r="O43" i="17" s="1"/>
  <c r="K43" i="17"/>
  <c r="L43" i="17"/>
  <c r="M43" i="17" s="1"/>
  <c r="I44" i="17"/>
  <c r="N44" i="17" s="1" a="1"/>
  <c r="N44" i="17" s="1"/>
  <c r="J44" i="17"/>
  <c r="O44" i="17" s="1" a="1"/>
  <c r="O44" i="17" s="1"/>
  <c r="K44" i="17"/>
  <c r="L44" i="17"/>
  <c r="M44" i="17" s="1"/>
  <c r="I45" i="17"/>
  <c r="N45" i="17" s="1" a="1"/>
  <c r="N45" i="17" s="1"/>
  <c r="J45" i="17"/>
  <c r="O45" i="17" s="1" a="1"/>
  <c r="O45" i="17" s="1"/>
  <c r="K45" i="17"/>
  <c r="L45" i="17"/>
  <c r="M45" i="17" s="1"/>
  <c r="I46" i="17"/>
  <c r="N46" i="17" s="1" a="1"/>
  <c r="N46" i="17" s="1"/>
  <c r="J46" i="17"/>
  <c r="O46" i="17" s="1" a="1"/>
  <c r="O46" i="17" s="1"/>
  <c r="K46" i="17"/>
  <c r="L46" i="17"/>
  <c r="M46" i="17" s="1"/>
  <c r="I47" i="17"/>
  <c r="N47" i="17" s="1" a="1"/>
  <c r="N47" i="17" s="1"/>
  <c r="J47" i="17"/>
  <c r="O47" i="17" s="1" a="1"/>
  <c r="O47" i="17" s="1"/>
  <c r="K47" i="17"/>
  <c r="L47" i="17"/>
  <c r="M47" i="17" s="1"/>
  <c r="I48" i="17"/>
  <c r="N48" i="17" s="1" a="1"/>
  <c r="N48" i="17" s="1"/>
  <c r="J48" i="17"/>
  <c r="O48" i="17" s="1" a="1"/>
  <c r="O48" i="17" s="1"/>
  <c r="K48" i="17"/>
  <c r="L48" i="17"/>
  <c r="M48" i="17" s="1"/>
  <c r="I49" i="17"/>
  <c r="N49" i="17" s="1" a="1"/>
  <c r="N49" i="17" s="1"/>
  <c r="J49" i="17"/>
  <c r="O49" i="17" s="1" a="1"/>
  <c r="O49" i="17" s="1"/>
  <c r="K49" i="17"/>
  <c r="L49" i="17"/>
  <c r="M49" i="17" s="1"/>
  <c r="I50" i="17"/>
  <c r="N50" i="17" s="1" a="1"/>
  <c r="N50" i="17" s="1"/>
  <c r="J50" i="17"/>
  <c r="O50" i="17" s="1" a="1"/>
  <c r="O50" i="17" s="1"/>
  <c r="K50" i="17"/>
  <c r="L50" i="17"/>
  <c r="M50" i="17" s="1"/>
  <c r="I51" i="17"/>
  <c r="N51" i="17" s="1" a="1"/>
  <c r="N51" i="17" s="1"/>
  <c r="J51" i="17"/>
  <c r="O51" i="17" s="1" a="1"/>
  <c r="O51" i="17" s="1"/>
  <c r="K51" i="17"/>
  <c r="L51" i="17"/>
  <c r="M51" i="17" s="1"/>
  <c r="I52" i="17"/>
  <c r="N52" i="17" s="1" a="1"/>
  <c r="N52" i="17" s="1"/>
  <c r="J52" i="17"/>
  <c r="O52" i="17" s="1" a="1"/>
  <c r="O52" i="17" s="1"/>
  <c r="K52" i="17"/>
  <c r="L52" i="17"/>
  <c r="M52" i="17" s="1"/>
  <c r="I53" i="17"/>
  <c r="N53" i="17" s="1" a="1"/>
  <c r="N53" i="17" s="1"/>
  <c r="J53" i="17"/>
  <c r="O53" i="17" s="1" a="1"/>
  <c r="O53" i="17" s="1"/>
  <c r="K53" i="17"/>
  <c r="L53" i="17"/>
  <c r="M53" i="17" s="1"/>
  <c r="I54" i="17"/>
  <c r="N54" i="17" s="1" a="1"/>
  <c r="N54" i="17" s="1"/>
  <c r="J54" i="17"/>
  <c r="O54" i="17" s="1" a="1"/>
  <c r="O54" i="17" s="1"/>
  <c r="K54" i="17"/>
  <c r="L54" i="17"/>
  <c r="M54" i="17" s="1"/>
  <c r="I55" i="17"/>
  <c r="N55" i="17" s="1" a="1"/>
  <c r="N55" i="17" s="1"/>
  <c r="J55" i="17"/>
  <c r="O55" i="17" s="1" a="1"/>
  <c r="O55" i="17" s="1"/>
  <c r="K55" i="17"/>
  <c r="L55" i="17"/>
  <c r="M55" i="17" s="1"/>
  <c r="I56" i="17"/>
  <c r="N56" i="17" s="1" a="1"/>
  <c r="N56" i="17" s="1"/>
  <c r="J56" i="17"/>
  <c r="O56" i="17" s="1" a="1"/>
  <c r="O56" i="17" s="1"/>
  <c r="K56" i="17"/>
  <c r="L56" i="17"/>
  <c r="M56" i="17" s="1"/>
  <c r="I57" i="17"/>
  <c r="N57" i="17" s="1" a="1"/>
  <c r="N57" i="17" s="1"/>
  <c r="J57" i="17"/>
  <c r="O57" i="17" s="1" a="1"/>
  <c r="O57" i="17" s="1"/>
  <c r="K57" i="17"/>
  <c r="L57" i="17"/>
  <c r="M57" i="17" s="1"/>
  <c r="I58" i="17"/>
  <c r="N58" i="17" s="1" a="1"/>
  <c r="N58" i="17" s="1"/>
  <c r="J58" i="17"/>
  <c r="O58" i="17" s="1" a="1"/>
  <c r="O58" i="17" s="1"/>
  <c r="K58" i="17"/>
  <c r="L58" i="17"/>
  <c r="M58" i="17" s="1"/>
  <c r="I59" i="17"/>
  <c r="N59" i="17" s="1" a="1"/>
  <c r="N59" i="17" s="1"/>
  <c r="J59" i="17"/>
  <c r="O59" i="17" s="1" a="1"/>
  <c r="O59" i="17" s="1"/>
  <c r="K59" i="17"/>
  <c r="L59" i="17"/>
  <c r="M59" i="17" s="1"/>
  <c r="I60" i="17"/>
  <c r="N60" i="17" s="1" a="1"/>
  <c r="N60" i="17" s="1"/>
  <c r="J60" i="17"/>
  <c r="O60" i="17" s="1" a="1"/>
  <c r="O60" i="17" s="1"/>
  <c r="K60" i="17"/>
  <c r="L60" i="17"/>
  <c r="M60" i="17" s="1"/>
  <c r="I61" i="17"/>
  <c r="N61" i="17" s="1" a="1"/>
  <c r="N61" i="17" s="1"/>
  <c r="J61" i="17"/>
  <c r="O61" i="17" s="1" a="1"/>
  <c r="O61" i="17" s="1"/>
  <c r="K61" i="17"/>
  <c r="L61" i="17"/>
  <c r="M61" i="17" s="1"/>
  <c r="I62" i="17"/>
  <c r="N62" i="17" s="1" a="1"/>
  <c r="N62" i="17" s="1"/>
  <c r="J62" i="17"/>
  <c r="O62" i="17" s="1" a="1"/>
  <c r="O62" i="17" s="1"/>
  <c r="K62" i="17"/>
  <c r="L62" i="17"/>
  <c r="M62" i="17" s="1"/>
  <c r="I63" i="17"/>
  <c r="N63" i="17" s="1" a="1"/>
  <c r="N63" i="17" s="1"/>
  <c r="J63" i="17"/>
  <c r="O63" i="17" s="1" a="1"/>
  <c r="O63" i="17" s="1"/>
  <c r="K63" i="17"/>
  <c r="L63" i="17"/>
  <c r="M63" i="17" s="1"/>
  <c r="I64" i="17"/>
  <c r="N64" i="17" s="1" a="1"/>
  <c r="N64" i="17" s="1"/>
  <c r="J64" i="17"/>
  <c r="O64" i="17" s="1" a="1"/>
  <c r="O64" i="17" s="1"/>
  <c r="K64" i="17"/>
  <c r="L64" i="17"/>
  <c r="M64" i="17" s="1"/>
  <c r="I65" i="17"/>
  <c r="N65" i="17" s="1" a="1"/>
  <c r="N65" i="17" s="1"/>
  <c r="J65" i="17"/>
  <c r="O65" i="17" s="1" a="1"/>
  <c r="O65" i="17" s="1"/>
  <c r="K65" i="17"/>
  <c r="L65" i="17"/>
  <c r="M65" i="17" s="1"/>
  <c r="I66" i="17"/>
  <c r="N66" i="17" s="1" a="1"/>
  <c r="N66" i="17" s="1"/>
  <c r="J66" i="17"/>
  <c r="O66" i="17" s="1" a="1"/>
  <c r="O66" i="17" s="1"/>
  <c r="K66" i="17"/>
  <c r="L66" i="17"/>
  <c r="M66" i="17" s="1"/>
  <c r="I67" i="17"/>
  <c r="N67" i="17" s="1" a="1"/>
  <c r="N67" i="17" s="1"/>
  <c r="J67" i="17"/>
  <c r="O67" i="17" s="1" a="1"/>
  <c r="O67" i="17" s="1"/>
  <c r="K67" i="17"/>
  <c r="L67" i="17"/>
  <c r="M67" i="17" s="1"/>
  <c r="I68" i="17"/>
  <c r="N68" i="17" s="1" a="1"/>
  <c r="N68" i="17" s="1"/>
  <c r="J68" i="17"/>
  <c r="O68" i="17" s="1" a="1"/>
  <c r="O68" i="17" s="1"/>
  <c r="K68" i="17"/>
  <c r="L68" i="17"/>
  <c r="M68" i="17" s="1"/>
  <c r="I69" i="17"/>
  <c r="N69" i="17" s="1" a="1"/>
  <c r="N69" i="17" s="1"/>
  <c r="J69" i="17"/>
  <c r="O69" i="17" s="1" a="1"/>
  <c r="O69" i="17" s="1"/>
  <c r="K69" i="17"/>
  <c r="L69" i="17"/>
  <c r="M69" i="17" s="1"/>
  <c r="I70" i="17"/>
  <c r="N70" i="17" s="1" a="1"/>
  <c r="N70" i="17" s="1"/>
  <c r="J70" i="17"/>
  <c r="O70" i="17" s="1" a="1"/>
  <c r="O70" i="17" s="1"/>
  <c r="K70" i="17"/>
  <c r="L70" i="17"/>
  <c r="M70" i="17" s="1"/>
  <c r="I71" i="17"/>
  <c r="N71" i="17" s="1" a="1"/>
  <c r="N71" i="17" s="1"/>
  <c r="J71" i="17"/>
  <c r="O71" i="17" s="1" a="1"/>
  <c r="O71" i="17" s="1"/>
  <c r="K71" i="17"/>
  <c r="L71" i="17"/>
  <c r="M71" i="17" s="1"/>
  <c r="I72" i="17"/>
  <c r="N72" i="17" s="1" a="1"/>
  <c r="N72" i="17" s="1"/>
  <c r="J72" i="17"/>
  <c r="O72" i="17" s="1" a="1"/>
  <c r="O72" i="17" s="1"/>
  <c r="K72" i="17"/>
  <c r="L72" i="17"/>
  <c r="M72" i="17" s="1"/>
  <c r="I73" i="17"/>
  <c r="N73" i="17" s="1" a="1"/>
  <c r="N73" i="17" s="1"/>
  <c r="J73" i="17"/>
  <c r="O73" i="17" s="1" a="1"/>
  <c r="O73" i="17" s="1"/>
  <c r="K73" i="17"/>
  <c r="L73" i="17"/>
  <c r="M73" i="17" s="1"/>
  <c r="I74" i="17"/>
  <c r="N74" i="17" s="1" a="1"/>
  <c r="N74" i="17" s="1"/>
  <c r="J74" i="17"/>
  <c r="O74" i="17" s="1" a="1"/>
  <c r="O74" i="17" s="1"/>
  <c r="K74" i="17"/>
  <c r="L74" i="17"/>
  <c r="M74" i="17" s="1"/>
  <c r="I75" i="17"/>
  <c r="N75" i="17" s="1" a="1"/>
  <c r="N75" i="17" s="1"/>
  <c r="J75" i="17"/>
  <c r="O75" i="17" s="1" a="1"/>
  <c r="O75" i="17" s="1"/>
  <c r="K75" i="17"/>
  <c r="L75" i="17"/>
  <c r="M75" i="17" s="1"/>
  <c r="I76" i="17"/>
  <c r="N76" i="17" s="1" a="1"/>
  <c r="N76" i="17" s="1"/>
  <c r="J76" i="17"/>
  <c r="O76" i="17" s="1" a="1"/>
  <c r="O76" i="17" s="1"/>
  <c r="K76" i="17"/>
  <c r="L76" i="17"/>
  <c r="M76" i="17" s="1"/>
  <c r="I77" i="17"/>
  <c r="N77" i="17" s="1" a="1"/>
  <c r="N77" i="17" s="1"/>
  <c r="J77" i="17"/>
  <c r="O77" i="17" s="1" a="1"/>
  <c r="O77" i="17" s="1"/>
  <c r="K77" i="17"/>
  <c r="L77" i="17"/>
  <c r="M77" i="17" s="1"/>
  <c r="I78" i="17"/>
  <c r="N78" i="17" s="1" a="1"/>
  <c r="N78" i="17" s="1"/>
  <c r="J78" i="17"/>
  <c r="O78" i="17" s="1" a="1"/>
  <c r="O78" i="17" s="1"/>
  <c r="K78" i="17"/>
  <c r="L78" i="17"/>
  <c r="M78" i="17" s="1"/>
  <c r="I79" i="17"/>
  <c r="N79" i="17" s="1" a="1"/>
  <c r="N79" i="17" s="1"/>
  <c r="J79" i="17"/>
  <c r="O79" i="17" s="1" a="1"/>
  <c r="O79" i="17" s="1"/>
  <c r="K79" i="17"/>
  <c r="L79" i="17"/>
  <c r="M79" i="17" s="1"/>
  <c r="I80" i="17"/>
  <c r="N80" i="17" s="1" a="1"/>
  <c r="N80" i="17" s="1"/>
  <c r="J80" i="17"/>
  <c r="O80" i="17" s="1" a="1"/>
  <c r="O80" i="17" s="1"/>
  <c r="K80" i="17"/>
  <c r="L80" i="17"/>
  <c r="M80" i="17" s="1"/>
  <c r="I81" i="17"/>
  <c r="N81" i="17" s="1" a="1"/>
  <c r="N81" i="17" s="1"/>
  <c r="J81" i="17"/>
  <c r="O81" i="17" s="1" a="1"/>
  <c r="O81" i="17" s="1"/>
  <c r="K81" i="17"/>
  <c r="L81" i="17"/>
  <c r="M81" i="17" s="1"/>
  <c r="I82" i="17"/>
  <c r="N82" i="17" s="1" a="1"/>
  <c r="N82" i="17" s="1"/>
  <c r="J82" i="17"/>
  <c r="O82" i="17" s="1" a="1"/>
  <c r="O82" i="17" s="1"/>
  <c r="K82" i="17"/>
  <c r="L82" i="17"/>
  <c r="M82" i="17" s="1"/>
  <c r="I83" i="17"/>
  <c r="N83" i="17" s="1" a="1"/>
  <c r="N83" i="17" s="1"/>
  <c r="J83" i="17"/>
  <c r="O83" i="17" s="1" a="1"/>
  <c r="O83" i="17" s="1"/>
  <c r="K83" i="17"/>
  <c r="L83" i="17"/>
  <c r="M83" i="17" s="1"/>
  <c r="I84" i="17"/>
  <c r="N84" i="17" s="1" a="1"/>
  <c r="N84" i="17" s="1"/>
  <c r="J84" i="17"/>
  <c r="O84" i="17" s="1" a="1"/>
  <c r="O84" i="17" s="1"/>
  <c r="K84" i="17"/>
  <c r="L84" i="17"/>
  <c r="M84" i="17" s="1"/>
  <c r="I85" i="17"/>
  <c r="N85" i="17" s="1" a="1"/>
  <c r="N85" i="17" s="1"/>
  <c r="J85" i="17"/>
  <c r="O85" i="17" s="1" a="1"/>
  <c r="O85" i="17" s="1"/>
  <c r="K85" i="17"/>
  <c r="L85" i="17"/>
  <c r="M85" i="17" s="1"/>
  <c r="I86" i="17"/>
  <c r="N86" i="17" s="1" a="1"/>
  <c r="N86" i="17" s="1"/>
  <c r="J86" i="17"/>
  <c r="O86" i="17" s="1" a="1"/>
  <c r="O86" i="17" s="1"/>
  <c r="K86" i="17"/>
  <c r="L86" i="17"/>
  <c r="M86" i="17" s="1"/>
  <c r="I87" i="17"/>
  <c r="N87" i="17" s="1" a="1"/>
  <c r="N87" i="17" s="1"/>
  <c r="J87" i="17"/>
  <c r="O87" i="17" s="1" a="1"/>
  <c r="O87" i="17" s="1"/>
  <c r="K87" i="17"/>
  <c r="L87" i="17"/>
  <c r="M87" i="17" s="1"/>
  <c r="I88" i="17"/>
  <c r="N88" i="17" s="1" a="1"/>
  <c r="N88" i="17" s="1"/>
  <c r="J88" i="17"/>
  <c r="O88" i="17" s="1" a="1"/>
  <c r="O88" i="17" s="1"/>
  <c r="K88" i="17"/>
  <c r="L88" i="17"/>
  <c r="M88" i="17" s="1"/>
  <c r="I89" i="17"/>
  <c r="N89" i="17" s="1" a="1"/>
  <c r="N89" i="17" s="1"/>
  <c r="J89" i="17"/>
  <c r="O89" i="17" s="1" a="1"/>
  <c r="O89" i="17" s="1"/>
  <c r="K89" i="17"/>
  <c r="L89" i="17"/>
  <c r="M89" i="17" s="1"/>
  <c r="I90" i="17"/>
  <c r="N90" i="17" s="1" a="1"/>
  <c r="N90" i="17" s="1"/>
  <c r="J90" i="17"/>
  <c r="O90" i="17" s="1" a="1"/>
  <c r="O90" i="17" s="1"/>
  <c r="K90" i="17"/>
  <c r="L90" i="17"/>
  <c r="M90" i="17" s="1"/>
  <c r="I91" i="17"/>
  <c r="N91" i="17" s="1" a="1"/>
  <c r="N91" i="17" s="1"/>
  <c r="J91" i="17"/>
  <c r="O91" i="17" s="1" a="1"/>
  <c r="O91" i="17" s="1"/>
  <c r="K91" i="17"/>
  <c r="L91" i="17"/>
  <c r="M91" i="17" s="1"/>
  <c r="I92" i="17"/>
  <c r="N92" i="17" s="1" a="1"/>
  <c r="N92" i="17" s="1"/>
  <c r="J92" i="17"/>
  <c r="O92" i="17" s="1" a="1"/>
  <c r="O92" i="17" s="1"/>
  <c r="K92" i="17"/>
  <c r="L92" i="17"/>
  <c r="M92" i="17" s="1"/>
  <c r="I93" i="17"/>
  <c r="N93" i="17" s="1" a="1"/>
  <c r="N93" i="17" s="1"/>
  <c r="J93" i="17"/>
  <c r="O93" i="17" s="1" a="1"/>
  <c r="O93" i="17" s="1"/>
  <c r="K93" i="17"/>
  <c r="L93" i="17"/>
  <c r="M93" i="17" s="1"/>
  <c r="I94" i="17"/>
  <c r="N94" i="17" s="1" a="1"/>
  <c r="N94" i="17" s="1"/>
  <c r="J94" i="17"/>
  <c r="O94" i="17" s="1" a="1"/>
  <c r="O94" i="17" s="1"/>
  <c r="K94" i="17"/>
  <c r="L94" i="17"/>
  <c r="M94" i="17" s="1"/>
  <c r="I95" i="17"/>
  <c r="N95" i="17" s="1" a="1"/>
  <c r="N95" i="17" s="1"/>
  <c r="J95" i="17"/>
  <c r="O95" i="17" s="1" a="1"/>
  <c r="O95" i="17" s="1"/>
  <c r="K95" i="17"/>
  <c r="L95" i="17"/>
  <c r="M95" i="17" s="1"/>
  <c r="I96" i="17"/>
  <c r="N96" i="17" s="1" a="1"/>
  <c r="N96" i="17" s="1"/>
  <c r="J96" i="17"/>
  <c r="O96" i="17" s="1" a="1"/>
  <c r="O96" i="17" s="1"/>
  <c r="K96" i="17"/>
  <c r="L96" i="17"/>
  <c r="M96" i="17" s="1"/>
  <c r="I97" i="17"/>
  <c r="N97" i="17" s="1" a="1"/>
  <c r="N97" i="17" s="1"/>
  <c r="J97" i="17"/>
  <c r="O97" i="17" s="1" a="1"/>
  <c r="O97" i="17" s="1"/>
  <c r="K97" i="17"/>
  <c r="L97" i="17"/>
  <c r="M97" i="17" s="1"/>
  <c r="I98" i="17"/>
  <c r="N98" i="17" s="1" a="1"/>
  <c r="N98" i="17" s="1"/>
  <c r="J98" i="17"/>
  <c r="O98" i="17" s="1" a="1"/>
  <c r="O98" i="17" s="1"/>
  <c r="K98" i="17"/>
  <c r="L98" i="17"/>
  <c r="M98" i="17" s="1"/>
  <c r="I99" i="17"/>
  <c r="N99" i="17" s="1" a="1"/>
  <c r="N99" i="17" s="1"/>
  <c r="J99" i="17"/>
  <c r="O99" i="17" s="1" a="1"/>
  <c r="O99" i="17" s="1"/>
  <c r="K99" i="17"/>
  <c r="L99" i="17"/>
  <c r="M99" i="17" s="1"/>
  <c r="I100" i="17"/>
  <c r="N100" i="17" s="1" a="1"/>
  <c r="N100" i="17" s="1"/>
  <c r="J100" i="17"/>
  <c r="O100" i="17" s="1" a="1"/>
  <c r="O100" i="17" s="1"/>
  <c r="K100" i="17"/>
  <c r="L100" i="17"/>
  <c r="M100" i="17" s="1"/>
  <c r="I101" i="17"/>
  <c r="N101" i="17" s="1" a="1"/>
  <c r="N101" i="17" s="1"/>
  <c r="J101" i="17"/>
  <c r="O101" i="17" s="1" a="1"/>
  <c r="O101" i="17" s="1"/>
  <c r="K101" i="17"/>
  <c r="L101" i="17"/>
  <c r="M101" i="17" s="1"/>
  <c r="I102" i="17"/>
  <c r="N102" i="17" s="1" a="1"/>
  <c r="N102" i="17" s="1"/>
  <c r="J102" i="17"/>
  <c r="O102" i="17" s="1" a="1"/>
  <c r="O102" i="17" s="1"/>
  <c r="K102" i="17"/>
  <c r="L102" i="17"/>
  <c r="M102" i="17" s="1"/>
  <c r="I103" i="17"/>
  <c r="N103" i="17" s="1" a="1"/>
  <c r="N103" i="17" s="1"/>
  <c r="J103" i="17"/>
  <c r="O103" i="17" s="1" a="1"/>
  <c r="O103" i="17" s="1"/>
  <c r="K103" i="17"/>
  <c r="L103" i="17"/>
  <c r="M103" i="17" s="1"/>
  <c r="I104" i="17"/>
  <c r="N104" i="17" s="1" a="1"/>
  <c r="N104" i="17" s="1"/>
  <c r="J104" i="17"/>
  <c r="O104" i="17" s="1" a="1"/>
  <c r="O104" i="17" s="1"/>
  <c r="K104" i="17"/>
  <c r="L104" i="17"/>
  <c r="M104" i="17" s="1"/>
  <c r="I105" i="17"/>
  <c r="N105" i="17" s="1" a="1"/>
  <c r="N105" i="17" s="1"/>
  <c r="J105" i="17"/>
  <c r="O105" i="17" s="1" a="1"/>
  <c r="O105" i="17" s="1"/>
  <c r="K105" i="17"/>
  <c r="L105" i="17"/>
  <c r="M105" i="17" s="1"/>
  <c r="I106" i="17"/>
  <c r="N106" i="17" s="1" a="1"/>
  <c r="N106" i="17" s="1"/>
  <c r="J106" i="17"/>
  <c r="O106" i="17" s="1" a="1"/>
  <c r="O106" i="17" s="1"/>
  <c r="K106" i="17"/>
  <c r="L106" i="17"/>
  <c r="M106" i="17" s="1"/>
  <c r="I107" i="17"/>
  <c r="N107" i="17" s="1" a="1"/>
  <c r="N107" i="17" s="1"/>
  <c r="J107" i="17"/>
  <c r="O107" i="17" s="1" a="1"/>
  <c r="O107" i="17" s="1"/>
  <c r="K107" i="17"/>
  <c r="L107" i="17"/>
  <c r="M107" i="17" s="1"/>
  <c r="I108" i="17"/>
  <c r="N108" i="17" s="1" a="1"/>
  <c r="N108" i="17" s="1"/>
  <c r="J108" i="17"/>
  <c r="O108" i="17" s="1" a="1"/>
  <c r="O108" i="17" s="1"/>
  <c r="K108" i="17"/>
  <c r="L108" i="17"/>
  <c r="M108" i="17" s="1"/>
  <c r="I109" i="17"/>
  <c r="N109" i="17" s="1" a="1"/>
  <c r="N109" i="17" s="1"/>
  <c r="J109" i="17"/>
  <c r="O109" i="17" s="1" a="1"/>
  <c r="O109" i="17" s="1"/>
  <c r="K109" i="17"/>
  <c r="L109" i="17"/>
  <c r="M109" i="17" s="1"/>
  <c r="I110" i="17"/>
  <c r="N110" i="17" s="1" a="1"/>
  <c r="N110" i="17" s="1"/>
  <c r="J110" i="17"/>
  <c r="O110" i="17" s="1" a="1"/>
  <c r="O110" i="17" s="1"/>
  <c r="K110" i="17"/>
  <c r="L110" i="17"/>
  <c r="M110" i="17" s="1"/>
  <c r="I111" i="17"/>
  <c r="N111" i="17" s="1" a="1"/>
  <c r="N111" i="17" s="1"/>
  <c r="J111" i="17"/>
  <c r="O111" i="17" s="1" a="1"/>
  <c r="O111" i="17" s="1"/>
  <c r="K111" i="17"/>
  <c r="L111" i="17"/>
  <c r="M111" i="17" s="1"/>
  <c r="I112" i="17"/>
  <c r="N112" i="17" s="1" a="1"/>
  <c r="N112" i="17" s="1"/>
  <c r="J112" i="17"/>
  <c r="O112" i="17" s="1" a="1"/>
  <c r="O112" i="17" s="1"/>
  <c r="K112" i="17"/>
  <c r="L112" i="17"/>
  <c r="M112" i="17" s="1"/>
  <c r="I113" i="17"/>
  <c r="N113" i="17" s="1" a="1"/>
  <c r="N113" i="17" s="1"/>
  <c r="J113" i="17"/>
  <c r="O113" i="17" s="1" a="1"/>
  <c r="O113" i="17" s="1"/>
  <c r="K113" i="17"/>
  <c r="L113" i="17"/>
  <c r="M113" i="17" s="1"/>
  <c r="I114" i="17"/>
  <c r="N114" i="17" s="1" a="1"/>
  <c r="N114" i="17" s="1"/>
  <c r="J114" i="17"/>
  <c r="O114" i="17" s="1" a="1"/>
  <c r="O114" i="17" s="1"/>
  <c r="K114" i="17"/>
  <c r="L114" i="17"/>
  <c r="M114" i="17" s="1"/>
  <c r="I115" i="17"/>
  <c r="N115" i="17" s="1" a="1"/>
  <c r="N115" i="17" s="1"/>
  <c r="J115" i="17"/>
  <c r="O115" i="17" s="1" a="1"/>
  <c r="O115" i="17" s="1"/>
  <c r="K115" i="17"/>
  <c r="L115" i="17"/>
  <c r="M115" i="17" s="1"/>
  <c r="I116" i="17"/>
  <c r="N116" i="17" s="1" a="1"/>
  <c r="N116" i="17" s="1"/>
  <c r="J116" i="17"/>
  <c r="O116" i="17" s="1" a="1"/>
  <c r="O116" i="17" s="1"/>
  <c r="K116" i="17"/>
  <c r="L116" i="17"/>
  <c r="M116" i="17" s="1"/>
  <c r="I117" i="17"/>
  <c r="N117" i="17" s="1" a="1"/>
  <c r="N117" i="17" s="1"/>
  <c r="J117" i="17"/>
  <c r="O117" i="17" s="1" a="1"/>
  <c r="O117" i="17" s="1"/>
  <c r="K117" i="17"/>
  <c r="L117" i="17"/>
  <c r="M117" i="17" s="1"/>
  <c r="I118" i="17"/>
  <c r="N118" i="17" s="1" a="1"/>
  <c r="N118" i="17" s="1"/>
  <c r="J118" i="17"/>
  <c r="O118" i="17" s="1" a="1"/>
  <c r="O118" i="17" s="1"/>
  <c r="K118" i="17"/>
  <c r="L118" i="17"/>
  <c r="M118" i="17" s="1"/>
  <c r="I119" i="17"/>
  <c r="N119" i="17" s="1" a="1"/>
  <c r="N119" i="17" s="1"/>
  <c r="J119" i="17"/>
  <c r="O119" i="17" s="1" a="1"/>
  <c r="O119" i="17" s="1"/>
  <c r="K119" i="17"/>
  <c r="L119" i="17"/>
  <c r="M119" i="17" s="1"/>
  <c r="I120" i="17"/>
  <c r="N120" i="17" s="1" a="1"/>
  <c r="N120" i="17" s="1"/>
  <c r="J120" i="17"/>
  <c r="O120" i="17" s="1" a="1"/>
  <c r="O120" i="17" s="1"/>
  <c r="K120" i="17"/>
  <c r="L120" i="17"/>
  <c r="M120" i="17" s="1"/>
  <c r="I121" i="17"/>
  <c r="N121" i="17" s="1" a="1"/>
  <c r="N121" i="17" s="1"/>
  <c r="J121" i="17"/>
  <c r="O121" i="17" s="1" a="1"/>
  <c r="O121" i="17" s="1"/>
  <c r="K121" i="17"/>
  <c r="L121" i="17"/>
  <c r="M121" i="17" s="1"/>
  <c r="I122" i="17"/>
  <c r="N122" i="17" s="1" a="1"/>
  <c r="N122" i="17" s="1"/>
  <c r="J122" i="17"/>
  <c r="O122" i="17" s="1" a="1"/>
  <c r="O122" i="17" s="1"/>
  <c r="K122" i="17"/>
  <c r="L122" i="17"/>
  <c r="M122" i="17" s="1"/>
  <c r="I123" i="17"/>
  <c r="N123" i="17" s="1" a="1"/>
  <c r="N123" i="17" s="1"/>
  <c r="J123" i="17"/>
  <c r="O123" i="17" s="1" a="1"/>
  <c r="O123" i="17" s="1"/>
  <c r="K123" i="17"/>
  <c r="L123" i="17"/>
  <c r="M123" i="17" s="1"/>
  <c r="I124" i="17"/>
  <c r="N124" i="17" s="1" a="1"/>
  <c r="N124" i="17" s="1"/>
  <c r="J124" i="17"/>
  <c r="O124" i="17" s="1" a="1"/>
  <c r="O124" i="17" s="1"/>
  <c r="K124" i="17"/>
  <c r="L124" i="17"/>
  <c r="M124" i="17" s="1"/>
  <c r="I125" i="17"/>
  <c r="N125" i="17" s="1" a="1"/>
  <c r="N125" i="17" s="1"/>
  <c r="J125" i="17"/>
  <c r="O125" i="17" s="1" a="1"/>
  <c r="O125" i="17" s="1"/>
  <c r="K125" i="17"/>
  <c r="L125" i="17"/>
  <c r="M125" i="17" s="1"/>
  <c r="I126" i="17"/>
  <c r="N126" i="17" s="1" a="1"/>
  <c r="N126" i="17" s="1"/>
  <c r="J126" i="17"/>
  <c r="O126" i="17" s="1" a="1"/>
  <c r="O126" i="17" s="1"/>
  <c r="K126" i="17"/>
  <c r="L126" i="17"/>
  <c r="M126" i="17" s="1"/>
  <c r="I127" i="17"/>
  <c r="N127" i="17" s="1" a="1"/>
  <c r="N127" i="17" s="1"/>
  <c r="J127" i="17"/>
  <c r="O127" i="17" s="1" a="1"/>
  <c r="O127" i="17" s="1"/>
  <c r="K127" i="17"/>
  <c r="L127" i="17"/>
  <c r="M127" i="17" s="1"/>
  <c r="I128" i="17"/>
  <c r="N128" i="17" s="1" a="1"/>
  <c r="N128" i="17" s="1"/>
  <c r="J128" i="17"/>
  <c r="O128" i="17" s="1" a="1"/>
  <c r="O128" i="17" s="1"/>
  <c r="K128" i="17"/>
  <c r="L128" i="17"/>
  <c r="M128" i="17" s="1"/>
  <c r="I129" i="17"/>
  <c r="N129" i="17" s="1" a="1"/>
  <c r="N129" i="17" s="1"/>
  <c r="J129" i="17"/>
  <c r="O129" i="17" s="1" a="1"/>
  <c r="O129" i="17" s="1"/>
  <c r="K129" i="17"/>
  <c r="L129" i="17"/>
  <c r="M129" i="17" s="1"/>
  <c r="I130" i="17"/>
  <c r="N130" i="17" s="1" a="1"/>
  <c r="N130" i="17" s="1"/>
  <c r="J130" i="17"/>
  <c r="O130" i="17" s="1" a="1"/>
  <c r="O130" i="17" s="1"/>
  <c r="K130" i="17"/>
  <c r="L130" i="17"/>
  <c r="M130" i="17" s="1"/>
  <c r="I131" i="17"/>
  <c r="N131" i="17" s="1" a="1"/>
  <c r="N131" i="17" s="1"/>
  <c r="J131" i="17"/>
  <c r="O131" i="17" s="1" a="1"/>
  <c r="O131" i="17" s="1"/>
  <c r="K131" i="17"/>
  <c r="L131" i="17"/>
  <c r="M131" i="17" s="1"/>
  <c r="I132" i="17"/>
  <c r="N132" i="17" s="1" a="1"/>
  <c r="N132" i="17" s="1"/>
  <c r="J132" i="17"/>
  <c r="O132" i="17" s="1" a="1"/>
  <c r="O132" i="17" s="1"/>
  <c r="K132" i="17"/>
  <c r="L132" i="17"/>
  <c r="M132" i="17" s="1"/>
  <c r="I133" i="17"/>
  <c r="N133" i="17" s="1" a="1"/>
  <c r="N133" i="17" s="1"/>
  <c r="J133" i="17"/>
  <c r="O133" i="17" s="1" a="1"/>
  <c r="O133" i="17" s="1"/>
  <c r="K133" i="17"/>
  <c r="L133" i="17"/>
  <c r="M133" i="17" s="1"/>
  <c r="I134" i="17"/>
  <c r="N134" i="17" s="1" a="1"/>
  <c r="N134" i="17" s="1"/>
  <c r="J134" i="17"/>
  <c r="O134" i="17" s="1" a="1"/>
  <c r="O134" i="17" s="1"/>
  <c r="K134" i="17"/>
  <c r="L134" i="17"/>
  <c r="M134" i="17" s="1"/>
  <c r="I135" i="17"/>
  <c r="N135" i="17" s="1" a="1"/>
  <c r="N135" i="17" s="1"/>
  <c r="J135" i="17"/>
  <c r="O135" i="17" s="1" a="1"/>
  <c r="O135" i="17" s="1"/>
  <c r="K135" i="17"/>
  <c r="L135" i="17"/>
  <c r="M135" i="17" s="1"/>
  <c r="I136" i="17"/>
  <c r="N136" i="17" s="1" a="1"/>
  <c r="N136" i="17" s="1"/>
  <c r="J136" i="17"/>
  <c r="O136" i="17" s="1" a="1"/>
  <c r="O136" i="17" s="1"/>
  <c r="K136" i="17"/>
  <c r="L136" i="17"/>
  <c r="M136" i="17" s="1"/>
  <c r="I137" i="17"/>
  <c r="N137" i="17" s="1" a="1"/>
  <c r="N137" i="17" s="1"/>
  <c r="J137" i="17"/>
  <c r="O137" i="17" s="1" a="1"/>
  <c r="O137" i="17" s="1"/>
  <c r="K137" i="17"/>
  <c r="L137" i="17"/>
  <c r="M137" i="17" s="1"/>
  <c r="I138" i="17"/>
  <c r="N138" i="17" s="1" a="1"/>
  <c r="N138" i="17" s="1"/>
  <c r="J138" i="17"/>
  <c r="O138" i="17" s="1" a="1"/>
  <c r="O138" i="17" s="1"/>
  <c r="K138" i="17"/>
  <c r="L138" i="17"/>
  <c r="M138" i="17" s="1"/>
  <c r="I139" i="17"/>
  <c r="N139" i="17" s="1" a="1"/>
  <c r="N139" i="17" s="1"/>
  <c r="J139" i="17"/>
  <c r="O139" i="17" s="1" a="1"/>
  <c r="O139" i="17" s="1"/>
  <c r="K139" i="17"/>
  <c r="L139" i="17"/>
  <c r="M139" i="17" s="1"/>
  <c r="I140" i="17"/>
  <c r="N140" i="17" s="1" a="1"/>
  <c r="N140" i="17" s="1"/>
  <c r="J140" i="17"/>
  <c r="O140" i="17" s="1" a="1"/>
  <c r="O140" i="17" s="1"/>
  <c r="K140" i="17"/>
  <c r="L140" i="17"/>
  <c r="M140" i="17" s="1"/>
  <c r="I141" i="17"/>
  <c r="N141" i="17" s="1" a="1"/>
  <c r="N141" i="17" s="1"/>
  <c r="J141" i="17"/>
  <c r="O141" i="17" s="1" a="1"/>
  <c r="O141" i="17" s="1"/>
  <c r="K141" i="17"/>
  <c r="L141" i="17"/>
  <c r="M141" i="17" s="1"/>
  <c r="I142" i="17"/>
  <c r="N142" i="17" s="1" a="1"/>
  <c r="N142" i="17" s="1"/>
  <c r="J142" i="17"/>
  <c r="O142" i="17" s="1" a="1"/>
  <c r="O142" i="17" s="1"/>
  <c r="K142" i="17"/>
  <c r="L142" i="17"/>
  <c r="M142" i="17" s="1"/>
  <c r="I143" i="17"/>
  <c r="N143" i="17" s="1" a="1"/>
  <c r="N143" i="17" s="1"/>
  <c r="J143" i="17"/>
  <c r="O143" i="17" s="1" a="1"/>
  <c r="O143" i="17" s="1"/>
  <c r="K143" i="17"/>
  <c r="L143" i="17"/>
  <c r="M143" i="17" s="1"/>
  <c r="I144" i="17"/>
  <c r="N144" i="17" s="1" a="1"/>
  <c r="N144" i="17" s="1"/>
  <c r="J144" i="17"/>
  <c r="O144" i="17" s="1" a="1"/>
  <c r="O144" i="17" s="1"/>
  <c r="K144" i="17"/>
  <c r="L144" i="17"/>
  <c r="M144" i="17" s="1"/>
  <c r="I145" i="17"/>
  <c r="N145" i="17" s="1" a="1"/>
  <c r="N145" i="17" s="1"/>
  <c r="J145" i="17"/>
  <c r="O145" i="17" s="1" a="1"/>
  <c r="O145" i="17" s="1"/>
  <c r="K145" i="17"/>
  <c r="L145" i="17"/>
  <c r="M145" i="17" s="1"/>
  <c r="I146" i="17"/>
  <c r="N146" i="17" s="1" a="1"/>
  <c r="N146" i="17" s="1"/>
  <c r="J146" i="17"/>
  <c r="O146" i="17" s="1" a="1"/>
  <c r="O146" i="17" s="1"/>
  <c r="K146" i="17"/>
  <c r="L146" i="17"/>
  <c r="M146" i="17" s="1"/>
  <c r="I147" i="17"/>
  <c r="N147" i="17" s="1" a="1"/>
  <c r="N147" i="17" s="1"/>
  <c r="J147" i="17"/>
  <c r="O147" i="17" s="1" a="1"/>
  <c r="O147" i="17" s="1"/>
  <c r="K147" i="17"/>
  <c r="L147" i="17"/>
  <c r="M147" i="17" s="1"/>
  <c r="I148" i="17"/>
  <c r="N148" i="17" s="1" a="1"/>
  <c r="N148" i="17" s="1"/>
  <c r="J148" i="17"/>
  <c r="O148" i="17" s="1" a="1"/>
  <c r="O148" i="17" s="1"/>
  <c r="K148" i="17"/>
  <c r="L148" i="17"/>
  <c r="M148" i="17" s="1"/>
  <c r="I149" i="17"/>
  <c r="N149" i="17" s="1" a="1"/>
  <c r="N149" i="17" s="1"/>
  <c r="J149" i="17"/>
  <c r="O149" i="17" s="1" a="1"/>
  <c r="O149" i="17" s="1"/>
  <c r="K149" i="17"/>
  <c r="L149" i="17"/>
  <c r="M149" i="17" s="1"/>
  <c r="I150" i="17"/>
  <c r="N150" i="17" s="1" a="1"/>
  <c r="N150" i="17" s="1"/>
  <c r="J150" i="17"/>
  <c r="O150" i="17" s="1" a="1"/>
  <c r="O150" i="17" s="1"/>
  <c r="K150" i="17"/>
  <c r="L150" i="17"/>
  <c r="M150" i="17" s="1"/>
  <c r="I151" i="17"/>
  <c r="N151" i="17" s="1" a="1"/>
  <c r="N151" i="17" s="1"/>
  <c r="J151" i="17"/>
  <c r="O151" i="17" s="1" a="1"/>
  <c r="O151" i="17" s="1"/>
  <c r="K151" i="17"/>
  <c r="L151" i="17"/>
  <c r="M151" i="17" s="1"/>
  <c r="I152" i="17"/>
  <c r="N152" i="17" s="1" a="1"/>
  <c r="N152" i="17" s="1"/>
  <c r="J152" i="17"/>
  <c r="O152" i="17" s="1" a="1"/>
  <c r="O152" i="17" s="1"/>
  <c r="K152" i="17"/>
  <c r="L152" i="17"/>
  <c r="M152" i="17" s="1"/>
  <c r="I153" i="17"/>
  <c r="N153" i="17" s="1" a="1"/>
  <c r="N153" i="17" s="1"/>
  <c r="J153" i="17"/>
  <c r="O153" i="17" s="1" a="1"/>
  <c r="O153" i="17" s="1"/>
  <c r="K153" i="17"/>
  <c r="L153" i="17"/>
  <c r="M153" i="17" s="1"/>
  <c r="I154" i="17"/>
  <c r="N154" i="17" s="1" a="1"/>
  <c r="N154" i="17" s="1"/>
  <c r="J154" i="17"/>
  <c r="O154" i="17" s="1" a="1"/>
  <c r="O154" i="17" s="1"/>
  <c r="K154" i="17"/>
  <c r="L154" i="17"/>
  <c r="M154" i="17" s="1"/>
  <c r="I155" i="17"/>
  <c r="N155" i="17" s="1" a="1"/>
  <c r="N155" i="17" s="1"/>
  <c r="J155" i="17"/>
  <c r="O155" i="17" s="1" a="1"/>
  <c r="O155" i="17" s="1"/>
  <c r="K155" i="17"/>
  <c r="L155" i="17"/>
  <c r="M155" i="17" s="1"/>
  <c r="I156" i="17"/>
  <c r="N156" i="17" s="1" a="1"/>
  <c r="N156" i="17" s="1"/>
  <c r="J156" i="17"/>
  <c r="O156" i="17" s="1" a="1"/>
  <c r="O156" i="17" s="1"/>
  <c r="K156" i="17"/>
  <c r="L156" i="17"/>
  <c r="M156" i="17" s="1"/>
  <c r="I157" i="17"/>
  <c r="N157" i="17" s="1" a="1"/>
  <c r="N157" i="17" s="1"/>
  <c r="J157" i="17"/>
  <c r="O157" i="17" s="1" a="1"/>
  <c r="O157" i="17" s="1"/>
  <c r="K157" i="17"/>
  <c r="L157" i="17"/>
  <c r="M157" i="17" s="1"/>
  <c r="I158" i="17"/>
  <c r="N158" i="17" s="1" a="1"/>
  <c r="N158" i="17" s="1"/>
  <c r="J158" i="17"/>
  <c r="O158" i="17" s="1" a="1"/>
  <c r="O158" i="17" s="1"/>
  <c r="K158" i="17"/>
  <c r="L158" i="17"/>
  <c r="M158" i="17" s="1"/>
  <c r="I159" i="17"/>
  <c r="N159" i="17" s="1" a="1"/>
  <c r="N159" i="17" s="1"/>
  <c r="J159" i="17"/>
  <c r="O159" i="17" s="1" a="1"/>
  <c r="O159" i="17" s="1"/>
  <c r="K159" i="17"/>
  <c r="L159" i="17"/>
  <c r="M159" i="17" s="1"/>
  <c r="I160" i="17"/>
  <c r="N160" i="17" s="1" a="1"/>
  <c r="N160" i="17" s="1"/>
  <c r="J160" i="17"/>
  <c r="O160" i="17" s="1" a="1"/>
  <c r="O160" i="17" s="1"/>
  <c r="K160" i="17"/>
  <c r="L160" i="17"/>
  <c r="M160" i="17" s="1"/>
  <c r="I161" i="17"/>
  <c r="N161" i="17" s="1" a="1"/>
  <c r="N161" i="17" s="1"/>
  <c r="J161" i="17"/>
  <c r="O161" i="17" s="1" a="1"/>
  <c r="O161" i="17" s="1"/>
  <c r="K161" i="17"/>
  <c r="L161" i="17"/>
  <c r="M161" i="17" s="1"/>
  <c r="I162" i="17"/>
  <c r="N162" i="17" s="1" a="1"/>
  <c r="N162" i="17" s="1"/>
  <c r="J162" i="17"/>
  <c r="O162" i="17" s="1" a="1"/>
  <c r="O162" i="17" s="1"/>
  <c r="K162" i="17"/>
  <c r="L162" i="17"/>
  <c r="M162" i="17" s="1"/>
  <c r="I163" i="17"/>
  <c r="N163" i="17" s="1" a="1"/>
  <c r="N163" i="17" s="1"/>
  <c r="J163" i="17"/>
  <c r="O163" i="17" s="1" a="1"/>
  <c r="O163" i="17" s="1"/>
  <c r="K163" i="17"/>
  <c r="L163" i="17"/>
  <c r="M163" i="17" s="1"/>
  <c r="I164" i="17"/>
  <c r="N164" i="17" s="1" a="1"/>
  <c r="N164" i="17" s="1"/>
  <c r="J164" i="17"/>
  <c r="O164" i="17" s="1" a="1"/>
  <c r="O164" i="17" s="1"/>
  <c r="K164" i="17"/>
  <c r="L164" i="17"/>
  <c r="M164" i="17" s="1"/>
  <c r="I165" i="17"/>
  <c r="N165" i="17" s="1" a="1"/>
  <c r="N165" i="17" s="1"/>
  <c r="J165" i="17"/>
  <c r="O165" i="17" s="1" a="1"/>
  <c r="O165" i="17" s="1"/>
  <c r="K165" i="17"/>
  <c r="L165" i="17"/>
  <c r="M165" i="17" s="1"/>
  <c r="I166" i="17"/>
  <c r="N166" i="17" s="1" a="1"/>
  <c r="N166" i="17" s="1"/>
  <c r="J166" i="17"/>
  <c r="O166" i="17" s="1" a="1"/>
  <c r="O166" i="17" s="1"/>
  <c r="K166" i="17"/>
  <c r="L166" i="17"/>
  <c r="M166" i="17" s="1"/>
  <c r="I167" i="17"/>
  <c r="N167" i="17" s="1" a="1"/>
  <c r="N167" i="17" s="1"/>
  <c r="J167" i="17"/>
  <c r="O167" i="17" s="1" a="1"/>
  <c r="O167" i="17" s="1"/>
  <c r="K167" i="17"/>
  <c r="L167" i="17"/>
  <c r="M167" i="17" s="1"/>
  <c r="I168" i="17"/>
  <c r="N168" i="17" s="1" a="1"/>
  <c r="N168" i="17" s="1"/>
  <c r="J168" i="17"/>
  <c r="O168" i="17" s="1" a="1"/>
  <c r="O168" i="17" s="1"/>
  <c r="K168" i="17"/>
  <c r="L168" i="17"/>
  <c r="M168" i="17" s="1"/>
  <c r="I169" i="17"/>
  <c r="N169" i="17" s="1" a="1"/>
  <c r="N169" i="17" s="1"/>
  <c r="J169" i="17"/>
  <c r="O169" i="17" s="1" a="1"/>
  <c r="O169" i="17" s="1"/>
  <c r="K169" i="17"/>
  <c r="L169" i="17"/>
  <c r="M169" i="17" s="1"/>
  <c r="I170" i="17"/>
  <c r="N170" i="17" s="1" a="1"/>
  <c r="N170" i="17" s="1"/>
  <c r="J170" i="17"/>
  <c r="O170" i="17" s="1" a="1"/>
  <c r="O170" i="17" s="1"/>
  <c r="K170" i="17"/>
  <c r="L170" i="17"/>
  <c r="M170" i="17" s="1"/>
  <c r="I171" i="17"/>
  <c r="N171" i="17" s="1" a="1"/>
  <c r="N171" i="17" s="1"/>
  <c r="J171" i="17"/>
  <c r="O171" i="17" s="1" a="1"/>
  <c r="O171" i="17" s="1"/>
  <c r="K171" i="17"/>
  <c r="L171" i="17"/>
  <c r="M171" i="17" s="1"/>
  <c r="I172" i="17"/>
  <c r="N172" i="17" s="1" a="1"/>
  <c r="N172" i="17" s="1"/>
  <c r="J172" i="17"/>
  <c r="O172" i="17" s="1" a="1"/>
  <c r="O172" i="17" s="1"/>
  <c r="K172" i="17"/>
  <c r="L172" i="17"/>
  <c r="M172" i="17" s="1"/>
  <c r="I173" i="17"/>
  <c r="N173" i="17" s="1" a="1"/>
  <c r="N173" i="17" s="1"/>
  <c r="J173" i="17"/>
  <c r="O173" i="17" s="1" a="1"/>
  <c r="O173" i="17" s="1"/>
  <c r="K173" i="17"/>
  <c r="L173" i="17"/>
  <c r="M173" i="17" s="1"/>
  <c r="I174" i="17"/>
  <c r="N174" i="17" s="1" a="1"/>
  <c r="N174" i="17" s="1"/>
  <c r="J174" i="17"/>
  <c r="O174" i="17" s="1" a="1"/>
  <c r="O174" i="17" s="1"/>
  <c r="K174" i="17"/>
  <c r="L174" i="17"/>
  <c r="M174" i="17" s="1"/>
  <c r="I175" i="17"/>
  <c r="N175" i="17" s="1" a="1"/>
  <c r="N175" i="17" s="1"/>
  <c r="J175" i="17"/>
  <c r="O175" i="17" s="1" a="1"/>
  <c r="O175" i="17" s="1"/>
  <c r="K175" i="17"/>
  <c r="L175" i="17"/>
  <c r="M175" i="17" s="1"/>
  <c r="I176" i="17"/>
  <c r="N176" i="17" s="1" a="1"/>
  <c r="N176" i="17" s="1"/>
  <c r="J176" i="17"/>
  <c r="O176" i="17" s="1" a="1"/>
  <c r="O176" i="17" s="1"/>
  <c r="K176" i="17"/>
  <c r="L176" i="17"/>
  <c r="M176" i="17" s="1"/>
  <c r="I177" i="17"/>
  <c r="N177" i="17" s="1" a="1"/>
  <c r="N177" i="17" s="1"/>
  <c r="J177" i="17"/>
  <c r="O177" i="17" s="1" a="1"/>
  <c r="O177" i="17" s="1"/>
  <c r="K177" i="17"/>
  <c r="L177" i="17"/>
  <c r="M177" i="17" s="1"/>
  <c r="I178" i="17"/>
  <c r="N178" i="17" s="1" a="1"/>
  <c r="N178" i="17" s="1"/>
  <c r="J178" i="17"/>
  <c r="O178" i="17" s="1" a="1"/>
  <c r="O178" i="17" s="1"/>
  <c r="K178" i="17"/>
  <c r="L178" i="17"/>
  <c r="M178" i="17" s="1"/>
  <c r="I179" i="17"/>
  <c r="N179" i="17" s="1" a="1"/>
  <c r="N179" i="17" s="1"/>
  <c r="J179" i="17"/>
  <c r="O179" i="17" s="1" a="1"/>
  <c r="O179" i="17" s="1"/>
  <c r="K179" i="17"/>
  <c r="L179" i="17"/>
  <c r="M179" i="17" s="1"/>
  <c r="I180" i="17"/>
  <c r="N180" i="17" s="1" a="1"/>
  <c r="N180" i="17" s="1"/>
  <c r="J180" i="17"/>
  <c r="O180" i="17" s="1" a="1"/>
  <c r="O180" i="17" s="1"/>
  <c r="K180" i="17"/>
  <c r="L180" i="17"/>
  <c r="M180" i="17" s="1"/>
  <c r="I181" i="17"/>
  <c r="N181" i="17" s="1" a="1"/>
  <c r="N181" i="17" s="1"/>
  <c r="J181" i="17"/>
  <c r="O181" i="17" s="1" a="1"/>
  <c r="O181" i="17" s="1"/>
  <c r="K181" i="17"/>
  <c r="L181" i="17"/>
  <c r="M181" i="17" s="1"/>
  <c r="I182" i="17"/>
  <c r="N182" i="17" s="1" a="1"/>
  <c r="N182" i="17" s="1"/>
  <c r="J182" i="17"/>
  <c r="O182" i="17" s="1" a="1"/>
  <c r="O182" i="17" s="1"/>
  <c r="K182" i="17"/>
  <c r="L182" i="17"/>
  <c r="M182" i="17" s="1"/>
  <c r="I183" i="17"/>
  <c r="N183" i="17" s="1" a="1"/>
  <c r="N183" i="17" s="1"/>
  <c r="J183" i="17"/>
  <c r="O183" i="17" s="1" a="1"/>
  <c r="O183" i="17" s="1"/>
  <c r="K183" i="17"/>
  <c r="L183" i="17"/>
  <c r="M183" i="17" s="1"/>
  <c r="I184" i="17"/>
  <c r="N184" i="17" s="1" a="1"/>
  <c r="N184" i="17" s="1"/>
  <c r="J184" i="17"/>
  <c r="O184" i="17" s="1" a="1"/>
  <c r="O184" i="17" s="1"/>
  <c r="K184" i="17"/>
  <c r="L184" i="17"/>
  <c r="M184" i="17" s="1"/>
  <c r="I185" i="17"/>
  <c r="N185" i="17" s="1" a="1"/>
  <c r="N185" i="17" s="1"/>
  <c r="J185" i="17"/>
  <c r="O185" i="17" s="1" a="1"/>
  <c r="O185" i="17" s="1"/>
  <c r="K185" i="17"/>
  <c r="L185" i="17"/>
  <c r="M185" i="17" s="1"/>
  <c r="I186" i="17"/>
  <c r="N186" i="17" s="1" a="1"/>
  <c r="N186" i="17" s="1"/>
  <c r="J186" i="17"/>
  <c r="O186" i="17" s="1" a="1"/>
  <c r="O186" i="17" s="1"/>
  <c r="K186" i="17"/>
  <c r="L186" i="17"/>
  <c r="M186" i="17" s="1"/>
  <c r="I187" i="17"/>
  <c r="N187" i="17" s="1" a="1"/>
  <c r="N187" i="17" s="1"/>
  <c r="J187" i="17"/>
  <c r="O187" i="17" s="1" a="1"/>
  <c r="O187" i="17" s="1"/>
  <c r="K187" i="17"/>
  <c r="L187" i="17"/>
  <c r="M187" i="17" s="1"/>
  <c r="I188" i="17"/>
  <c r="N188" i="17" s="1" a="1"/>
  <c r="N188" i="17" s="1"/>
  <c r="J188" i="17"/>
  <c r="O188" i="17" s="1" a="1"/>
  <c r="O188" i="17" s="1"/>
  <c r="K188" i="17"/>
  <c r="L188" i="17"/>
  <c r="M188" i="17" s="1"/>
  <c r="I189" i="17"/>
  <c r="N189" i="17" s="1" a="1"/>
  <c r="N189" i="17" s="1"/>
  <c r="J189" i="17"/>
  <c r="O189" i="17" s="1" a="1"/>
  <c r="O189" i="17" s="1"/>
  <c r="K189" i="17"/>
  <c r="L189" i="17"/>
  <c r="M189" i="17" s="1"/>
  <c r="I190" i="17"/>
  <c r="N190" i="17" s="1" a="1"/>
  <c r="N190" i="17" s="1"/>
  <c r="J190" i="17"/>
  <c r="O190" i="17" s="1" a="1"/>
  <c r="O190" i="17" s="1"/>
  <c r="K190" i="17"/>
  <c r="L190" i="17"/>
  <c r="M190" i="17" s="1"/>
  <c r="I191" i="17"/>
  <c r="N191" i="17" s="1" a="1"/>
  <c r="N191" i="17" s="1"/>
  <c r="J191" i="17"/>
  <c r="O191" i="17" s="1" a="1"/>
  <c r="O191" i="17" s="1"/>
  <c r="K191" i="17"/>
  <c r="L191" i="17"/>
  <c r="M191" i="17" s="1"/>
  <c r="I192" i="17"/>
  <c r="N192" i="17" s="1" a="1"/>
  <c r="N192" i="17" s="1"/>
  <c r="J192" i="17"/>
  <c r="O192" i="17" s="1" a="1"/>
  <c r="O192" i="17" s="1"/>
  <c r="K192" i="17"/>
  <c r="L192" i="17"/>
  <c r="M192" i="17" s="1"/>
  <c r="I193" i="17"/>
  <c r="N193" i="17" s="1" a="1"/>
  <c r="N193" i="17" s="1"/>
  <c r="J193" i="17"/>
  <c r="O193" i="17" s="1" a="1"/>
  <c r="O193" i="17" s="1"/>
  <c r="K193" i="17"/>
  <c r="L193" i="17"/>
  <c r="M193" i="17" s="1"/>
  <c r="I194" i="17"/>
  <c r="N194" i="17" s="1" a="1"/>
  <c r="N194" i="17" s="1"/>
  <c r="J194" i="17"/>
  <c r="O194" i="17" s="1" a="1"/>
  <c r="O194" i="17" s="1"/>
  <c r="K194" i="17"/>
  <c r="L194" i="17"/>
  <c r="M194" i="17" s="1"/>
  <c r="I195" i="17"/>
  <c r="N195" i="17" s="1" a="1"/>
  <c r="N195" i="17" s="1"/>
  <c r="J195" i="17"/>
  <c r="O195" i="17" s="1" a="1"/>
  <c r="O195" i="17" s="1"/>
  <c r="K195" i="17"/>
  <c r="L195" i="17"/>
  <c r="M195" i="17" s="1"/>
  <c r="I196" i="17"/>
  <c r="N196" i="17" s="1" a="1"/>
  <c r="N196" i="17" s="1"/>
  <c r="J196" i="17"/>
  <c r="O196" i="17" s="1" a="1"/>
  <c r="O196" i="17" s="1"/>
  <c r="K196" i="17"/>
  <c r="L196" i="17"/>
  <c r="M196" i="17" s="1"/>
  <c r="I197" i="17"/>
  <c r="N197" i="17" s="1" a="1"/>
  <c r="N197" i="17" s="1"/>
  <c r="J197" i="17"/>
  <c r="O197" i="17" s="1" a="1"/>
  <c r="O197" i="17" s="1"/>
  <c r="K197" i="17"/>
  <c r="L197" i="17"/>
  <c r="M197" i="17" s="1"/>
  <c r="I198" i="17"/>
  <c r="N198" i="17" s="1" a="1"/>
  <c r="N198" i="17" s="1"/>
  <c r="J198" i="17"/>
  <c r="O198" i="17" s="1" a="1"/>
  <c r="O198" i="17" s="1"/>
  <c r="K198" i="17"/>
  <c r="L198" i="17"/>
  <c r="M198" i="17" s="1"/>
  <c r="I199" i="17"/>
  <c r="N199" i="17" s="1" a="1"/>
  <c r="N199" i="17" s="1"/>
  <c r="J199" i="17"/>
  <c r="O199" i="17" s="1" a="1"/>
  <c r="O199" i="17" s="1"/>
  <c r="K199" i="17"/>
  <c r="L199" i="17"/>
  <c r="M199" i="17" s="1"/>
  <c r="I200" i="17"/>
  <c r="N200" i="17" s="1" a="1"/>
  <c r="N200" i="17" s="1"/>
  <c r="J200" i="17"/>
  <c r="O200" i="17" s="1" a="1"/>
  <c r="O200" i="17" s="1"/>
  <c r="K200" i="17"/>
  <c r="L200" i="17"/>
  <c r="M200" i="17" s="1"/>
  <c r="I201" i="17"/>
  <c r="N201" i="17" s="1" a="1"/>
  <c r="N201" i="17" s="1"/>
  <c r="J201" i="17"/>
  <c r="O201" i="17" s="1" a="1"/>
  <c r="O201" i="17" s="1"/>
  <c r="K201" i="17"/>
  <c r="L201" i="17"/>
  <c r="M201" i="17" s="1"/>
  <c r="I202" i="17"/>
  <c r="N202" i="17" s="1" a="1"/>
  <c r="N202" i="17" s="1"/>
  <c r="J202" i="17"/>
  <c r="O202" i="17" s="1" a="1"/>
  <c r="O202" i="17" s="1"/>
  <c r="K202" i="17"/>
  <c r="L202" i="17"/>
  <c r="M202" i="17" s="1"/>
  <c r="I203" i="17"/>
  <c r="N203" i="17" s="1" a="1"/>
  <c r="N203" i="17" s="1"/>
  <c r="J203" i="17"/>
  <c r="O203" i="17" s="1" a="1"/>
  <c r="O203" i="17" s="1"/>
  <c r="K203" i="17"/>
  <c r="L203" i="17"/>
  <c r="M203" i="17" s="1"/>
  <c r="I204" i="17"/>
  <c r="N204" i="17" s="1" a="1"/>
  <c r="N204" i="17" s="1"/>
  <c r="J204" i="17"/>
  <c r="O204" i="17" s="1" a="1"/>
  <c r="O204" i="17" s="1"/>
  <c r="K204" i="17"/>
  <c r="L204" i="17"/>
  <c r="M204" i="17" s="1"/>
  <c r="I205" i="17"/>
  <c r="N205" i="17" s="1" a="1"/>
  <c r="N205" i="17" s="1"/>
  <c r="J205" i="17"/>
  <c r="O205" i="17" s="1" a="1"/>
  <c r="O205" i="17" s="1"/>
  <c r="K205" i="17"/>
  <c r="L205" i="17"/>
  <c r="M205" i="17" s="1"/>
  <c r="I206" i="17"/>
  <c r="N206" i="17" s="1" a="1"/>
  <c r="N206" i="17" s="1"/>
  <c r="J206" i="17"/>
  <c r="O206" i="17" s="1" a="1"/>
  <c r="O206" i="17" s="1"/>
  <c r="K206" i="17"/>
  <c r="L206" i="17"/>
  <c r="M206" i="17" s="1"/>
  <c r="I207" i="17"/>
  <c r="N207" i="17" s="1" a="1"/>
  <c r="N207" i="17" s="1"/>
  <c r="J207" i="17"/>
  <c r="O207" i="17" s="1" a="1"/>
  <c r="O207" i="17" s="1"/>
  <c r="K207" i="17"/>
  <c r="L207" i="17"/>
  <c r="M207" i="17" s="1"/>
  <c r="I208" i="17"/>
  <c r="N208" i="17" s="1" a="1"/>
  <c r="N208" i="17" s="1"/>
  <c r="J208" i="17"/>
  <c r="O208" i="17" s="1" a="1"/>
  <c r="O208" i="17" s="1"/>
  <c r="K208" i="17"/>
  <c r="L208" i="17"/>
  <c r="M208" i="17" s="1"/>
  <c r="I209" i="17"/>
  <c r="N209" i="17" s="1" a="1"/>
  <c r="N209" i="17" s="1"/>
  <c r="J209" i="17"/>
  <c r="O209" i="17" s="1" a="1"/>
  <c r="O209" i="17" s="1"/>
  <c r="K209" i="17"/>
  <c r="L209" i="17"/>
  <c r="M209" i="17" s="1"/>
  <c r="I210" i="17"/>
  <c r="N210" i="17" s="1" a="1"/>
  <c r="N210" i="17" s="1"/>
  <c r="J210" i="17"/>
  <c r="O210" i="17" s="1" a="1"/>
  <c r="O210" i="17" s="1"/>
  <c r="K210" i="17"/>
  <c r="L210" i="17"/>
  <c r="M210" i="17" s="1"/>
  <c r="I211" i="17"/>
  <c r="N211" i="17" s="1" a="1"/>
  <c r="N211" i="17" s="1"/>
  <c r="J211" i="17"/>
  <c r="O211" i="17" s="1" a="1"/>
  <c r="O211" i="17" s="1"/>
  <c r="K211" i="17"/>
  <c r="L211" i="17"/>
  <c r="M211" i="17" s="1"/>
  <c r="I212" i="17"/>
  <c r="N212" i="17" s="1" a="1"/>
  <c r="N212" i="17" s="1"/>
  <c r="J212" i="17"/>
  <c r="O212" i="17" s="1" a="1"/>
  <c r="O212" i="17" s="1"/>
  <c r="K212" i="17"/>
  <c r="L212" i="17"/>
  <c r="M212" i="17" s="1"/>
  <c r="I213" i="17"/>
  <c r="N213" i="17" s="1" a="1"/>
  <c r="N213" i="17" s="1"/>
  <c r="J213" i="17"/>
  <c r="O213" i="17" s="1" a="1"/>
  <c r="O213" i="17" s="1"/>
  <c r="K213" i="17"/>
  <c r="L213" i="17"/>
  <c r="M213" i="17" s="1"/>
  <c r="I214" i="17"/>
  <c r="N214" i="17" s="1" a="1"/>
  <c r="N214" i="17" s="1"/>
  <c r="J214" i="17"/>
  <c r="O214" i="17" s="1" a="1"/>
  <c r="O214" i="17" s="1"/>
  <c r="K214" i="17"/>
  <c r="L214" i="17"/>
  <c r="M214" i="17" s="1"/>
  <c r="I215" i="17"/>
  <c r="N215" i="17" s="1" a="1"/>
  <c r="N215" i="17" s="1"/>
  <c r="J215" i="17"/>
  <c r="O215" i="17" s="1" a="1"/>
  <c r="O215" i="17" s="1"/>
  <c r="K215" i="17"/>
  <c r="L215" i="17"/>
  <c r="M215" i="17" s="1"/>
  <c r="I216" i="17"/>
  <c r="N216" i="17" s="1" a="1"/>
  <c r="N216" i="17" s="1"/>
  <c r="J216" i="17"/>
  <c r="O216" i="17" s="1" a="1"/>
  <c r="O216" i="17" s="1"/>
  <c r="K216" i="17"/>
  <c r="L216" i="17"/>
  <c r="M216" i="17" s="1"/>
  <c r="I217" i="17"/>
  <c r="N217" i="17" s="1" a="1"/>
  <c r="N217" i="17" s="1"/>
  <c r="J217" i="17"/>
  <c r="O217" i="17" s="1" a="1"/>
  <c r="O217" i="17" s="1"/>
  <c r="K217" i="17"/>
  <c r="L217" i="17"/>
  <c r="M217" i="17" s="1"/>
  <c r="I218" i="17"/>
  <c r="N218" i="17" s="1" a="1"/>
  <c r="N218" i="17" s="1"/>
  <c r="J218" i="17"/>
  <c r="O218" i="17" s="1" a="1"/>
  <c r="O218" i="17" s="1"/>
  <c r="K218" i="17"/>
  <c r="L218" i="17"/>
  <c r="M218" i="17" s="1"/>
  <c r="I219" i="17"/>
  <c r="N219" i="17" s="1" a="1"/>
  <c r="N219" i="17" s="1"/>
  <c r="J219" i="17"/>
  <c r="O219" i="17" s="1" a="1"/>
  <c r="O219" i="17" s="1"/>
  <c r="K219" i="17"/>
  <c r="L219" i="17"/>
  <c r="M219" i="17" s="1"/>
  <c r="I220" i="17"/>
  <c r="N220" i="17" s="1" a="1"/>
  <c r="N220" i="17" s="1"/>
  <c r="J220" i="17"/>
  <c r="O220" i="17" s="1" a="1"/>
  <c r="O220" i="17" s="1"/>
  <c r="K220" i="17"/>
  <c r="L220" i="17"/>
  <c r="M220" i="17" s="1"/>
  <c r="I221" i="17"/>
  <c r="N221" i="17" s="1" a="1"/>
  <c r="N221" i="17" s="1"/>
  <c r="J221" i="17"/>
  <c r="O221" i="17" s="1" a="1"/>
  <c r="O221" i="17" s="1"/>
  <c r="K221" i="17"/>
  <c r="L221" i="17"/>
  <c r="M221" i="17" s="1"/>
  <c r="I222" i="17"/>
  <c r="N222" i="17" s="1" a="1"/>
  <c r="N222" i="17" s="1"/>
  <c r="J222" i="17"/>
  <c r="O222" i="17" s="1" a="1"/>
  <c r="O222" i="17" s="1"/>
  <c r="K222" i="17"/>
  <c r="L222" i="17"/>
  <c r="M222" i="17" s="1"/>
  <c r="I223" i="17"/>
  <c r="N223" i="17" s="1" a="1"/>
  <c r="N223" i="17" s="1"/>
  <c r="J223" i="17"/>
  <c r="O223" i="17" s="1" a="1"/>
  <c r="O223" i="17" s="1"/>
  <c r="K223" i="17"/>
  <c r="L223" i="17"/>
  <c r="M223" i="17" s="1"/>
  <c r="I224" i="17"/>
  <c r="N224" i="17" s="1" a="1"/>
  <c r="N224" i="17" s="1"/>
  <c r="J224" i="17"/>
  <c r="O224" i="17" s="1" a="1"/>
  <c r="O224" i="17" s="1"/>
  <c r="K224" i="17"/>
  <c r="L224" i="17"/>
  <c r="M224" i="17" s="1"/>
  <c r="I225" i="17"/>
  <c r="N225" i="17" s="1" a="1"/>
  <c r="N225" i="17" s="1"/>
  <c r="J225" i="17"/>
  <c r="O225" i="17" s="1" a="1"/>
  <c r="O225" i="17" s="1"/>
  <c r="K225" i="17"/>
  <c r="L225" i="17"/>
  <c r="M225" i="17" s="1"/>
  <c r="I226" i="17"/>
  <c r="N226" i="17" s="1" a="1"/>
  <c r="N226" i="17" s="1"/>
  <c r="J226" i="17"/>
  <c r="O226" i="17" s="1" a="1"/>
  <c r="O226" i="17" s="1"/>
  <c r="K226" i="17"/>
  <c r="L226" i="17"/>
  <c r="M226" i="17" s="1"/>
  <c r="I227" i="17"/>
  <c r="N227" i="17" s="1" a="1"/>
  <c r="N227" i="17" s="1"/>
  <c r="J227" i="17"/>
  <c r="O227" i="17" s="1" a="1"/>
  <c r="O227" i="17" s="1"/>
  <c r="K227" i="17"/>
  <c r="L227" i="17"/>
  <c r="M227" i="17" s="1"/>
  <c r="I228" i="17"/>
  <c r="N228" i="17" s="1" a="1"/>
  <c r="N228" i="17" s="1"/>
  <c r="J228" i="17"/>
  <c r="O228" i="17" s="1" a="1"/>
  <c r="O228" i="17" s="1"/>
  <c r="K228" i="17"/>
  <c r="L228" i="17"/>
  <c r="M228" i="17" s="1"/>
  <c r="I229" i="17"/>
  <c r="N229" i="17" s="1" a="1"/>
  <c r="N229" i="17" s="1"/>
  <c r="J229" i="17"/>
  <c r="O229" i="17" s="1" a="1"/>
  <c r="O229" i="17" s="1"/>
  <c r="K229" i="17"/>
  <c r="L229" i="17"/>
  <c r="M229" i="17" s="1"/>
  <c r="I230" i="17"/>
  <c r="N230" i="17" s="1" a="1"/>
  <c r="N230" i="17" s="1"/>
  <c r="J230" i="17"/>
  <c r="O230" i="17" s="1" a="1"/>
  <c r="O230" i="17" s="1"/>
  <c r="K230" i="17"/>
  <c r="L230" i="17"/>
  <c r="M230" i="17" s="1"/>
  <c r="I231" i="17"/>
  <c r="N231" i="17" s="1" a="1"/>
  <c r="N231" i="17" s="1"/>
  <c r="J231" i="17"/>
  <c r="O231" i="17" s="1" a="1"/>
  <c r="O231" i="17" s="1"/>
  <c r="K231" i="17"/>
  <c r="L231" i="17"/>
  <c r="M231" i="17" s="1"/>
  <c r="I232" i="17"/>
  <c r="N232" i="17" s="1" a="1"/>
  <c r="N232" i="17" s="1"/>
  <c r="J232" i="17"/>
  <c r="O232" i="17" s="1" a="1"/>
  <c r="O232" i="17" s="1"/>
  <c r="K232" i="17"/>
  <c r="L232" i="17"/>
  <c r="M232" i="17" s="1"/>
  <c r="I233" i="17"/>
  <c r="N233" i="17" s="1" a="1"/>
  <c r="N233" i="17" s="1"/>
  <c r="J233" i="17"/>
  <c r="O233" i="17" s="1" a="1"/>
  <c r="O233" i="17" s="1"/>
  <c r="K233" i="17"/>
  <c r="L233" i="17"/>
  <c r="M233" i="17" s="1"/>
  <c r="I234" i="17"/>
  <c r="N234" i="17" s="1" a="1"/>
  <c r="N234" i="17" s="1"/>
  <c r="J234" i="17"/>
  <c r="O234" i="17" s="1" a="1"/>
  <c r="O234" i="17" s="1"/>
  <c r="K234" i="17"/>
  <c r="L234" i="17"/>
  <c r="M234" i="17" s="1"/>
  <c r="I235" i="17"/>
  <c r="N235" i="17" s="1" a="1"/>
  <c r="N235" i="17" s="1"/>
  <c r="J235" i="17"/>
  <c r="O235" i="17" s="1" a="1"/>
  <c r="O235" i="17" s="1"/>
  <c r="K235" i="17"/>
  <c r="L235" i="17"/>
  <c r="M235" i="17" s="1"/>
  <c r="I236" i="17"/>
  <c r="N236" i="17" s="1" a="1"/>
  <c r="N236" i="17" s="1"/>
  <c r="J236" i="17"/>
  <c r="O236" i="17" s="1" a="1"/>
  <c r="O236" i="17" s="1"/>
  <c r="K236" i="17"/>
  <c r="L236" i="17"/>
  <c r="M236" i="17" s="1"/>
  <c r="I237" i="17"/>
  <c r="N237" i="17" s="1" a="1"/>
  <c r="N237" i="17" s="1"/>
  <c r="J237" i="17"/>
  <c r="O237" i="17" s="1" a="1"/>
  <c r="O237" i="17" s="1"/>
  <c r="K237" i="17"/>
  <c r="L237" i="17"/>
  <c r="M237" i="17" s="1"/>
  <c r="I238" i="17"/>
  <c r="N238" i="17" s="1" a="1"/>
  <c r="N238" i="17" s="1"/>
  <c r="J238" i="17"/>
  <c r="O238" i="17" s="1" a="1"/>
  <c r="O238" i="17" s="1"/>
  <c r="K238" i="17"/>
  <c r="L238" i="17"/>
  <c r="M238" i="17" s="1"/>
  <c r="I239" i="17"/>
  <c r="N239" i="17" s="1" a="1"/>
  <c r="N239" i="17" s="1"/>
  <c r="J239" i="17"/>
  <c r="O239" i="17" s="1" a="1"/>
  <c r="O239" i="17" s="1"/>
  <c r="K239" i="17"/>
  <c r="L239" i="17"/>
  <c r="M239" i="17" s="1"/>
  <c r="I240" i="17"/>
  <c r="N240" i="17" s="1" a="1"/>
  <c r="N240" i="17" s="1"/>
  <c r="J240" i="17"/>
  <c r="O240" i="17" s="1" a="1"/>
  <c r="O240" i="17" s="1"/>
  <c r="K240" i="17"/>
  <c r="L240" i="17"/>
  <c r="M240" i="17" s="1"/>
  <c r="I241" i="17"/>
  <c r="N241" i="17" s="1" a="1"/>
  <c r="N241" i="17" s="1"/>
  <c r="J241" i="17"/>
  <c r="O241" i="17" s="1" a="1"/>
  <c r="O241" i="17" s="1"/>
  <c r="K241" i="17"/>
  <c r="L241" i="17"/>
  <c r="M241" i="17" s="1"/>
  <c r="I242" i="17"/>
  <c r="N242" i="17" s="1" a="1"/>
  <c r="N242" i="17" s="1"/>
  <c r="J242" i="17"/>
  <c r="O242" i="17" s="1" a="1"/>
  <c r="O242" i="17" s="1"/>
  <c r="K242" i="17"/>
  <c r="L242" i="17"/>
  <c r="M242" i="17" s="1"/>
  <c r="I243" i="17"/>
  <c r="N243" i="17" s="1" a="1"/>
  <c r="N243" i="17" s="1"/>
  <c r="J243" i="17"/>
  <c r="O243" i="17" s="1" a="1"/>
  <c r="O243" i="17" s="1"/>
  <c r="K243" i="17"/>
  <c r="L243" i="17"/>
  <c r="M243" i="17" s="1"/>
  <c r="I244" i="17"/>
  <c r="N244" i="17" s="1" a="1"/>
  <c r="N244" i="17" s="1"/>
  <c r="J244" i="17"/>
  <c r="O244" i="17" s="1" a="1"/>
  <c r="O244" i="17" s="1"/>
  <c r="K244" i="17"/>
  <c r="L244" i="17"/>
  <c r="M244" i="17" s="1"/>
  <c r="I245" i="17"/>
  <c r="N245" i="17" s="1" a="1"/>
  <c r="N245" i="17" s="1"/>
  <c r="J245" i="17"/>
  <c r="O245" i="17" s="1" a="1"/>
  <c r="O245" i="17" s="1"/>
  <c r="K245" i="17"/>
  <c r="L245" i="17"/>
  <c r="M245" i="17" s="1"/>
  <c r="I246" i="17"/>
  <c r="N246" i="17" s="1" a="1"/>
  <c r="N246" i="17" s="1"/>
  <c r="J246" i="17"/>
  <c r="O246" i="17" s="1" a="1"/>
  <c r="O246" i="17" s="1"/>
  <c r="K246" i="17"/>
  <c r="L246" i="17"/>
  <c r="M246" i="17" s="1"/>
  <c r="I247" i="17"/>
  <c r="N247" i="17" s="1" a="1"/>
  <c r="N247" i="17" s="1"/>
  <c r="J247" i="17"/>
  <c r="O247" i="17" s="1" a="1"/>
  <c r="O247" i="17" s="1"/>
  <c r="K247" i="17"/>
  <c r="L247" i="17"/>
  <c r="M247" i="17" s="1"/>
  <c r="I248" i="17"/>
  <c r="N248" i="17" s="1" a="1"/>
  <c r="N248" i="17" s="1"/>
  <c r="J248" i="17"/>
  <c r="O248" i="17" s="1" a="1"/>
  <c r="O248" i="17" s="1"/>
  <c r="K248" i="17"/>
  <c r="L248" i="17"/>
  <c r="M248" i="17" s="1"/>
  <c r="I249" i="17"/>
  <c r="N249" i="17" s="1" a="1"/>
  <c r="N249" i="17" s="1"/>
  <c r="J249" i="17"/>
  <c r="O249" i="17" s="1" a="1"/>
  <c r="O249" i="17" s="1"/>
  <c r="K249" i="17"/>
  <c r="L249" i="17"/>
  <c r="M249" i="17" s="1"/>
  <c r="I250" i="17"/>
  <c r="N250" i="17" s="1" a="1"/>
  <c r="N250" i="17" s="1"/>
  <c r="J250" i="17"/>
  <c r="O250" i="17" s="1" a="1"/>
  <c r="O250" i="17" s="1"/>
  <c r="K250" i="17"/>
  <c r="L250" i="17"/>
  <c r="M250" i="17" s="1"/>
  <c r="I251" i="17"/>
  <c r="N251" i="17" s="1" a="1"/>
  <c r="N251" i="17" s="1"/>
  <c r="J251" i="17"/>
  <c r="O251" i="17" s="1" a="1"/>
  <c r="O251" i="17" s="1"/>
  <c r="K251" i="17"/>
  <c r="L251" i="17"/>
  <c r="M251" i="17" s="1"/>
  <c r="I252" i="17"/>
  <c r="N252" i="17" s="1" a="1"/>
  <c r="N252" i="17" s="1"/>
  <c r="J252" i="17"/>
  <c r="O252" i="17" s="1" a="1"/>
  <c r="O252" i="17" s="1"/>
  <c r="K252" i="17"/>
  <c r="L252" i="17"/>
  <c r="M252" i="17" s="1"/>
  <c r="I253" i="17"/>
  <c r="N253" i="17" s="1" a="1"/>
  <c r="N253" i="17" s="1"/>
  <c r="J253" i="17"/>
  <c r="O253" i="17" s="1" a="1"/>
  <c r="O253" i="17" s="1"/>
  <c r="K253" i="17"/>
  <c r="L253" i="17"/>
  <c r="M253" i="17" s="1"/>
  <c r="I254" i="17"/>
  <c r="N254" i="17" s="1" a="1"/>
  <c r="N254" i="17" s="1"/>
  <c r="J254" i="17"/>
  <c r="O254" i="17" s="1" a="1"/>
  <c r="O254" i="17" s="1"/>
  <c r="K254" i="17"/>
  <c r="L254" i="17"/>
  <c r="M254" i="17" s="1"/>
  <c r="I255" i="17"/>
  <c r="N255" i="17" s="1" a="1"/>
  <c r="N255" i="17" s="1"/>
  <c r="J255" i="17"/>
  <c r="O255" i="17" s="1" a="1"/>
  <c r="O255" i="17" s="1"/>
  <c r="K255" i="17"/>
  <c r="L255" i="17"/>
  <c r="M255" i="17" s="1"/>
  <c r="I256" i="17"/>
  <c r="N256" i="17" s="1" a="1"/>
  <c r="N256" i="17" s="1"/>
  <c r="J256" i="17"/>
  <c r="O256" i="17" s="1" a="1"/>
  <c r="O256" i="17" s="1"/>
  <c r="K256" i="17"/>
  <c r="L256" i="17"/>
  <c r="M256" i="17" s="1"/>
  <c r="I257" i="17"/>
  <c r="N257" i="17" s="1" a="1"/>
  <c r="N257" i="17" s="1"/>
  <c r="J257" i="17"/>
  <c r="O257" i="17" s="1" a="1"/>
  <c r="O257" i="17" s="1"/>
  <c r="K257" i="17"/>
  <c r="L257" i="17"/>
  <c r="M257" i="17" s="1"/>
  <c r="I258" i="17"/>
  <c r="N258" i="17" s="1" a="1"/>
  <c r="N258" i="17" s="1"/>
  <c r="J258" i="17"/>
  <c r="O258" i="17" s="1" a="1"/>
  <c r="O258" i="17" s="1"/>
  <c r="K258" i="17"/>
  <c r="L258" i="17"/>
  <c r="M258" i="17" s="1"/>
  <c r="I259" i="17"/>
  <c r="N259" i="17" s="1" a="1"/>
  <c r="N259" i="17" s="1"/>
  <c r="J259" i="17"/>
  <c r="O259" i="17" s="1" a="1"/>
  <c r="O259" i="17" s="1"/>
  <c r="K259" i="17"/>
  <c r="L259" i="17"/>
  <c r="M259" i="17" s="1"/>
  <c r="I260" i="17"/>
  <c r="N260" i="17" s="1" a="1"/>
  <c r="N260" i="17" s="1"/>
  <c r="J260" i="17"/>
  <c r="O260" i="17" s="1" a="1"/>
  <c r="O260" i="17" s="1"/>
  <c r="K260" i="17"/>
  <c r="L260" i="17"/>
  <c r="M260" i="17" s="1"/>
  <c r="I261" i="17"/>
  <c r="N261" i="17" s="1" a="1"/>
  <c r="N261" i="17" s="1"/>
  <c r="J261" i="17"/>
  <c r="O261" i="17" s="1" a="1"/>
  <c r="O261" i="17" s="1"/>
  <c r="K261" i="17"/>
  <c r="L261" i="17"/>
  <c r="M261" i="17" s="1"/>
  <c r="I262" i="17"/>
  <c r="N262" i="17" s="1" a="1"/>
  <c r="N262" i="17" s="1"/>
  <c r="J262" i="17"/>
  <c r="O262" i="17" s="1" a="1"/>
  <c r="O262" i="17" s="1"/>
  <c r="K262" i="17"/>
  <c r="L262" i="17"/>
  <c r="M262" i="17" s="1"/>
  <c r="I263" i="17"/>
  <c r="N263" i="17" s="1" a="1"/>
  <c r="N263" i="17" s="1"/>
  <c r="J263" i="17"/>
  <c r="O263" i="17" s="1" a="1"/>
  <c r="O263" i="17" s="1"/>
  <c r="K263" i="17"/>
  <c r="L263" i="17"/>
  <c r="M263" i="17" s="1"/>
  <c r="I264" i="17"/>
  <c r="N264" i="17" s="1" a="1"/>
  <c r="N264" i="17" s="1"/>
  <c r="J264" i="17"/>
  <c r="O264" i="17" s="1" a="1"/>
  <c r="O264" i="17" s="1"/>
  <c r="K264" i="17"/>
  <c r="L264" i="17"/>
  <c r="M264" i="17" s="1"/>
  <c r="I265" i="17"/>
  <c r="N265" i="17" s="1" a="1"/>
  <c r="N265" i="17" s="1"/>
  <c r="J265" i="17"/>
  <c r="O265" i="17" s="1" a="1"/>
  <c r="O265" i="17" s="1"/>
  <c r="K265" i="17"/>
  <c r="L265" i="17"/>
  <c r="M265" i="17" s="1"/>
  <c r="I266" i="17"/>
  <c r="N266" i="17" s="1" a="1"/>
  <c r="N266" i="17" s="1"/>
  <c r="J266" i="17"/>
  <c r="O266" i="17" s="1" a="1"/>
  <c r="O266" i="17" s="1"/>
  <c r="K266" i="17"/>
  <c r="L266" i="17"/>
  <c r="M266" i="17" s="1"/>
  <c r="I267" i="17"/>
  <c r="N267" i="17" s="1" a="1"/>
  <c r="N267" i="17" s="1"/>
  <c r="J267" i="17"/>
  <c r="O267" i="17" s="1" a="1"/>
  <c r="O267" i="17" s="1"/>
  <c r="K267" i="17"/>
  <c r="L267" i="17"/>
  <c r="M267" i="17" s="1"/>
  <c r="I268" i="17"/>
  <c r="N268" i="17" s="1" a="1"/>
  <c r="N268" i="17" s="1"/>
  <c r="J268" i="17"/>
  <c r="O268" i="17" s="1" a="1"/>
  <c r="O268" i="17" s="1"/>
  <c r="K268" i="17"/>
  <c r="L268" i="17"/>
  <c r="M268" i="17" s="1"/>
  <c r="I269" i="17"/>
  <c r="N269" i="17" s="1" a="1"/>
  <c r="N269" i="17" s="1"/>
  <c r="J269" i="17"/>
  <c r="O269" i="17" s="1" a="1"/>
  <c r="O269" i="17" s="1"/>
  <c r="K269" i="17"/>
  <c r="L269" i="17"/>
  <c r="M269" i="17" s="1"/>
  <c r="I270" i="17"/>
  <c r="N270" i="17" s="1" a="1"/>
  <c r="N270" i="17" s="1"/>
  <c r="J270" i="17"/>
  <c r="O270" i="17" s="1" a="1"/>
  <c r="O270" i="17" s="1"/>
  <c r="K270" i="17"/>
  <c r="L270" i="17"/>
  <c r="M270" i="17" s="1"/>
  <c r="I271" i="17"/>
  <c r="N271" i="17" s="1" a="1"/>
  <c r="N271" i="17" s="1"/>
  <c r="J271" i="17"/>
  <c r="O271" i="17" s="1" a="1"/>
  <c r="O271" i="17" s="1"/>
  <c r="K271" i="17"/>
  <c r="L271" i="17"/>
  <c r="M271" i="17" s="1"/>
  <c r="I272" i="17"/>
  <c r="N272" i="17" s="1" a="1"/>
  <c r="N272" i="17" s="1"/>
  <c r="J272" i="17"/>
  <c r="O272" i="17" s="1" a="1"/>
  <c r="O272" i="17" s="1"/>
  <c r="K272" i="17"/>
  <c r="L272" i="17"/>
  <c r="M272" i="17" s="1"/>
  <c r="I273" i="17"/>
  <c r="N273" i="17" s="1" a="1"/>
  <c r="N273" i="17" s="1"/>
  <c r="J273" i="17"/>
  <c r="O273" i="17" s="1" a="1"/>
  <c r="O273" i="17" s="1"/>
  <c r="K273" i="17"/>
  <c r="L273" i="17"/>
  <c r="M273" i="17" s="1"/>
  <c r="I274" i="17"/>
  <c r="N274" i="17" s="1" a="1"/>
  <c r="N274" i="17" s="1"/>
  <c r="J274" i="17"/>
  <c r="O274" i="17" s="1" a="1"/>
  <c r="O274" i="17" s="1"/>
  <c r="K274" i="17"/>
  <c r="L274" i="17"/>
  <c r="M274" i="17" s="1"/>
  <c r="I275" i="17"/>
  <c r="N275" i="17" s="1" a="1"/>
  <c r="N275" i="17" s="1"/>
  <c r="J275" i="17"/>
  <c r="O275" i="17" s="1" a="1"/>
  <c r="O275" i="17" s="1"/>
  <c r="K275" i="17"/>
  <c r="L275" i="17"/>
  <c r="M275" i="17" s="1"/>
  <c r="I276" i="17"/>
  <c r="N276" i="17" s="1" a="1"/>
  <c r="N276" i="17" s="1"/>
  <c r="J276" i="17"/>
  <c r="O276" i="17" s="1" a="1"/>
  <c r="O276" i="17" s="1"/>
  <c r="K276" i="17"/>
  <c r="L276" i="17"/>
  <c r="M276" i="17" s="1"/>
  <c r="I277" i="17"/>
  <c r="N277" i="17" s="1" a="1"/>
  <c r="N277" i="17" s="1"/>
  <c r="J277" i="17"/>
  <c r="O277" i="17" s="1" a="1"/>
  <c r="O277" i="17" s="1"/>
  <c r="K277" i="17"/>
  <c r="L277" i="17"/>
  <c r="M277" i="17" s="1"/>
  <c r="I278" i="17"/>
  <c r="N278" i="17" s="1" a="1"/>
  <c r="N278" i="17" s="1"/>
  <c r="J278" i="17"/>
  <c r="O278" i="17" s="1" a="1"/>
  <c r="O278" i="17" s="1"/>
  <c r="K278" i="17"/>
  <c r="L278" i="17"/>
  <c r="M278" i="17" s="1"/>
  <c r="I279" i="17"/>
  <c r="N279" i="17" s="1" a="1"/>
  <c r="N279" i="17" s="1"/>
  <c r="J279" i="17"/>
  <c r="O279" i="17" s="1" a="1"/>
  <c r="O279" i="17" s="1"/>
  <c r="K279" i="17"/>
  <c r="L279" i="17"/>
  <c r="M279" i="17" s="1"/>
  <c r="I280" i="17"/>
  <c r="N280" i="17" s="1" a="1"/>
  <c r="N280" i="17" s="1"/>
  <c r="J280" i="17"/>
  <c r="O280" i="17" s="1" a="1"/>
  <c r="O280" i="17" s="1"/>
  <c r="K280" i="17"/>
  <c r="L280" i="17"/>
  <c r="M280" i="17" s="1"/>
  <c r="I281" i="17"/>
  <c r="N281" i="17" s="1" a="1"/>
  <c r="N281" i="17" s="1"/>
  <c r="J281" i="17"/>
  <c r="O281" i="17" s="1" a="1"/>
  <c r="O281" i="17" s="1"/>
  <c r="K281" i="17"/>
  <c r="L281" i="17"/>
  <c r="M281" i="17" s="1"/>
  <c r="I282" i="17"/>
  <c r="N282" i="17" s="1" a="1"/>
  <c r="N282" i="17" s="1"/>
  <c r="J282" i="17"/>
  <c r="O282" i="17" s="1" a="1"/>
  <c r="O282" i="17" s="1"/>
  <c r="K282" i="17"/>
  <c r="L282" i="17"/>
  <c r="M282" i="17" s="1"/>
  <c r="I283" i="17"/>
  <c r="N283" i="17" s="1" a="1"/>
  <c r="N283" i="17" s="1"/>
  <c r="J283" i="17"/>
  <c r="O283" i="17" s="1" a="1"/>
  <c r="O283" i="17" s="1"/>
  <c r="K283" i="17"/>
  <c r="L283" i="17"/>
  <c r="M283" i="17" s="1"/>
  <c r="I284" i="17"/>
  <c r="N284" i="17" s="1" a="1"/>
  <c r="N284" i="17" s="1"/>
  <c r="J284" i="17"/>
  <c r="O284" i="17" s="1" a="1"/>
  <c r="O284" i="17" s="1"/>
  <c r="K284" i="17"/>
  <c r="L284" i="17"/>
  <c r="M284" i="17" s="1"/>
  <c r="I285" i="17"/>
  <c r="N285" i="17" s="1" a="1"/>
  <c r="N285" i="17" s="1"/>
  <c r="J285" i="17"/>
  <c r="O285" i="17" s="1" a="1"/>
  <c r="O285" i="17" s="1"/>
  <c r="K285" i="17"/>
  <c r="L285" i="17"/>
  <c r="M285" i="17" s="1"/>
  <c r="I286" i="17"/>
  <c r="N286" i="17" s="1" a="1"/>
  <c r="N286" i="17" s="1"/>
  <c r="J286" i="17"/>
  <c r="O286" i="17" s="1" a="1"/>
  <c r="O286" i="17" s="1"/>
  <c r="K286" i="17"/>
  <c r="L286" i="17"/>
  <c r="M286" i="17" s="1"/>
  <c r="I287" i="17"/>
  <c r="N287" i="17" s="1" a="1"/>
  <c r="N287" i="17" s="1"/>
  <c r="J287" i="17"/>
  <c r="O287" i="17" s="1" a="1"/>
  <c r="O287" i="17" s="1"/>
  <c r="K287" i="17"/>
  <c r="L287" i="17"/>
  <c r="M287" i="17" s="1"/>
  <c r="I288" i="17"/>
  <c r="N288" i="17" s="1" a="1"/>
  <c r="N288" i="17" s="1"/>
  <c r="J288" i="17"/>
  <c r="O288" i="17" s="1" a="1"/>
  <c r="O288" i="17" s="1"/>
  <c r="K288" i="17"/>
  <c r="L288" i="17"/>
  <c r="M288" i="17" s="1"/>
  <c r="I289" i="17"/>
  <c r="N289" i="17" s="1" a="1"/>
  <c r="N289" i="17" s="1"/>
  <c r="J289" i="17"/>
  <c r="O289" i="17" s="1" a="1"/>
  <c r="O289" i="17" s="1"/>
  <c r="K289" i="17"/>
  <c r="L289" i="17"/>
  <c r="M289" i="17" s="1"/>
  <c r="I290" i="17"/>
  <c r="N290" i="17" s="1" a="1"/>
  <c r="N290" i="17" s="1"/>
  <c r="J290" i="17"/>
  <c r="O290" i="17" s="1" a="1"/>
  <c r="O290" i="17" s="1"/>
  <c r="K290" i="17"/>
  <c r="L290" i="17"/>
  <c r="M290" i="17" s="1"/>
  <c r="I291" i="17"/>
  <c r="N291" i="17" s="1" a="1"/>
  <c r="N291" i="17" s="1"/>
  <c r="J291" i="17"/>
  <c r="O291" i="17" s="1" a="1"/>
  <c r="O291" i="17" s="1"/>
  <c r="K291" i="17"/>
  <c r="L291" i="17"/>
  <c r="M291" i="17" s="1"/>
  <c r="I292" i="17"/>
  <c r="N292" i="17" s="1" a="1"/>
  <c r="N292" i="17" s="1"/>
  <c r="J292" i="17"/>
  <c r="O292" i="17" s="1" a="1"/>
  <c r="O292" i="17" s="1"/>
  <c r="K292" i="17"/>
  <c r="L292" i="17"/>
  <c r="M292" i="17" s="1"/>
  <c r="I293" i="17"/>
  <c r="N293" i="17" s="1" a="1"/>
  <c r="N293" i="17" s="1"/>
  <c r="J293" i="17"/>
  <c r="O293" i="17" s="1" a="1"/>
  <c r="O293" i="17" s="1"/>
  <c r="K293" i="17"/>
  <c r="L293" i="17"/>
  <c r="M293" i="17" s="1"/>
  <c r="I294" i="17"/>
  <c r="N294" i="17" s="1" a="1"/>
  <c r="N294" i="17" s="1"/>
  <c r="J294" i="17"/>
  <c r="O294" i="17" s="1" a="1"/>
  <c r="O294" i="17" s="1"/>
  <c r="K294" i="17"/>
  <c r="L294" i="17"/>
  <c r="M294" i="17" s="1"/>
  <c r="I295" i="17"/>
  <c r="N295" i="17" s="1" a="1"/>
  <c r="N295" i="17" s="1"/>
  <c r="J295" i="17"/>
  <c r="O295" i="17" s="1" a="1"/>
  <c r="O295" i="17" s="1"/>
  <c r="K295" i="17"/>
  <c r="L295" i="17"/>
  <c r="M295" i="17" s="1"/>
  <c r="I296" i="17"/>
  <c r="N296" i="17" s="1" a="1"/>
  <c r="N296" i="17" s="1"/>
  <c r="J296" i="17"/>
  <c r="O296" i="17" s="1" a="1"/>
  <c r="O296" i="17" s="1"/>
  <c r="K296" i="17"/>
  <c r="L296" i="17"/>
  <c r="M296" i="17" s="1"/>
  <c r="I297" i="17"/>
  <c r="N297" i="17" s="1" a="1"/>
  <c r="N297" i="17" s="1"/>
  <c r="J297" i="17"/>
  <c r="O297" i="17" s="1" a="1"/>
  <c r="O297" i="17" s="1"/>
  <c r="K297" i="17"/>
  <c r="L297" i="17"/>
  <c r="M297" i="17" s="1"/>
  <c r="I298" i="17"/>
  <c r="N298" i="17" s="1" a="1"/>
  <c r="N298" i="17" s="1"/>
  <c r="J298" i="17"/>
  <c r="O298" i="17" s="1" a="1"/>
  <c r="O298" i="17" s="1"/>
  <c r="K298" i="17"/>
  <c r="L298" i="17"/>
  <c r="M298" i="17" s="1"/>
  <c r="I299" i="17"/>
  <c r="N299" i="17" s="1" a="1"/>
  <c r="N299" i="17" s="1"/>
  <c r="J299" i="17"/>
  <c r="O299" i="17" s="1" a="1"/>
  <c r="O299" i="17" s="1"/>
  <c r="K299" i="17"/>
  <c r="L299" i="17"/>
  <c r="M299" i="17" s="1"/>
  <c r="I300" i="17"/>
  <c r="N300" i="17" s="1" a="1"/>
  <c r="N300" i="17" s="1"/>
  <c r="J300" i="17"/>
  <c r="O300" i="17" s="1" a="1"/>
  <c r="O300" i="17" s="1"/>
  <c r="K300" i="17"/>
  <c r="L300" i="17"/>
  <c r="M300" i="17" s="1"/>
  <c r="I301" i="17"/>
  <c r="N301" i="17" s="1" a="1"/>
  <c r="N301" i="17" s="1"/>
  <c r="J301" i="17"/>
  <c r="O301" i="17" s="1" a="1"/>
  <c r="O301" i="17" s="1"/>
  <c r="K301" i="17"/>
  <c r="L301" i="17"/>
  <c r="M301" i="17" s="1"/>
  <c r="I302" i="17"/>
  <c r="N302" i="17" s="1" a="1"/>
  <c r="N302" i="17" s="1"/>
  <c r="J302" i="17"/>
  <c r="O302" i="17" s="1" a="1"/>
  <c r="O302" i="17" s="1"/>
  <c r="K302" i="17"/>
  <c r="L302" i="17"/>
  <c r="M302" i="17" s="1"/>
  <c r="I303" i="17"/>
  <c r="N303" i="17" s="1" a="1"/>
  <c r="N303" i="17" s="1"/>
  <c r="J303" i="17"/>
  <c r="O303" i="17" s="1" a="1"/>
  <c r="O303" i="17" s="1"/>
  <c r="K303" i="17"/>
  <c r="L303" i="17"/>
  <c r="M303" i="17" s="1"/>
  <c r="I304" i="17"/>
  <c r="N304" i="17" s="1" a="1"/>
  <c r="N304" i="17" s="1"/>
  <c r="J304" i="17"/>
  <c r="O304" i="17" s="1" a="1"/>
  <c r="O304" i="17" s="1"/>
  <c r="K304" i="17"/>
  <c r="L304" i="17"/>
  <c r="M304" i="17" s="1"/>
  <c r="I305" i="17"/>
  <c r="N305" i="17" s="1" a="1"/>
  <c r="N305" i="17" s="1"/>
  <c r="J305" i="17"/>
  <c r="O305" i="17" s="1" a="1"/>
  <c r="O305" i="17" s="1"/>
  <c r="K305" i="17"/>
  <c r="L305" i="17"/>
  <c r="M305" i="17" s="1"/>
  <c r="I306" i="17"/>
  <c r="N306" i="17" s="1" a="1"/>
  <c r="N306" i="17" s="1"/>
  <c r="J306" i="17"/>
  <c r="O306" i="17" s="1" a="1"/>
  <c r="O306" i="17" s="1"/>
  <c r="K306" i="17"/>
  <c r="L306" i="17"/>
  <c r="M306" i="17" s="1"/>
  <c r="I307" i="17"/>
  <c r="N307" i="17" s="1" a="1"/>
  <c r="N307" i="17" s="1"/>
  <c r="J307" i="17"/>
  <c r="O307" i="17" s="1" a="1"/>
  <c r="O307" i="17" s="1"/>
  <c r="K307" i="17"/>
  <c r="L307" i="17"/>
  <c r="M307" i="17" s="1"/>
  <c r="I308" i="17"/>
  <c r="N308" i="17" s="1" a="1"/>
  <c r="N308" i="17" s="1"/>
  <c r="J308" i="17"/>
  <c r="O308" i="17" s="1" a="1"/>
  <c r="O308" i="17" s="1"/>
  <c r="K308" i="17"/>
  <c r="L308" i="17"/>
  <c r="M308" i="17" s="1"/>
  <c r="I309" i="17"/>
  <c r="N309" i="17" s="1" a="1"/>
  <c r="N309" i="17" s="1"/>
  <c r="J309" i="17"/>
  <c r="O309" i="17" s="1" a="1"/>
  <c r="O309" i="17" s="1"/>
  <c r="K309" i="17"/>
  <c r="L309" i="17"/>
  <c r="M309" i="17" s="1"/>
  <c r="I310" i="17"/>
  <c r="N310" i="17" s="1" a="1"/>
  <c r="N310" i="17" s="1"/>
  <c r="J310" i="17"/>
  <c r="O310" i="17" s="1" a="1"/>
  <c r="O310" i="17" s="1"/>
  <c r="K310" i="17"/>
  <c r="L310" i="17"/>
  <c r="M310" i="17" s="1"/>
  <c r="I311" i="17"/>
  <c r="N311" i="17" s="1" a="1"/>
  <c r="N311" i="17" s="1"/>
  <c r="J311" i="17"/>
  <c r="O311" i="17" s="1" a="1"/>
  <c r="O311" i="17" s="1"/>
  <c r="K311" i="17"/>
  <c r="L311" i="17"/>
  <c r="M311" i="17" s="1"/>
  <c r="I312" i="17"/>
  <c r="N312" i="17" s="1" a="1"/>
  <c r="N312" i="17" s="1"/>
  <c r="J312" i="17"/>
  <c r="O312" i="17" s="1" a="1"/>
  <c r="O312" i="17" s="1"/>
  <c r="K312" i="17"/>
  <c r="L312" i="17"/>
  <c r="M312" i="17" s="1"/>
  <c r="I313" i="17"/>
  <c r="N313" i="17" s="1" a="1"/>
  <c r="N313" i="17" s="1"/>
  <c r="J313" i="17"/>
  <c r="O313" i="17" s="1" a="1"/>
  <c r="O313" i="17" s="1"/>
  <c r="K313" i="17"/>
  <c r="L313" i="17"/>
  <c r="M313" i="17" s="1"/>
  <c r="I314" i="17"/>
  <c r="N314" i="17" s="1" a="1"/>
  <c r="N314" i="17" s="1"/>
  <c r="J314" i="17"/>
  <c r="O314" i="17" s="1" a="1"/>
  <c r="O314" i="17" s="1"/>
  <c r="K314" i="17"/>
  <c r="L314" i="17"/>
  <c r="M314" i="17" s="1"/>
  <c r="I315" i="17"/>
  <c r="N315" i="17" s="1" a="1"/>
  <c r="N315" i="17" s="1"/>
  <c r="J315" i="17"/>
  <c r="O315" i="17" s="1" a="1"/>
  <c r="O315" i="17" s="1"/>
  <c r="K315" i="17"/>
  <c r="L315" i="17"/>
  <c r="M315" i="17" s="1"/>
  <c r="I316" i="17"/>
  <c r="N316" i="17" s="1" a="1"/>
  <c r="N316" i="17" s="1"/>
  <c r="J316" i="17"/>
  <c r="O316" i="17" s="1" a="1"/>
  <c r="O316" i="17" s="1"/>
  <c r="K316" i="17"/>
  <c r="L316" i="17"/>
  <c r="M316" i="17" s="1"/>
  <c r="I317" i="17"/>
  <c r="N317" i="17" s="1" a="1"/>
  <c r="N317" i="17" s="1"/>
  <c r="J317" i="17"/>
  <c r="O317" i="17" s="1" a="1"/>
  <c r="O317" i="17" s="1"/>
  <c r="K317" i="17"/>
  <c r="L317" i="17"/>
  <c r="M317" i="17" s="1"/>
  <c r="I318" i="17"/>
  <c r="N318" i="17" s="1" a="1"/>
  <c r="N318" i="17" s="1"/>
  <c r="J318" i="17"/>
  <c r="O318" i="17" s="1" a="1"/>
  <c r="O318" i="17" s="1"/>
  <c r="K318" i="17"/>
  <c r="L318" i="17"/>
  <c r="M318" i="17" s="1"/>
  <c r="I319" i="17"/>
  <c r="N319" i="17" s="1" a="1"/>
  <c r="N319" i="17" s="1"/>
  <c r="J319" i="17"/>
  <c r="O319" i="17" s="1" a="1"/>
  <c r="O319" i="17" s="1"/>
  <c r="K319" i="17"/>
  <c r="L319" i="17"/>
  <c r="M319" i="17" s="1"/>
  <c r="I320" i="17"/>
  <c r="N320" i="17" s="1" a="1"/>
  <c r="N320" i="17" s="1"/>
  <c r="J320" i="17"/>
  <c r="O320" i="17" s="1" a="1"/>
  <c r="O320" i="17" s="1"/>
  <c r="K320" i="17"/>
  <c r="L320" i="17"/>
  <c r="M320" i="17" s="1"/>
  <c r="I321" i="17"/>
  <c r="N321" i="17" s="1" a="1"/>
  <c r="N321" i="17" s="1"/>
  <c r="J321" i="17"/>
  <c r="O321" i="17" s="1" a="1"/>
  <c r="O321" i="17" s="1"/>
  <c r="K321" i="17"/>
  <c r="L321" i="17"/>
  <c r="M321" i="17" s="1"/>
  <c r="I322" i="17"/>
  <c r="N322" i="17" s="1" a="1"/>
  <c r="N322" i="17" s="1"/>
  <c r="J322" i="17"/>
  <c r="O322" i="17" s="1" a="1"/>
  <c r="O322" i="17" s="1"/>
  <c r="K322" i="17"/>
  <c r="L322" i="17"/>
  <c r="M322" i="17" s="1"/>
  <c r="I323" i="17"/>
  <c r="N323" i="17" s="1" a="1"/>
  <c r="N323" i="17" s="1"/>
  <c r="J323" i="17"/>
  <c r="O323" i="17" s="1" a="1"/>
  <c r="O323" i="17" s="1"/>
  <c r="K323" i="17"/>
  <c r="L323" i="17"/>
  <c r="M323" i="17" s="1"/>
  <c r="I324" i="17"/>
  <c r="N324" i="17" s="1" a="1"/>
  <c r="N324" i="17" s="1"/>
  <c r="J324" i="17"/>
  <c r="O324" i="17" s="1" a="1"/>
  <c r="O324" i="17" s="1"/>
  <c r="K324" i="17"/>
  <c r="L324" i="17"/>
  <c r="M324" i="17" s="1"/>
  <c r="I325" i="17"/>
  <c r="N325" i="17" s="1" a="1"/>
  <c r="N325" i="17" s="1"/>
  <c r="J325" i="17"/>
  <c r="O325" i="17" s="1" a="1"/>
  <c r="O325" i="17" s="1"/>
  <c r="K325" i="17"/>
  <c r="L325" i="17"/>
  <c r="M325" i="17" s="1"/>
  <c r="I326" i="17"/>
  <c r="N326" i="17" s="1" a="1"/>
  <c r="N326" i="17" s="1"/>
  <c r="J326" i="17"/>
  <c r="O326" i="17" s="1" a="1"/>
  <c r="O326" i="17" s="1"/>
  <c r="K326" i="17"/>
  <c r="L326" i="17"/>
  <c r="M326" i="17" s="1"/>
  <c r="I327" i="17"/>
  <c r="N327" i="17" s="1" a="1"/>
  <c r="N327" i="17" s="1"/>
  <c r="J327" i="17"/>
  <c r="O327" i="17" s="1" a="1"/>
  <c r="O327" i="17" s="1"/>
  <c r="K327" i="17"/>
  <c r="L327" i="17"/>
  <c r="M327" i="17" s="1"/>
  <c r="I328" i="17"/>
  <c r="N328" i="17" s="1" a="1"/>
  <c r="N328" i="17" s="1"/>
  <c r="J328" i="17"/>
  <c r="O328" i="17" s="1" a="1"/>
  <c r="O328" i="17" s="1"/>
  <c r="K328" i="17"/>
  <c r="L328" i="17"/>
  <c r="M328" i="17" s="1"/>
  <c r="I329" i="17"/>
  <c r="N329" i="17" s="1" a="1"/>
  <c r="N329" i="17" s="1"/>
  <c r="J329" i="17"/>
  <c r="O329" i="17" s="1" a="1"/>
  <c r="O329" i="17" s="1"/>
  <c r="K329" i="17"/>
  <c r="L329" i="17"/>
  <c r="M329" i="17" s="1"/>
  <c r="I330" i="17"/>
  <c r="N330" i="17" s="1" a="1"/>
  <c r="N330" i="17" s="1"/>
  <c r="J330" i="17"/>
  <c r="O330" i="17" s="1" a="1"/>
  <c r="O330" i="17" s="1"/>
  <c r="K330" i="17"/>
  <c r="L330" i="17"/>
  <c r="M330" i="17" s="1"/>
  <c r="I331" i="17"/>
  <c r="N331" i="17" s="1" a="1"/>
  <c r="N331" i="17" s="1"/>
  <c r="J331" i="17"/>
  <c r="O331" i="17" s="1" a="1"/>
  <c r="O331" i="17" s="1"/>
  <c r="K331" i="17"/>
  <c r="L331" i="17"/>
  <c r="M331" i="17" s="1"/>
  <c r="I332" i="17"/>
  <c r="N332" i="17" s="1" a="1"/>
  <c r="N332" i="17" s="1"/>
  <c r="J332" i="17"/>
  <c r="O332" i="17" s="1" a="1"/>
  <c r="O332" i="17" s="1"/>
  <c r="K332" i="17"/>
  <c r="L332" i="17"/>
  <c r="M332" i="17" s="1"/>
  <c r="I333" i="17"/>
  <c r="N333" i="17" s="1" a="1"/>
  <c r="N333" i="17" s="1"/>
  <c r="J333" i="17"/>
  <c r="O333" i="17" s="1" a="1"/>
  <c r="O333" i="17" s="1"/>
  <c r="K333" i="17"/>
  <c r="L333" i="17"/>
  <c r="M333" i="17" s="1"/>
  <c r="I334" i="17"/>
  <c r="N334" i="17" s="1" a="1"/>
  <c r="N334" i="17" s="1"/>
  <c r="J334" i="17"/>
  <c r="O334" i="17" s="1" a="1"/>
  <c r="O334" i="17" s="1"/>
  <c r="K334" i="17"/>
  <c r="L334" i="17"/>
  <c r="M334" i="17" s="1"/>
  <c r="I335" i="17"/>
  <c r="N335" i="17" s="1" a="1"/>
  <c r="N335" i="17" s="1"/>
  <c r="J335" i="17"/>
  <c r="O335" i="17" s="1" a="1"/>
  <c r="O335" i="17" s="1"/>
  <c r="K335" i="17"/>
  <c r="L335" i="17"/>
  <c r="M335" i="17" s="1"/>
  <c r="I336" i="17"/>
  <c r="N336" i="17" s="1" a="1"/>
  <c r="N336" i="17" s="1"/>
  <c r="J336" i="17"/>
  <c r="O336" i="17" s="1" a="1"/>
  <c r="O336" i="17" s="1"/>
  <c r="K336" i="17"/>
  <c r="L336" i="17"/>
  <c r="M336" i="17" s="1"/>
  <c r="I337" i="17"/>
  <c r="N337" i="17" s="1" a="1"/>
  <c r="N337" i="17" s="1"/>
  <c r="J337" i="17"/>
  <c r="O337" i="17" s="1" a="1"/>
  <c r="O337" i="17" s="1"/>
  <c r="K337" i="17"/>
  <c r="L337" i="17"/>
  <c r="M337" i="17" s="1"/>
  <c r="I338" i="17"/>
  <c r="N338" i="17" s="1" a="1"/>
  <c r="N338" i="17" s="1"/>
  <c r="J338" i="17"/>
  <c r="O338" i="17" s="1" a="1"/>
  <c r="O338" i="17" s="1"/>
  <c r="K338" i="17"/>
  <c r="L338" i="17"/>
  <c r="M338" i="17" s="1"/>
  <c r="I339" i="17"/>
  <c r="N339" i="17" s="1" a="1"/>
  <c r="N339" i="17" s="1"/>
  <c r="J339" i="17"/>
  <c r="O339" i="17" s="1" a="1"/>
  <c r="O339" i="17" s="1"/>
  <c r="K339" i="17"/>
  <c r="L339" i="17"/>
  <c r="M339" i="17" s="1"/>
  <c r="I340" i="17"/>
  <c r="N340" i="17" s="1" a="1"/>
  <c r="N340" i="17" s="1"/>
  <c r="J340" i="17"/>
  <c r="O340" i="17" s="1" a="1"/>
  <c r="O340" i="17" s="1"/>
  <c r="K340" i="17"/>
  <c r="L340" i="17"/>
  <c r="M340" i="17" s="1"/>
  <c r="I341" i="17"/>
  <c r="N341" i="17" s="1" a="1"/>
  <c r="N341" i="17" s="1"/>
  <c r="J341" i="17"/>
  <c r="O341" i="17" s="1" a="1"/>
  <c r="O341" i="17" s="1"/>
  <c r="K341" i="17"/>
  <c r="L341" i="17"/>
  <c r="M341" i="17" s="1"/>
  <c r="I342" i="17"/>
  <c r="N342" i="17" s="1" a="1"/>
  <c r="N342" i="17" s="1"/>
  <c r="J342" i="17"/>
  <c r="O342" i="17" s="1" a="1"/>
  <c r="O342" i="17" s="1"/>
  <c r="K342" i="17"/>
  <c r="L342" i="17"/>
  <c r="M342" i="17" s="1"/>
  <c r="I343" i="17"/>
  <c r="N343" i="17" s="1" a="1"/>
  <c r="N343" i="17" s="1"/>
  <c r="J343" i="17"/>
  <c r="O343" i="17" s="1" a="1"/>
  <c r="O343" i="17" s="1"/>
  <c r="K343" i="17"/>
  <c r="L343" i="17"/>
  <c r="M343" i="17" s="1"/>
  <c r="I344" i="17"/>
  <c r="N344" i="17" s="1" a="1"/>
  <c r="N344" i="17" s="1"/>
  <c r="J344" i="17"/>
  <c r="O344" i="17" s="1" a="1"/>
  <c r="O344" i="17" s="1"/>
  <c r="K344" i="17"/>
  <c r="L344" i="17"/>
  <c r="M344" i="17" s="1"/>
  <c r="I345" i="17"/>
  <c r="N345" i="17" s="1" a="1"/>
  <c r="N345" i="17" s="1"/>
  <c r="J345" i="17"/>
  <c r="O345" i="17" s="1" a="1"/>
  <c r="O345" i="17" s="1"/>
  <c r="K345" i="17"/>
  <c r="L345" i="17"/>
  <c r="M345" i="17" s="1"/>
  <c r="I346" i="17"/>
  <c r="N346" i="17" s="1" a="1"/>
  <c r="N346" i="17" s="1"/>
  <c r="J346" i="17"/>
  <c r="O346" i="17" s="1" a="1"/>
  <c r="O346" i="17" s="1"/>
  <c r="K346" i="17"/>
  <c r="L346" i="17"/>
  <c r="M346" i="17" s="1"/>
  <c r="I347" i="17"/>
  <c r="N347" i="17" s="1" a="1"/>
  <c r="N347" i="17" s="1"/>
  <c r="J347" i="17"/>
  <c r="O347" i="17" s="1" a="1"/>
  <c r="O347" i="17" s="1"/>
  <c r="K347" i="17"/>
  <c r="L347" i="17"/>
  <c r="M347" i="17" s="1"/>
  <c r="I348" i="17"/>
  <c r="N348" i="17" s="1" a="1"/>
  <c r="N348" i="17" s="1"/>
  <c r="J348" i="17"/>
  <c r="O348" i="17" s="1" a="1"/>
  <c r="O348" i="17" s="1"/>
  <c r="K348" i="17"/>
  <c r="L348" i="17"/>
  <c r="M348" i="17" s="1"/>
  <c r="I349" i="17"/>
  <c r="N349" i="17" s="1" a="1"/>
  <c r="N349" i="17" s="1"/>
  <c r="J349" i="17"/>
  <c r="O349" i="17" s="1" a="1"/>
  <c r="O349" i="17" s="1"/>
  <c r="K349" i="17"/>
  <c r="L349" i="17"/>
  <c r="M349" i="17" s="1"/>
  <c r="I350" i="17"/>
  <c r="N350" i="17" s="1" a="1"/>
  <c r="N350" i="17" s="1"/>
  <c r="J350" i="17"/>
  <c r="O350" i="17" s="1" a="1"/>
  <c r="O350" i="17" s="1"/>
  <c r="K350" i="17"/>
  <c r="L350" i="17"/>
  <c r="M350" i="17" s="1"/>
  <c r="I351" i="17"/>
  <c r="N351" i="17" s="1" a="1"/>
  <c r="N351" i="17" s="1"/>
  <c r="J351" i="17"/>
  <c r="O351" i="17" s="1" a="1"/>
  <c r="O351" i="17" s="1"/>
  <c r="K351" i="17"/>
  <c r="L351" i="17"/>
  <c r="M351" i="17" s="1"/>
  <c r="I352" i="17"/>
  <c r="N352" i="17" s="1" a="1"/>
  <c r="N352" i="17" s="1"/>
  <c r="J352" i="17"/>
  <c r="O352" i="17" s="1" a="1"/>
  <c r="O352" i="17" s="1"/>
  <c r="K352" i="17"/>
  <c r="L352" i="17"/>
  <c r="M352" i="17" s="1"/>
  <c r="I353" i="17"/>
  <c r="N353" i="17" s="1" a="1"/>
  <c r="N353" i="17" s="1"/>
  <c r="J353" i="17"/>
  <c r="O353" i="17" s="1" a="1"/>
  <c r="O353" i="17" s="1"/>
  <c r="K353" i="17"/>
  <c r="L353" i="17"/>
  <c r="M353" i="17" s="1"/>
  <c r="I354" i="17"/>
  <c r="N354" i="17" s="1" a="1"/>
  <c r="N354" i="17" s="1"/>
  <c r="J354" i="17"/>
  <c r="O354" i="17" s="1" a="1"/>
  <c r="O354" i="17" s="1"/>
  <c r="K354" i="17"/>
  <c r="L354" i="17"/>
  <c r="M354" i="17" s="1"/>
  <c r="I355" i="17"/>
  <c r="N355" i="17" s="1" a="1"/>
  <c r="N355" i="17" s="1"/>
  <c r="J355" i="17"/>
  <c r="O355" i="17" s="1" a="1"/>
  <c r="O355" i="17" s="1"/>
  <c r="K355" i="17"/>
  <c r="L355" i="17"/>
  <c r="M355" i="17" s="1"/>
  <c r="I356" i="17"/>
  <c r="N356" i="17" s="1" a="1"/>
  <c r="N356" i="17" s="1"/>
  <c r="J356" i="17"/>
  <c r="O356" i="17" s="1" a="1"/>
  <c r="O356" i="17" s="1"/>
  <c r="K356" i="17"/>
  <c r="L356" i="17"/>
  <c r="M356" i="17" s="1"/>
  <c r="I357" i="17"/>
  <c r="N357" i="17" s="1" a="1"/>
  <c r="N357" i="17" s="1"/>
  <c r="J357" i="17"/>
  <c r="O357" i="17" s="1" a="1"/>
  <c r="O357" i="17" s="1"/>
  <c r="K357" i="17"/>
  <c r="L357" i="17"/>
  <c r="M357" i="17" s="1"/>
  <c r="I358" i="17"/>
  <c r="N358" i="17" s="1" a="1"/>
  <c r="N358" i="17" s="1"/>
  <c r="J358" i="17"/>
  <c r="O358" i="17" s="1" a="1"/>
  <c r="O358" i="17" s="1"/>
  <c r="K358" i="17"/>
  <c r="L358" i="17"/>
  <c r="M358" i="17" s="1"/>
  <c r="I359" i="17"/>
  <c r="N359" i="17" s="1" a="1"/>
  <c r="N359" i="17" s="1"/>
  <c r="J359" i="17"/>
  <c r="O359" i="17" s="1" a="1"/>
  <c r="O359" i="17" s="1"/>
  <c r="K359" i="17"/>
  <c r="L359" i="17"/>
  <c r="M359" i="17" s="1"/>
  <c r="I360" i="17"/>
  <c r="N360" i="17" s="1" a="1"/>
  <c r="N360" i="17" s="1"/>
  <c r="J360" i="17"/>
  <c r="O360" i="17" s="1" a="1"/>
  <c r="O360" i="17" s="1"/>
  <c r="K360" i="17"/>
  <c r="L360" i="17"/>
  <c r="M360" i="17" s="1"/>
  <c r="I361" i="17"/>
  <c r="N361" i="17" s="1" a="1"/>
  <c r="N361" i="17" s="1"/>
  <c r="J361" i="17"/>
  <c r="O361" i="17" s="1" a="1"/>
  <c r="O361" i="17" s="1"/>
  <c r="K361" i="17"/>
  <c r="L361" i="17"/>
  <c r="M361" i="17" s="1"/>
  <c r="I362" i="17"/>
  <c r="N362" i="17" s="1" a="1"/>
  <c r="N362" i="17" s="1"/>
  <c r="J362" i="17"/>
  <c r="O362" i="17" s="1" a="1"/>
  <c r="O362" i="17" s="1"/>
  <c r="K362" i="17"/>
  <c r="L362" i="17"/>
  <c r="M362" i="17" s="1"/>
  <c r="I363" i="17"/>
  <c r="N363" i="17" s="1" a="1"/>
  <c r="N363" i="17" s="1"/>
  <c r="J363" i="17"/>
  <c r="O363" i="17" s="1" a="1"/>
  <c r="O363" i="17" s="1"/>
  <c r="K363" i="17"/>
  <c r="L363" i="17"/>
  <c r="M363" i="17" s="1"/>
  <c r="I364" i="17"/>
  <c r="N364" i="17" s="1" a="1"/>
  <c r="N364" i="17" s="1"/>
  <c r="J364" i="17"/>
  <c r="O364" i="17" s="1" a="1"/>
  <c r="O364" i="17" s="1"/>
  <c r="K364" i="17"/>
  <c r="L364" i="17"/>
  <c r="M364" i="17" s="1"/>
  <c r="I365" i="17"/>
  <c r="N365" i="17" s="1" a="1"/>
  <c r="N365" i="17" s="1"/>
  <c r="J365" i="17"/>
  <c r="O365" i="17" s="1" a="1"/>
  <c r="O365" i="17" s="1"/>
  <c r="K365" i="17"/>
  <c r="L365" i="17"/>
  <c r="M365" i="17" s="1"/>
  <c r="I366" i="17"/>
  <c r="N366" i="17" s="1" a="1"/>
  <c r="N366" i="17" s="1"/>
  <c r="J366" i="17"/>
  <c r="O366" i="17" s="1" a="1"/>
  <c r="O366" i="17" s="1"/>
  <c r="K366" i="17"/>
  <c r="L366" i="17"/>
  <c r="M366" i="17" s="1"/>
  <c r="I367" i="17"/>
  <c r="N367" i="17" s="1" a="1"/>
  <c r="N367" i="17" s="1"/>
  <c r="J367" i="17"/>
  <c r="O367" i="17" s="1" a="1"/>
  <c r="O367" i="17" s="1"/>
  <c r="K367" i="17"/>
  <c r="L367" i="17"/>
  <c r="M367" i="17" s="1"/>
  <c r="I368" i="17"/>
  <c r="N368" i="17" s="1" a="1"/>
  <c r="N368" i="17" s="1"/>
  <c r="J368" i="17"/>
  <c r="O368" i="17" s="1" a="1"/>
  <c r="O368" i="17" s="1"/>
  <c r="K368" i="17"/>
  <c r="L368" i="17"/>
  <c r="M368" i="17" s="1"/>
  <c r="I369" i="17"/>
  <c r="N369" i="17" s="1" a="1"/>
  <c r="N369" i="17" s="1"/>
  <c r="J369" i="17"/>
  <c r="O369" i="17" s="1" a="1"/>
  <c r="O369" i="17" s="1"/>
  <c r="K369" i="17"/>
  <c r="L369" i="17"/>
  <c r="M369" i="17" s="1"/>
  <c r="I370" i="17"/>
  <c r="N370" i="17" s="1" a="1"/>
  <c r="N370" i="17" s="1"/>
  <c r="J370" i="17"/>
  <c r="O370" i="17" s="1" a="1"/>
  <c r="O370" i="17" s="1"/>
  <c r="K370" i="17"/>
  <c r="L370" i="17"/>
  <c r="M370" i="17" s="1"/>
  <c r="I371" i="17"/>
  <c r="N371" i="17" s="1" a="1"/>
  <c r="N371" i="17" s="1"/>
  <c r="J371" i="17"/>
  <c r="O371" i="17" s="1" a="1"/>
  <c r="O371" i="17" s="1"/>
  <c r="K371" i="17"/>
  <c r="L371" i="17"/>
  <c r="M371" i="17" s="1"/>
  <c r="I372" i="17"/>
  <c r="N372" i="17" s="1" a="1"/>
  <c r="N372" i="17" s="1"/>
  <c r="J372" i="17"/>
  <c r="O372" i="17" s="1" a="1"/>
  <c r="O372" i="17" s="1"/>
  <c r="K372" i="17"/>
  <c r="L372" i="17"/>
  <c r="M372" i="17" s="1"/>
  <c r="I373" i="17"/>
  <c r="N373" i="17" s="1" a="1"/>
  <c r="N373" i="17" s="1"/>
  <c r="J373" i="17"/>
  <c r="O373" i="17" s="1" a="1"/>
  <c r="O373" i="17" s="1"/>
  <c r="K373" i="17"/>
  <c r="L373" i="17"/>
  <c r="M373" i="17" s="1"/>
  <c r="I374" i="17"/>
  <c r="N374" i="17" s="1" a="1"/>
  <c r="N374" i="17" s="1"/>
  <c r="J374" i="17"/>
  <c r="O374" i="17" s="1" a="1"/>
  <c r="O374" i="17" s="1"/>
  <c r="K374" i="17"/>
  <c r="L374" i="17"/>
  <c r="M374" i="17" s="1"/>
  <c r="I375" i="17"/>
  <c r="N375" i="17" s="1" a="1"/>
  <c r="N375" i="17" s="1"/>
  <c r="J375" i="17"/>
  <c r="O375" i="17" s="1" a="1"/>
  <c r="O375" i="17" s="1"/>
  <c r="K375" i="17"/>
  <c r="L375" i="17"/>
  <c r="M375" i="17" s="1"/>
  <c r="I376" i="17"/>
  <c r="N376" i="17" s="1" a="1"/>
  <c r="N376" i="17" s="1"/>
  <c r="J376" i="17"/>
  <c r="O376" i="17" s="1" a="1"/>
  <c r="O376" i="17" s="1"/>
  <c r="K376" i="17"/>
  <c r="L376" i="17"/>
  <c r="M376" i="17" s="1"/>
  <c r="I377" i="17"/>
  <c r="N377" i="17" s="1" a="1"/>
  <c r="N377" i="17" s="1"/>
  <c r="J377" i="17"/>
  <c r="O377" i="17" s="1" a="1"/>
  <c r="O377" i="17" s="1"/>
  <c r="K377" i="17"/>
  <c r="L377" i="17"/>
  <c r="M377" i="17" s="1"/>
  <c r="I378" i="17"/>
  <c r="N378" i="17" s="1" a="1"/>
  <c r="N378" i="17" s="1"/>
  <c r="J378" i="17"/>
  <c r="O378" i="17" s="1" a="1"/>
  <c r="O378" i="17" s="1"/>
  <c r="K378" i="17"/>
  <c r="L378" i="17"/>
  <c r="M378" i="17" s="1"/>
  <c r="I379" i="17"/>
  <c r="N379" i="17" s="1" a="1"/>
  <c r="N379" i="17" s="1"/>
  <c r="J379" i="17"/>
  <c r="O379" i="17" s="1" a="1"/>
  <c r="O379" i="17" s="1"/>
  <c r="K379" i="17"/>
  <c r="L379" i="17"/>
  <c r="M379" i="17" s="1"/>
  <c r="I380" i="17"/>
  <c r="N380" i="17" s="1" a="1"/>
  <c r="N380" i="17" s="1"/>
  <c r="J380" i="17"/>
  <c r="O380" i="17" s="1" a="1"/>
  <c r="O380" i="17" s="1"/>
  <c r="K380" i="17"/>
  <c r="L380" i="17"/>
  <c r="M380" i="17" s="1"/>
  <c r="I381" i="17"/>
  <c r="N381" i="17" s="1" a="1"/>
  <c r="N381" i="17" s="1"/>
  <c r="J381" i="17"/>
  <c r="O381" i="17" s="1" a="1"/>
  <c r="O381" i="17" s="1"/>
  <c r="K381" i="17"/>
  <c r="L381" i="17"/>
  <c r="M381" i="17" s="1"/>
  <c r="I382" i="17"/>
  <c r="N382" i="17" s="1" a="1"/>
  <c r="N382" i="17" s="1"/>
  <c r="J382" i="17"/>
  <c r="O382" i="17" s="1" a="1"/>
  <c r="O382" i="17" s="1"/>
  <c r="K382" i="17"/>
  <c r="L382" i="17"/>
  <c r="M382" i="17" s="1"/>
  <c r="I383" i="17"/>
  <c r="N383" i="17" s="1" a="1"/>
  <c r="N383" i="17" s="1"/>
  <c r="J383" i="17"/>
  <c r="O383" i="17" s="1" a="1"/>
  <c r="O383" i="17" s="1"/>
  <c r="K383" i="17"/>
  <c r="L383" i="17"/>
  <c r="M383" i="17" s="1"/>
  <c r="I384" i="17"/>
  <c r="N384" i="17" s="1" a="1"/>
  <c r="N384" i="17" s="1"/>
  <c r="J384" i="17"/>
  <c r="O384" i="17" s="1" a="1"/>
  <c r="O384" i="17" s="1"/>
  <c r="K384" i="17"/>
  <c r="L384" i="17"/>
  <c r="M384" i="17" s="1"/>
  <c r="I385" i="17"/>
  <c r="N385" i="17" s="1" a="1"/>
  <c r="N385" i="17" s="1"/>
  <c r="J385" i="17"/>
  <c r="O385" i="17" s="1" a="1"/>
  <c r="O385" i="17" s="1"/>
  <c r="K385" i="17"/>
  <c r="L385" i="17"/>
  <c r="M385" i="17" s="1"/>
  <c r="I386" i="17"/>
  <c r="N386" i="17" s="1" a="1"/>
  <c r="N386" i="17" s="1"/>
  <c r="J386" i="17"/>
  <c r="O386" i="17" s="1" a="1"/>
  <c r="O386" i="17" s="1"/>
  <c r="K386" i="17"/>
  <c r="L386" i="17"/>
  <c r="M386" i="17" s="1"/>
  <c r="I387" i="17"/>
  <c r="N387" i="17" s="1" a="1"/>
  <c r="N387" i="17" s="1"/>
  <c r="J387" i="17"/>
  <c r="O387" i="17" s="1" a="1"/>
  <c r="O387" i="17" s="1"/>
  <c r="K387" i="17"/>
  <c r="L387" i="17"/>
  <c r="M387" i="17" s="1"/>
  <c r="I388" i="17"/>
  <c r="N388" i="17" s="1" a="1"/>
  <c r="N388" i="17" s="1"/>
  <c r="J388" i="17"/>
  <c r="O388" i="17" s="1" a="1"/>
  <c r="O388" i="17" s="1"/>
  <c r="K388" i="17"/>
  <c r="L388" i="17"/>
  <c r="M388" i="17" s="1"/>
  <c r="I389" i="17"/>
  <c r="N389" i="17" s="1" a="1"/>
  <c r="N389" i="17" s="1"/>
  <c r="J389" i="17"/>
  <c r="O389" i="17" s="1" a="1"/>
  <c r="O389" i="17" s="1"/>
  <c r="K389" i="17"/>
  <c r="L389" i="17"/>
  <c r="M389" i="17" s="1"/>
  <c r="I390" i="17"/>
  <c r="N390" i="17" s="1" a="1"/>
  <c r="N390" i="17" s="1"/>
  <c r="J390" i="17"/>
  <c r="O390" i="17" s="1" a="1"/>
  <c r="O390" i="17" s="1"/>
  <c r="K390" i="17"/>
  <c r="L390" i="17"/>
  <c r="M390" i="17" s="1"/>
  <c r="I391" i="17"/>
  <c r="N391" i="17" s="1" a="1"/>
  <c r="N391" i="17" s="1"/>
  <c r="J391" i="17"/>
  <c r="O391" i="17" s="1" a="1"/>
  <c r="O391" i="17" s="1"/>
  <c r="K391" i="17"/>
  <c r="L391" i="17"/>
  <c r="M391" i="17" s="1"/>
  <c r="I392" i="17"/>
  <c r="N392" i="17" s="1" a="1"/>
  <c r="N392" i="17" s="1"/>
  <c r="J392" i="17"/>
  <c r="O392" i="17" s="1" a="1"/>
  <c r="O392" i="17" s="1"/>
  <c r="K392" i="17"/>
  <c r="L392" i="17"/>
  <c r="M392" i="17" s="1"/>
  <c r="I393" i="17"/>
  <c r="N393" i="17" s="1" a="1"/>
  <c r="N393" i="17" s="1"/>
  <c r="J393" i="17"/>
  <c r="O393" i="17" s="1" a="1"/>
  <c r="O393" i="17" s="1"/>
  <c r="K393" i="17"/>
  <c r="L393" i="17"/>
  <c r="M393" i="17" s="1"/>
  <c r="I394" i="17"/>
  <c r="N394" i="17" s="1" a="1"/>
  <c r="N394" i="17" s="1"/>
  <c r="J394" i="17"/>
  <c r="O394" i="17" s="1" a="1"/>
  <c r="O394" i="17" s="1"/>
  <c r="K394" i="17"/>
  <c r="L394" i="17"/>
  <c r="M394" i="17" s="1"/>
  <c r="I395" i="17"/>
  <c r="N395" i="17" s="1" a="1"/>
  <c r="N395" i="17" s="1"/>
  <c r="J395" i="17"/>
  <c r="O395" i="17" s="1" a="1"/>
  <c r="O395" i="17" s="1"/>
  <c r="K395" i="17"/>
  <c r="L395" i="17"/>
  <c r="M395" i="17" s="1"/>
  <c r="I396" i="17"/>
  <c r="N396" i="17" s="1" a="1"/>
  <c r="N396" i="17" s="1"/>
  <c r="J396" i="17"/>
  <c r="O396" i="17" s="1" a="1"/>
  <c r="O396" i="17" s="1"/>
  <c r="K396" i="17"/>
  <c r="L396" i="17"/>
  <c r="M396" i="17" s="1"/>
  <c r="I397" i="17"/>
  <c r="N397" i="17" s="1" a="1"/>
  <c r="N397" i="17" s="1"/>
  <c r="J397" i="17"/>
  <c r="O397" i="17" s="1" a="1"/>
  <c r="O397" i="17" s="1"/>
  <c r="K397" i="17"/>
  <c r="L397" i="17"/>
  <c r="M397" i="17" s="1"/>
  <c r="I398" i="17"/>
  <c r="N398" i="17" s="1" a="1"/>
  <c r="N398" i="17" s="1"/>
  <c r="J398" i="17"/>
  <c r="O398" i="17" s="1" a="1"/>
  <c r="O398" i="17" s="1"/>
  <c r="K398" i="17"/>
  <c r="L398" i="17"/>
  <c r="M398" i="17" s="1"/>
  <c r="I399" i="17"/>
  <c r="N399" i="17" s="1" a="1"/>
  <c r="N399" i="17" s="1"/>
  <c r="J399" i="17"/>
  <c r="O399" i="17" s="1" a="1"/>
  <c r="O399" i="17" s="1"/>
  <c r="K399" i="17"/>
  <c r="L399" i="17"/>
  <c r="M399" i="17" s="1"/>
  <c r="I400" i="17"/>
  <c r="N400" i="17" s="1" a="1"/>
  <c r="N400" i="17" s="1"/>
  <c r="J400" i="17"/>
  <c r="O400" i="17" s="1" a="1"/>
  <c r="O400" i="17" s="1"/>
  <c r="K400" i="17"/>
  <c r="L400" i="17"/>
  <c r="M400" i="17" s="1"/>
  <c r="I401" i="17"/>
  <c r="N401" i="17" s="1" a="1"/>
  <c r="N401" i="17" s="1"/>
  <c r="J401" i="17"/>
  <c r="O401" i="17" s="1" a="1"/>
  <c r="O401" i="17" s="1"/>
  <c r="K401" i="17"/>
  <c r="L401" i="17"/>
  <c r="M401" i="17" s="1"/>
  <c r="I402" i="17"/>
  <c r="N402" i="17" s="1" a="1"/>
  <c r="N402" i="17" s="1"/>
  <c r="J402" i="17"/>
  <c r="O402" i="17" s="1" a="1"/>
  <c r="O402" i="17" s="1"/>
  <c r="K402" i="17"/>
  <c r="L402" i="17"/>
  <c r="M402" i="17" s="1"/>
  <c r="I403" i="17"/>
  <c r="N403" i="17" s="1" a="1"/>
  <c r="N403" i="17" s="1"/>
  <c r="J403" i="17"/>
  <c r="O403" i="17" s="1" a="1"/>
  <c r="O403" i="17" s="1"/>
  <c r="K403" i="17"/>
  <c r="L403" i="17"/>
  <c r="M403" i="17" s="1"/>
  <c r="I404" i="17"/>
  <c r="N404" i="17" s="1" a="1"/>
  <c r="N404" i="17" s="1"/>
  <c r="J404" i="17"/>
  <c r="O404" i="17" s="1" a="1"/>
  <c r="O404" i="17" s="1"/>
  <c r="K404" i="17"/>
  <c r="L404" i="17"/>
  <c r="M404" i="17" s="1"/>
  <c r="I405" i="17"/>
  <c r="N405" i="17" s="1" a="1"/>
  <c r="N405" i="17" s="1"/>
  <c r="J405" i="17"/>
  <c r="O405" i="17" s="1" a="1"/>
  <c r="O405" i="17" s="1"/>
  <c r="K405" i="17"/>
  <c r="L405" i="17"/>
  <c r="M405" i="17" s="1"/>
  <c r="I406" i="17"/>
  <c r="N406" i="17" s="1" a="1"/>
  <c r="N406" i="17" s="1"/>
  <c r="J406" i="17"/>
  <c r="O406" i="17" s="1" a="1"/>
  <c r="O406" i="17" s="1"/>
  <c r="K406" i="17"/>
  <c r="L406" i="17"/>
  <c r="M406" i="17" s="1"/>
  <c r="I407" i="17"/>
  <c r="N407" i="17" s="1" a="1"/>
  <c r="N407" i="17" s="1"/>
  <c r="J407" i="17"/>
  <c r="O407" i="17" s="1" a="1"/>
  <c r="O407" i="17" s="1"/>
  <c r="K407" i="17"/>
  <c r="L407" i="17"/>
  <c r="M407" i="17" s="1"/>
  <c r="I408" i="17"/>
  <c r="N408" i="17" s="1" a="1"/>
  <c r="N408" i="17" s="1"/>
  <c r="J408" i="17"/>
  <c r="O408" i="17" s="1" a="1"/>
  <c r="O408" i="17" s="1"/>
  <c r="K408" i="17"/>
  <c r="L408" i="17"/>
  <c r="M408" i="17" s="1"/>
  <c r="I409" i="17"/>
  <c r="N409" i="17" s="1" a="1"/>
  <c r="N409" i="17" s="1"/>
  <c r="J409" i="17"/>
  <c r="O409" i="17" s="1" a="1"/>
  <c r="O409" i="17" s="1"/>
  <c r="K409" i="17"/>
  <c r="L409" i="17"/>
  <c r="M409" i="17" s="1"/>
  <c r="I410" i="17"/>
  <c r="N410" i="17" s="1" a="1"/>
  <c r="N410" i="17" s="1"/>
  <c r="J410" i="17"/>
  <c r="O410" i="17" s="1" a="1"/>
  <c r="O410" i="17" s="1"/>
  <c r="K410" i="17"/>
  <c r="L410" i="17"/>
  <c r="M410" i="17" s="1"/>
  <c r="I411" i="17"/>
  <c r="N411" i="17" s="1" a="1"/>
  <c r="N411" i="17" s="1"/>
  <c r="J411" i="17"/>
  <c r="O411" i="17" s="1" a="1"/>
  <c r="O411" i="17" s="1"/>
  <c r="K411" i="17"/>
  <c r="L411" i="17"/>
  <c r="M411" i="17" s="1"/>
  <c r="I412" i="17"/>
  <c r="N412" i="17" s="1" a="1"/>
  <c r="N412" i="17" s="1"/>
  <c r="J412" i="17"/>
  <c r="O412" i="17" s="1" a="1"/>
  <c r="O412" i="17" s="1"/>
  <c r="K412" i="17"/>
  <c r="L412" i="17"/>
  <c r="M412" i="17" s="1"/>
  <c r="I413" i="17"/>
  <c r="N413" i="17" s="1" a="1"/>
  <c r="N413" i="17" s="1"/>
  <c r="J413" i="17"/>
  <c r="O413" i="17" s="1" a="1"/>
  <c r="O413" i="17" s="1"/>
  <c r="K413" i="17"/>
  <c r="L413" i="17"/>
  <c r="M413" i="17" s="1"/>
  <c r="I414" i="17"/>
  <c r="N414" i="17" s="1" a="1"/>
  <c r="N414" i="17" s="1"/>
  <c r="J414" i="17"/>
  <c r="O414" i="17" s="1" a="1"/>
  <c r="O414" i="17" s="1"/>
  <c r="K414" i="17"/>
  <c r="L414" i="17"/>
  <c r="M414" i="17" s="1"/>
  <c r="I415" i="17"/>
  <c r="N415" i="17" s="1" a="1"/>
  <c r="N415" i="17" s="1"/>
  <c r="J415" i="17"/>
  <c r="O415" i="17" s="1" a="1"/>
  <c r="O415" i="17" s="1"/>
  <c r="K415" i="17"/>
  <c r="L415" i="17"/>
  <c r="M415" i="17" s="1"/>
  <c r="I416" i="17"/>
  <c r="N416" i="17" s="1" a="1"/>
  <c r="N416" i="17" s="1"/>
  <c r="J416" i="17"/>
  <c r="O416" i="17" s="1" a="1"/>
  <c r="O416" i="17" s="1"/>
  <c r="K416" i="17"/>
  <c r="L416" i="17"/>
  <c r="M416" i="17" s="1"/>
  <c r="I417" i="17"/>
  <c r="N417" i="17" s="1" a="1"/>
  <c r="N417" i="17" s="1"/>
  <c r="J417" i="17"/>
  <c r="O417" i="17" s="1" a="1"/>
  <c r="O417" i="17" s="1"/>
  <c r="K417" i="17"/>
  <c r="L417" i="17"/>
  <c r="M417" i="17" s="1"/>
  <c r="I418" i="17"/>
  <c r="N418" i="17" s="1" a="1"/>
  <c r="N418" i="17" s="1"/>
  <c r="J418" i="17"/>
  <c r="O418" i="17" s="1" a="1"/>
  <c r="O418" i="17" s="1"/>
  <c r="K418" i="17"/>
  <c r="L418" i="17"/>
  <c r="M418" i="17" s="1"/>
  <c r="I419" i="17"/>
  <c r="N419" i="17" s="1" a="1"/>
  <c r="N419" i="17" s="1"/>
  <c r="J419" i="17"/>
  <c r="O419" i="17" s="1" a="1"/>
  <c r="O419" i="17" s="1"/>
  <c r="K419" i="17"/>
  <c r="L419" i="17"/>
  <c r="M419" i="17" s="1"/>
  <c r="I420" i="17"/>
  <c r="N420" i="17" s="1" a="1"/>
  <c r="N420" i="17" s="1"/>
  <c r="J420" i="17"/>
  <c r="O420" i="17" s="1" a="1"/>
  <c r="O420" i="17" s="1"/>
  <c r="K420" i="17"/>
  <c r="L420" i="17"/>
  <c r="M420" i="17" s="1"/>
  <c r="I421" i="17"/>
  <c r="N421" i="17" s="1" a="1"/>
  <c r="N421" i="17" s="1"/>
  <c r="J421" i="17"/>
  <c r="O421" i="17" s="1" a="1"/>
  <c r="O421" i="17" s="1"/>
  <c r="K421" i="17"/>
  <c r="L421" i="17"/>
  <c r="M421" i="17" s="1"/>
  <c r="I422" i="17"/>
  <c r="N422" i="17" s="1" a="1"/>
  <c r="N422" i="17" s="1"/>
  <c r="J422" i="17"/>
  <c r="O422" i="17" s="1" a="1"/>
  <c r="O422" i="17" s="1"/>
  <c r="K422" i="17"/>
  <c r="L422" i="17"/>
  <c r="M422" i="17" s="1"/>
  <c r="I423" i="17"/>
  <c r="N423" i="17" s="1" a="1"/>
  <c r="N423" i="17" s="1"/>
  <c r="J423" i="17"/>
  <c r="O423" i="17" s="1" a="1"/>
  <c r="O423" i="17" s="1"/>
  <c r="K423" i="17"/>
  <c r="L423" i="17"/>
  <c r="M423" i="17" s="1"/>
  <c r="I424" i="17"/>
  <c r="N424" i="17" s="1" a="1"/>
  <c r="N424" i="17" s="1"/>
  <c r="J424" i="17"/>
  <c r="O424" i="17" s="1" a="1"/>
  <c r="O424" i="17" s="1"/>
  <c r="K424" i="17"/>
  <c r="L424" i="17"/>
  <c r="M424" i="17" s="1"/>
  <c r="I425" i="17"/>
  <c r="N425" i="17" s="1" a="1"/>
  <c r="N425" i="17" s="1"/>
  <c r="J425" i="17"/>
  <c r="O425" i="17" s="1" a="1"/>
  <c r="O425" i="17" s="1"/>
  <c r="K425" i="17"/>
  <c r="L425" i="17"/>
  <c r="M425" i="17" s="1"/>
  <c r="I426" i="17"/>
  <c r="N426" i="17" s="1" a="1"/>
  <c r="N426" i="17" s="1"/>
  <c r="J426" i="17"/>
  <c r="O426" i="17" s="1" a="1"/>
  <c r="O426" i="17" s="1"/>
  <c r="K426" i="17"/>
  <c r="L426" i="17"/>
  <c r="M426" i="17" s="1"/>
  <c r="I427" i="17"/>
  <c r="N427" i="17" s="1" a="1"/>
  <c r="N427" i="17" s="1"/>
  <c r="J427" i="17"/>
  <c r="O427" i="17" s="1" a="1"/>
  <c r="O427" i="17" s="1"/>
  <c r="K427" i="17"/>
  <c r="L427" i="17"/>
  <c r="M427" i="17" s="1"/>
  <c r="I428" i="17"/>
  <c r="N428" i="17" s="1" a="1"/>
  <c r="N428" i="17" s="1"/>
  <c r="J428" i="17"/>
  <c r="O428" i="17" s="1" a="1"/>
  <c r="O428" i="17" s="1"/>
  <c r="K428" i="17"/>
  <c r="L428" i="17"/>
  <c r="M428" i="17" s="1"/>
  <c r="I429" i="17"/>
  <c r="N429" i="17" s="1" a="1"/>
  <c r="N429" i="17" s="1"/>
  <c r="J429" i="17"/>
  <c r="O429" i="17" s="1" a="1"/>
  <c r="O429" i="17" s="1"/>
  <c r="K429" i="17"/>
  <c r="L429" i="17"/>
  <c r="M429" i="17" s="1"/>
  <c r="I430" i="17"/>
  <c r="N430" i="17" s="1" a="1"/>
  <c r="N430" i="17" s="1"/>
  <c r="J430" i="17"/>
  <c r="O430" i="17" s="1" a="1"/>
  <c r="O430" i="17" s="1"/>
  <c r="K430" i="17"/>
  <c r="L430" i="17"/>
  <c r="M430" i="17" s="1"/>
  <c r="I431" i="17"/>
  <c r="N431" i="17" s="1" a="1"/>
  <c r="N431" i="17" s="1"/>
  <c r="J431" i="17"/>
  <c r="O431" i="17" s="1" a="1"/>
  <c r="O431" i="17" s="1"/>
  <c r="K431" i="17"/>
  <c r="L431" i="17"/>
  <c r="M431" i="17" s="1"/>
  <c r="I432" i="17"/>
  <c r="N432" i="17" s="1" a="1"/>
  <c r="N432" i="17" s="1"/>
  <c r="J432" i="17"/>
  <c r="O432" i="17" s="1" a="1"/>
  <c r="O432" i="17" s="1"/>
  <c r="K432" i="17"/>
  <c r="L432" i="17"/>
  <c r="M432" i="17" s="1"/>
  <c r="I433" i="17"/>
  <c r="N433" i="17" s="1" a="1"/>
  <c r="N433" i="17" s="1"/>
  <c r="J433" i="17"/>
  <c r="O433" i="17" s="1" a="1"/>
  <c r="O433" i="17" s="1"/>
  <c r="K433" i="17"/>
  <c r="L433" i="17"/>
  <c r="M433" i="17" s="1"/>
  <c r="I434" i="17"/>
  <c r="N434" i="17" s="1" a="1"/>
  <c r="N434" i="17" s="1"/>
  <c r="J434" i="17"/>
  <c r="O434" i="17" s="1" a="1"/>
  <c r="O434" i="17" s="1"/>
  <c r="K434" i="17"/>
  <c r="L434" i="17"/>
  <c r="M434" i="17" s="1"/>
  <c r="I435" i="17"/>
  <c r="N435" i="17" s="1" a="1"/>
  <c r="N435" i="17" s="1"/>
  <c r="J435" i="17"/>
  <c r="O435" i="17" s="1" a="1"/>
  <c r="O435" i="17" s="1"/>
  <c r="K435" i="17"/>
  <c r="L435" i="17"/>
  <c r="M435" i="17" s="1"/>
  <c r="I436" i="17"/>
  <c r="N436" i="17" s="1" a="1"/>
  <c r="N436" i="17" s="1"/>
  <c r="J436" i="17"/>
  <c r="O436" i="17" s="1" a="1"/>
  <c r="O436" i="17" s="1"/>
  <c r="K436" i="17"/>
  <c r="L436" i="17"/>
  <c r="M436" i="17" s="1"/>
  <c r="I437" i="17"/>
  <c r="N437" i="17" s="1" a="1"/>
  <c r="N437" i="17" s="1"/>
  <c r="J437" i="17"/>
  <c r="O437" i="17" s="1" a="1"/>
  <c r="O437" i="17" s="1"/>
  <c r="K437" i="17"/>
  <c r="L437" i="17"/>
  <c r="M437" i="17" s="1"/>
  <c r="I438" i="17"/>
  <c r="N438" i="17" s="1" a="1"/>
  <c r="N438" i="17" s="1"/>
  <c r="J438" i="17"/>
  <c r="O438" i="17" s="1" a="1"/>
  <c r="O438" i="17" s="1"/>
  <c r="K438" i="17"/>
  <c r="L438" i="17"/>
  <c r="M438" i="17" s="1"/>
  <c r="I439" i="17"/>
  <c r="N439" i="17" s="1" a="1"/>
  <c r="N439" i="17" s="1"/>
  <c r="J439" i="17"/>
  <c r="O439" i="17" s="1" a="1"/>
  <c r="O439" i="17" s="1"/>
  <c r="K439" i="17"/>
  <c r="L439" i="17"/>
  <c r="M439" i="17" s="1"/>
  <c r="I440" i="17"/>
  <c r="N440" i="17" s="1" a="1"/>
  <c r="N440" i="17" s="1"/>
  <c r="J440" i="17"/>
  <c r="O440" i="17" s="1" a="1"/>
  <c r="O440" i="17" s="1"/>
  <c r="K440" i="17"/>
  <c r="L440" i="17"/>
  <c r="M440" i="17" s="1"/>
  <c r="I441" i="17"/>
  <c r="N441" i="17" s="1" a="1"/>
  <c r="N441" i="17" s="1"/>
  <c r="J441" i="17"/>
  <c r="O441" i="17" s="1" a="1"/>
  <c r="O441" i="17" s="1"/>
  <c r="K441" i="17"/>
  <c r="L441" i="17"/>
  <c r="M441" i="17" s="1"/>
  <c r="I442" i="17"/>
  <c r="N442" i="17" s="1" a="1"/>
  <c r="N442" i="17" s="1"/>
  <c r="J442" i="17"/>
  <c r="O442" i="17" s="1" a="1"/>
  <c r="O442" i="17" s="1"/>
  <c r="K442" i="17"/>
  <c r="L442" i="17"/>
  <c r="M442" i="17" s="1"/>
  <c r="I443" i="17"/>
  <c r="N443" i="17" s="1" a="1"/>
  <c r="N443" i="17" s="1"/>
  <c r="J443" i="17"/>
  <c r="O443" i="17" s="1" a="1"/>
  <c r="O443" i="17" s="1"/>
  <c r="K443" i="17"/>
  <c r="L443" i="17"/>
  <c r="M443" i="17" s="1"/>
  <c r="I444" i="17"/>
  <c r="N444" i="17" s="1" a="1"/>
  <c r="N444" i="17" s="1"/>
  <c r="J444" i="17"/>
  <c r="O444" i="17" s="1" a="1"/>
  <c r="O444" i="17" s="1"/>
  <c r="K444" i="17"/>
  <c r="L444" i="17"/>
  <c r="M444" i="17" s="1"/>
  <c r="I445" i="17"/>
  <c r="N445" i="17" s="1" a="1"/>
  <c r="N445" i="17" s="1"/>
  <c r="J445" i="17"/>
  <c r="O445" i="17" s="1" a="1"/>
  <c r="O445" i="17" s="1"/>
  <c r="K445" i="17"/>
  <c r="L445" i="17"/>
  <c r="M445" i="17" s="1"/>
  <c r="I446" i="17"/>
  <c r="N446" i="17" s="1" a="1"/>
  <c r="N446" i="17" s="1"/>
  <c r="J446" i="17"/>
  <c r="O446" i="17" s="1" a="1"/>
  <c r="O446" i="17" s="1"/>
  <c r="K446" i="17"/>
  <c r="L446" i="17"/>
  <c r="M446" i="17" s="1"/>
  <c r="I447" i="17"/>
  <c r="N447" i="17" s="1" a="1"/>
  <c r="N447" i="17" s="1"/>
  <c r="J447" i="17"/>
  <c r="O447" i="17" s="1" a="1"/>
  <c r="O447" i="17" s="1"/>
  <c r="K447" i="17"/>
  <c r="L447" i="17"/>
  <c r="M447" i="17" s="1"/>
  <c r="I448" i="17"/>
  <c r="N448" i="17" s="1" a="1"/>
  <c r="N448" i="17" s="1"/>
  <c r="J448" i="17"/>
  <c r="O448" i="17" s="1" a="1"/>
  <c r="O448" i="17" s="1"/>
  <c r="K448" i="17"/>
  <c r="L448" i="17"/>
  <c r="M448" i="17" s="1"/>
  <c r="I449" i="17"/>
  <c r="N449" i="17" s="1" a="1"/>
  <c r="N449" i="17" s="1"/>
  <c r="J449" i="17"/>
  <c r="O449" i="17" s="1" a="1"/>
  <c r="O449" i="17" s="1"/>
  <c r="K449" i="17"/>
  <c r="L449" i="17"/>
  <c r="M449" i="17" s="1"/>
  <c r="I450" i="17"/>
  <c r="N450" i="17" s="1" a="1"/>
  <c r="N450" i="17" s="1"/>
  <c r="J450" i="17"/>
  <c r="O450" i="17" s="1" a="1"/>
  <c r="O450" i="17" s="1"/>
  <c r="K450" i="17"/>
  <c r="L450" i="17"/>
  <c r="M450" i="17" s="1"/>
  <c r="I451" i="17"/>
  <c r="N451" i="17" s="1" a="1"/>
  <c r="N451" i="17" s="1"/>
  <c r="J451" i="17"/>
  <c r="O451" i="17" s="1" a="1"/>
  <c r="O451" i="17" s="1"/>
  <c r="K451" i="17"/>
  <c r="L451" i="17"/>
  <c r="M451" i="17" s="1"/>
  <c r="I452" i="17"/>
  <c r="N452" i="17" s="1" a="1"/>
  <c r="N452" i="17" s="1"/>
  <c r="J452" i="17"/>
  <c r="O452" i="17" s="1" a="1"/>
  <c r="O452" i="17" s="1"/>
  <c r="K452" i="17"/>
  <c r="L452" i="17"/>
  <c r="M452" i="17" s="1"/>
  <c r="I453" i="17"/>
  <c r="N453" i="17" s="1" a="1"/>
  <c r="N453" i="17" s="1"/>
  <c r="J453" i="17"/>
  <c r="O453" i="17" s="1" a="1"/>
  <c r="O453" i="17" s="1"/>
  <c r="K453" i="17"/>
  <c r="L453" i="17"/>
  <c r="M453" i="17" s="1"/>
  <c r="I454" i="17"/>
  <c r="N454" i="17" s="1" a="1"/>
  <c r="N454" i="17" s="1"/>
  <c r="J454" i="17"/>
  <c r="O454" i="17" s="1" a="1"/>
  <c r="O454" i="17" s="1"/>
  <c r="K454" i="17"/>
  <c r="L454" i="17"/>
  <c r="M454" i="17" s="1"/>
  <c r="I455" i="17"/>
  <c r="N455" i="17" s="1" a="1"/>
  <c r="N455" i="17" s="1"/>
  <c r="J455" i="17"/>
  <c r="O455" i="17" s="1" a="1"/>
  <c r="O455" i="17" s="1"/>
  <c r="K455" i="17"/>
  <c r="L455" i="17"/>
  <c r="M455" i="17" s="1"/>
  <c r="I456" i="17"/>
  <c r="N456" i="17" s="1" a="1"/>
  <c r="N456" i="17" s="1"/>
  <c r="J456" i="17"/>
  <c r="O456" i="17" s="1" a="1"/>
  <c r="O456" i="17" s="1"/>
  <c r="K456" i="17"/>
  <c r="L456" i="17"/>
  <c r="M456" i="17" s="1"/>
  <c r="I457" i="17"/>
  <c r="N457" i="17" s="1" a="1"/>
  <c r="N457" i="17" s="1"/>
  <c r="J457" i="17"/>
  <c r="O457" i="17" s="1" a="1"/>
  <c r="O457" i="17" s="1"/>
  <c r="K457" i="17"/>
  <c r="L457" i="17"/>
  <c r="M457" i="17" s="1"/>
  <c r="I458" i="17"/>
  <c r="N458" i="17" s="1" a="1"/>
  <c r="N458" i="17" s="1"/>
  <c r="J458" i="17"/>
  <c r="O458" i="17" s="1" a="1"/>
  <c r="O458" i="17" s="1"/>
  <c r="K458" i="17"/>
  <c r="L458" i="17"/>
  <c r="M458" i="17" s="1"/>
  <c r="I459" i="17"/>
  <c r="N459" i="17" s="1" a="1"/>
  <c r="N459" i="17" s="1"/>
  <c r="J459" i="17"/>
  <c r="O459" i="17" s="1" a="1"/>
  <c r="O459" i="17" s="1"/>
  <c r="K459" i="17"/>
  <c r="L459" i="17"/>
  <c r="M459" i="17" s="1"/>
  <c r="I460" i="17"/>
  <c r="N460" i="17" s="1" a="1"/>
  <c r="N460" i="17" s="1"/>
  <c r="J460" i="17"/>
  <c r="O460" i="17" s="1" a="1"/>
  <c r="O460" i="17" s="1"/>
  <c r="K460" i="17"/>
  <c r="L460" i="17"/>
  <c r="M460" i="17" s="1"/>
  <c r="I461" i="17"/>
  <c r="N461" i="17" s="1" a="1"/>
  <c r="N461" i="17" s="1"/>
  <c r="J461" i="17"/>
  <c r="O461" i="17" s="1" a="1"/>
  <c r="O461" i="17" s="1"/>
  <c r="K461" i="17"/>
  <c r="L461" i="17"/>
  <c r="M461" i="17" s="1"/>
  <c r="I462" i="17"/>
  <c r="N462" i="17" s="1" a="1"/>
  <c r="N462" i="17" s="1"/>
  <c r="J462" i="17"/>
  <c r="O462" i="17" s="1" a="1"/>
  <c r="O462" i="17" s="1"/>
  <c r="K462" i="17"/>
  <c r="L462" i="17"/>
  <c r="M462" i="17" s="1"/>
  <c r="I463" i="17"/>
  <c r="N463" i="17" s="1" a="1"/>
  <c r="N463" i="17" s="1"/>
  <c r="J463" i="17"/>
  <c r="O463" i="17" s="1" a="1"/>
  <c r="O463" i="17" s="1"/>
  <c r="K463" i="17"/>
  <c r="L463" i="17"/>
  <c r="M463" i="17" s="1"/>
  <c r="I464" i="17"/>
  <c r="N464" i="17" s="1" a="1"/>
  <c r="N464" i="17" s="1"/>
  <c r="J464" i="17"/>
  <c r="O464" i="17" s="1" a="1"/>
  <c r="O464" i="17" s="1"/>
  <c r="K464" i="17"/>
  <c r="L464" i="17"/>
  <c r="M464" i="17" s="1"/>
  <c r="I465" i="17"/>
  <c r="N465" i="17" s="1" a="1"/>
  <c r="N465" i="17" s="1"/>
  <c r="J465" i="17"/>
  <c r="O465" i="17" s="1" a="1"/>
  <c r="O465" i="17" s="1"/>
  <c r="K465" i="17"/>
  <c r="L465" i="17"/>
  <c r="M465" i="17" s="1"/>
  <c r="I466" i="17"/>
  <c r="N466" i="17" s="1" a="1"/>
  <c r="N466" i="17" s="1"/>
  <c r="J466" i="17"/>
  <c r="O466" i="17" s="1" a="1"/>
  <c r="O466" i="17" s="1"/>
  <c r="K466" i="17"/>
  <c r="L466" i="17"/>
  <c r="M466" i="17" s="1"/>
  <c r="I467" i="17"/>
  <c r="N467" i="17" s="1" a="1"/>
  <c r="N467" i="17" s="1"/>
  <c r="J467" i="17"/>
  <c r="O467" i="17" s="1" a="1"/>
  <c r="O467" i="17" s="1"/>
  <c r="K467" i="17"/>
  <c r="L467" i="17"/>
  <c r="M467" i="17" s="1"/>
  <c r="I468" i="17"/>
  <c r="N468" i="17" s="1" a="1"/>
  <c r="N468" i="17" s="1"/>
  <c r="J468" i="17"/>
  <c r="O468" i="17" s="1" a="1"/>
  <c r="O468" i="17" s="1"/>
  <c r="K468" i="17"/>
  <c r="L468" i="17"/>
  <c r="M468" i="17" s="1"/>
  <c r="I469" i="17"/>
  <c r="N469" i="17" s="1" a="1"/>
  <c r="N469" i="17" s="1"/>
  <c r="J469" i="17"/>
  <c r="O469" i="17" s="1" a="1"/>
  <c r="O469" i="17" s="1"/>
  <c r="K469" i="17"/>
  <c r="L469" i="17"/>
  <c r="M469" i="17" s="1"/>
  <c r="I470" i="17"/>
  <c r="N470" i="17" s="1" a="1"/>
  <c r="N470" i="17" s="1"/>
  <c r="J470" i="17"/>
  <c r="O470" i="17" s="1" a="1"/>
  <c r="O470" i="17" s="1"/>
  <c r="K470" i="17"/>
  <c r="L470" i="17"/>
  <c r="M470" i="17" s="1"/>
  <c r="I471" i="17"/>
  <c r="N471" i="17" s="1" a="1"/>
  <c r="N471" i="17" s="1"/>
  <c r="J471" i="17"/>
  <c r="O471" i="17" s="1" a="1"/>
  <c r="O471" i="17" s="1"/>
  <c r="K471" i="17"/>
  <c r="L471" i="17"/>
  <c r="M471" i="17" s="1"/>
  <c r="I472" i="17"/>
  <c r="N472" i="17" s="1" a="1"/>
  <c r="N472" i="17" s="1"/>
  <c r="J472" i="17"/>
  <c r="O472" i="17" s="1" a="1"/>
  <c r="O472" i="17" s="1"/>
  <c r="K472" i="17"/>
  <c r="L472" i="17"/>
  <c r="M472" i="17" s="1"/>
  <c r="I473" i="17"/>
  <c r="N473" i="17" s="1" a="1"/>
  <c r="N473" i="17" s="1"/>
  <c r="J473" i="17"/>
  <c r="O473" i="17" s="1" a="1"/>
  <c r="O473" i="17" s="1"/>
  <c r="K473" i="17"/>
  <c r="L473" i="17"/>
  <c r="M473" i="17" s="1"/>
  <c r="I474" i="17"/>
  <c r="N474" i="17" s="1" a="1"/>
  <c r="N474" i="17" s="1"/>
  <c r="J474" i="17"/>
  <c r="O474" i="17" s="1" a="1"/>
  <c r="O474" i="17" s="1"/>
  <c r="K474" i="17"/>
  <c r="L474" i="17"/>
  <c r="M474" i="17" s="1"/>
  <c r="I475" i="17"/>
  <c r="N475" i="17" s="1" a="1"/>
  <c r="N475" i="17" s="1"/>
  <c r="J475" i="17"/>
  <c r="O475" i="17" s="1" a="1"/>
  <c r="O475" i="17" s="1"/>
  <c r="K475" i="17"/>
  <c r="L475" i="17"/>
  <c r="M475" i="17" s="1"/>
  <c r="I476" i="17"/>
  <c r="N476" i="17" s="1" a="1"/>
  <c r="N476" i="17" s="1"/>
  <c r="J476" i="17"/>
  <c r="O476" i="17" s="1" a="1"/>
  <c r="O476" i="17" s="1"/>
  <c r="K476" i="17"/>
  <c r="L476" i="17"/>
  <c r="M476" i="17" s="1"/>
  <c r="I477" i="17"/>
  <c r="N477" i="17" s="1" a="1"/>
  <c r="N477" i="17" s="1"/>
  <c r="J477" i="17"/>
  <c r="O477" i="17" s="1" a="1"/>
  <c r="O477" i="17" s="1"/>
  <c r="K477" i="17"/>
  <c r="L477" i="17"/>
  <c r="M477" i="17" s="1"/>
  <c r="I478" i="17"/>
  <c r="N478" i="17" s="1" a="1"/>
  <c r="N478" i="17" s="1"/>
  <c r="J478" i="17"/>
  <c r="O478" i="17" s="1" a="1"/>
  <c r="O478" i="17" s="1"/>
  <c r="K478" i="17"/>
  <c r="L478" i="17"/>
  <c r="M478" i="17" s="1"/>
  <c r="I479" i="17"/>
  <c r="N479" i="17" s="1" a="1"/>
  <c r="N479" i="17" s="1"/>
  <c r="J479" i="17"/>
  <c r="O479" i="17" s="1" a="1"/>
  <c r="O479" i="17" s="1"/>
  <c r="K479" i="17"/>
  <c r="L479" i="17"/>
  <c r="M479" i="17" s="1"/>
  <c r="I480" i="17"/>
  <c r="N480" i="17" s="1" a="1"/>
  <c r="N480" i="17" s="1"/>
  <c r="J480" i="17"/>
  <c r="O480" i="17" s="1" a="1"/>
  <c r="O480" i="17" s="1"/>
  <c r="K480" i="17"/>
  <c r="L480" i="17"/>
  <c r="M480" i="17" s="1"/>
  <c r="I481" i="17"/>
  <c r="N481" i="17" s="1" a="1"/>
  <c r="N481" i="17" s="1"/>
  <c r="J481" i="17"/>
  <c r="O481" i="17" s="1" a="1"/>
  <c r="O481" i="17" s="1"/>
  <c r="K481" i="17"/>
  <c r="L481" i="17"/>
  <c r="M481" i="17" s="1"/>
  <c r="I482" i="17"/>
  <c r="N482" i="17" s="1" a="1"/>
  <c r="N482" i="17" s="1"/>
  <c r="J482" i="17"/>
  <c r="O482" i="17" s="1" a="1"/>
  <c r="O482" i="17" s="1"/>
  <c r="K482" i="17"/>
  <c r="L482" i="17"/>
  <c r="M482" i="17" s="1"/>
  <c r="I483" i="17"/>
  <c r="N483" i="17" s="1" a="1"/>
  <c r="N483" i="17" s="1"/>
  <c r="J483" i="17"/>
  <c r="O483" i="17" s="1" a="1"/>
  <c r="O483" i="17" s="1"/>
  <c r="K483" i="17"/>
  <c r="L483" i="17"/>
  <c r="M483" i="17" s="1"/>
  <c r="I484" i="17"/>
  <c r="N484" i="17" s="1" a="1"/>
  <c r="N484" i="17" s="1"/>
  <c r="J484" i="17"/>
  <c r="O484" i="17" s="1" a="1"/>
  <c r="O484" i="17" s="1"/>
  <c r="K484" i="17"/>
  <c r="L484" i="17"/>
  <c r="M484" i="17" s="1"/>
  <c r="I485" i="17"/>
  <c r="N485" i="17" s="1" a="1"/>
  <c r="N485" i="17" s="1"/>
  <c r="J485" i="17"/>
  <c r="O485" i="17" s="1" a="1"/>
  <c r="O485" i="17" s="1"/>
  <c r="K485" i="17"/>
  <c r="L485" i="17"/>
  <c r="M485" i="17" s="1"/>
  <c r="I486" i="17"/>
  <c r="N486" i="17" s="1" a="1"/>
  <c r="N486" i="17" s="1"/>
  <c r="J486" i="17"/>
  <c r="O486" i="17" s="1" a="1"/>
  <c r="O486" i="17" s="1"/>
  <c r="K486" i="17"/>
  <c r="L486" i="17"/>
  <c r="M486" i="17" s="1"/>
  <c r="I487" i="17"/>
  <c r="N487" i="17" s="1" a="1"/>
  <c r="N487" i="17" s="1"/>
  <c r="J487" i="17"/>
  <c r="O487" i="17" s="1" a="1"/>
  <c r="O487" i="17" s="1"/>
  <c r="K487" i="17"/>
  <c r="L487" i="17"/>
  <c r="M487" i="17" s="1"/>
  <c r="I488" i="17"/>
  <c r="N488" i="17" s="1" a="1"/>
  <c r="N488" i="17" s="1"/>
  <c r="J488" i="17"/>
  <c r="O488" i="17" s="1" a="1"/>
  <c r="O488" i="17" s="1"/>
  <c r="K488" i="17"/>
  <c r="L488" i="17"/>
  <c r="M488" i="17" s="1"/>
  <c r="I489" i="17"/>
  <c r="N489" i="17" s="1" a="1"/>
  <c r="N489" i="17" s="1"/>
  <c r="J489" i="17"/>
  <c r="O489" i="17" s="1" a="1"/>
  <c r="O489" i="17" s="1"/>
  <c r="K489" i="17"/>
  <c r="L489" i="17"/>
  <c r="M489" i="17" s="1"/>
  <c r="I490" i="17"/>
  <c r="N490" i="17" s="1" a="1"/>
  <c r="N490" i="17" s="1"/>
  <c r="J490" i="17"/>
  <c r="O490" i="17" s="1" a="1"/>
  <c r="O490" i="17" s="1"/>
  <c r="K490" i="17"/>
  <c r="L490" i="17"/>
  <c r="M490" i="17" s="1"/>
  <c r="I491" i="17"/>
  <c r="N491" i="17" s="1" a="1"/>
  <c r="N491" i="17" s="1"/>
  <c r="J491" i="17"/>
  <c r="O491" i="17" s="1" a="1"/>
  <c r="O491" i="17" s="1"/>
  <c r="K491" i="17"/>
  <c r="L491" i="17"/>
  <c r="M491" i="17" s="1"/>
  <c r="I492" i="17"/>
  <c r="N492" i="17" s="1" a="1"/>
  <c r="N492" i="17" s="1"/>
  <c r="J492" i="17"/>
  <c r="O492" i="17" s="1" a="1"/>
  <c r="O492" i="17" s="1"/>
  <c r="K492" i="17"/>
  <c r="L492" i="17"/>
  <c r="M492" i="17" s="1"/>
  <c r="I493" i="17"/>
  <c r="N493" i="17" s="1" a="1"/>
  <c r="N493" i="17" s="1"/>
  <c r="J493" i="17"/>
  <c r="O493" i="17" s="1" a="1"/>
  <c r="O493" i="17" s="1"/>
  <c r="K493" i="17"/>
  <c r="L493" i="17"/>
  <c r="M493" i="17" s="1"/>
  <c r="I494" i="17"/>
  <c r="N494" i="17" s="1" a="1"/>
  <c r="N494" i="17" s="1"/>
  <c r="J494" i="17"/>
  <c r="O494" i="17" s="1" a="1"/>
  <c r="O494" i="17" s="1"/>
  <c r="K494" i="17"/>
  <c r="L494" i="17"/>
  <c r="M494" i="17" s="1"/>
  <c r="I495" i="17"/>
  <c r="N495" i="17" s="1" a="1"/>
  <c r="N495" i="17" s="1"/>
  <c r="J495" i="17"/>
  <c r="O495" i="17" s="1" a="1"/>
  <c r="O495" i="17" s="1"/>
  <c r="K495" i="17"/>
  <c r="L495" i="17"/>
  <c r="M495" i="17" s="1"/>
  <c r="I496" i="17"/>
  <c r="N496" i="17" s="1" a="1"/>
  <c r="N496" i="17" s="1"/>
  <c r="J496" i="17"/>
  <c r="O496" i="17" s="1" a="1"/>
  <c r="O496" i="17" s="1"/>
  <c r="K496" i="17"/>
  <c r="L496" i="17"/>
  <c r="M496" i="17" s="1"/>
  <c r="I497" i="17"/>
  <c r="N497" i="17" s="1" a="1"/>
  <c r="N497" i="17" s="1"/>
  <c r="J497" i="17"/>
  <c r="O497" i="17" s="1" a="1"/>
  <c r="O497" i="17" s="1"/>
  <c r="K497" i="17"/>
  <c r="L497" i="17"/>
  <c r="M497" i="17" s="1"/>
  <c r="I498" i="17"/>
  <c r="N498" i="17" s="1" a="1"/>
  <c r="N498" i="17" s="1"/>
  <c r="J498" i="17"/>
  <c r="O498" i="17" s="1" a="1"/>
  <c r="O498" i="17" s="1"/>
  <c r="K498" i="17"/>
  <c r="L498" i="17"/>
  <c r="M498" i="17" s="1"/>
  <c r="I499" i="17"/>
  <c r="N499" i="17" s="1" a="1"/>
  <c r="N499" i="17" s="1"/>
  <c r="J499" i="17"/>
  <c r="O499" i="17" s="1" a="1"/>
  <c r="O499" i="17" s="1"/>
  <c r="K499" i="17"/>
  <c r="L499" i="17"/>
  <c r="M499" i="17" s="1"/>
  <c r="I500" i="17"/>
  <c r="N500" i="17" s="1" a="1"/>
  <c r="N500" i="17" s="1"/>
  <c r="J500" i="17"/>
  <c r="O500" i="17" s="1" a="1"/>
  <c r="O500" i="17" s="1"/>
  <c r="K500" i="17"/>
  <c r="L500" i="17"/>
  <c r="M500" i="17" s="1"/>
  <c r="I501" i="17"/>
  <c r="N501" i="17" s="1" a="1"/>
  <c r="N501" i="17" s="1"/>
  <c r="J501" i="17"/>
  <c r="O501" i="17" s="1" a="1"/>
  <c r="O501" i="17" s="1"/>
  <c r="K501" i="17"/>
  <c r="L501" i="17"/>
  <c r="M501" i="17" s="1"/>
  <c r="I502" i="17"/>
  <c r="N502" i="17" s="1" a="1"/>
  <c r="N502" i="17" s="1"/>
  <c r="J502" i="17"/>
  <c r="O502" i="17" s="1" a="1"/>
  <c r="O502" i="17" s="1"/>
  <c r="K502" i="17"/>
  <c r="L502" i="17"/>
  <c r="M502" i="17" s="1"/>
  <c r="I503" i="17"/>
  <c r="N503" i="17" s="1" a="1"/>
  <c r="N503" i="17" s="1"/>
  <c r="J503" i="17"/>
  <c r="O503" i="17" s="1" a="1"/>
  <c r="O503" i="17" s="1"/>
  <c r="K503" i="17"/>
  <c r="L503" i="17"/>
  <c r="M503" i="17" s="1"/>
  <c r="I504" i="17"/>
  <c r="N504" i="17" s="1" a="1"/>
  <c r="N504" i="17" s="1"/>
  <c r="J504" i="17"/>
  <c r="O504" i="17" s="1" a="1"/>
  <c r="O504" i="17" s="1"/>
  <c r="K504" i="17"/>
  <c r="L504" i="17"/>
  <c r="M504" i="17" s="1"/>
  <c r="I505" i="17"/>
  <c r="N505" i="17" s="1" a="1"/>
  <c r="N505" i="17" s="1"/>
  <c r="J505" i="17"/>
  <c r="O505" i="17" s="1" a="1"/>
  <c r="O505" i="17" s="1"/>
  <c r="K505" i="17"/>
  <c r="L505" i="17"/>
  <c r="M505" i="17" s="1"/>
  <c r="I506" i="17"/>
  <c r="N506" i="17" s="1" a="1"/>
  <c r="N506" i="17" s="1"/>
  <c r="J506" i="17"/>
  <c r="O506" i="17" s="1" a="1"/>
  <c r="O506" i="17" s="1"/>
  <c r="K506" i="17"/>
  <c r="L506" i="17"/>
  <c r="M506" i="17" s="1"/>
  <c r="I507" i="17"/>
  <c r="N507" i="17" s="1" a="1"/>
  <c r="N507" i="17" s="1"/>
  <c r="J507" i="17"/>
  <c r="O507" i="17" s="1" a="1"/>
  <c r="O507" i="17" s="1"/>
  <c r="K507" i="17"/>
  <c r="L507" i="17"/>
  <c r="M507" i="17" s="1"/>
  <c r="I508" i="17"/>
  <c r="N508" i="17" s="1" a="1"/>
  <c r="N508" i="17" s="1"/>
  <c r="J508" i="17"/>
  <c r="O508" i="17" s="1" a="1"/>
  <c r="O508" i="17" s="1"/>
  <c r="K508" i="17"/>
  <c r="L508" i="17"/>
  <c r="M508" i="17" s="1"/>
  <c r="I509" i="17"/>
  <c r="N509" i="17" s="1" a="1"/>
  <c r="N509" i="17" s="1"/>
  <c r="J509" i="17"/>
  <c r="O509" i="17" s="1" a="1"/>
  <c r="O509" i="17" s="1"/>
  <c r="K509" i="17"/>
  <c r="L509" i="17"/>
  <c r="M509" i="17" s="1"/>
  <c r="I510" i="17"/>
  <c r="N510" i="17" s="1" a="1"/>
  <c r="N510" i="17" s="1"/>
  <c r="J510" i="17"/>
  <c r="O510" i="17" s="1" a="1"/>
  <c r="O510" i="17" s="1"/>
  <c r="K510" i="17"/>
  <c r="L510" i="17"/>
  <c r="M510" i="17" s="1"/>
  <c r="I511" i="17"/>
  <c r="N511" i="17" s="1" a="1"/>
  <c r="N511" i="17" s="1"/>
  <c r="J511" i="17"/>
  <c r="O511" i="17" s="1" a="1"/>
  <c r="O511" i="17" s="1"/>
  <c r="K511" i="17"/>
  <c r="L511" i="17"/>
  <c r="M511" i="17" s="1"/>
  <c r="I512" i="17"/>
  <c r="N512" i="17" s="1" a="1"/>
  <c r="N512" i="17" s="1"/>
  <c r="J512" i="17"/>
  <c r="O512" i="17" s="1" a="1"/>
  <c r="O512" i="17" s="1"/>
  <c r="K512" i="17"/>
  <c r="L512" i="17"/>
  <c r="M512" i="17" s="1"/>
  <c r="I513" i="17"/>
  <c r="N513" i="17" s="1" a="1"/>
  <c r="N513" i="17" s="1"/>
  <c r="J513" i="17"/>
  <c r="O513" i="17" s="1" a="1"/>
  <c r="O513" i="17" s="1"/>
  <c r="K513" i="17"/>
  <c r="L513" i="17"/>
  <c r="M513" i="17" s="1"/>
  <c r="I514" i="17"/>
  <c r="N514" i="17" s="1" a="1"/>
  <c r="N514" i="17" s="1"/>
  <c r="J514" i="17"/>
  <c r="O514" i="17" s="1" a="1"/>
  <c r="O514" i="17" s="1"/>
  <c r="K514" i="17"/>
  <c r="L514" i="17"/>
  <c r="M514" i="17" s="1"/>
  <c r="I515" i="17"/>
  <c r="N515" i="17" s="1" a="1"/>
  <c r="N515" i="17" s="1"/>
  <c r="J515" i="17"/>
  <c r="O515" i="17" s="1" a="1"/>
  <c r="O515" i="17" s="1"/>
  <c r="K515" i="17"/>
  <c r="L515" i="17"/>
  <c r="M515" i="17" s="1"/>
  <c r="I516" i="17"/>
  <c r="N516" i="17" s="1" a="1"/>
  <c r="N516" i="17" s="1"/>
  <c r="J516" i="17"/>
  <c r="O516" i="17" s="1" a="1"/>
  <c r="O516" i="17" s="1"/>
  <c r="K516" i="17"/>
  <c r="L516" i="17"/>
  <c r="M516" i="17" s="1"/>
  <c r="I517" i="17"/>
  <c r="N517" i="17" s="1" a="1"/>
  <c r="N517" i="17" s="1"/>
  <c r="J517" i="17"/>
  <c r="O517" i="17" s="1" a="1"/>
  <c r="O517" i="17" s="1"/>
  <c r="K517" i="17"/>
  <c r="L517" i="17"/>
  <c r="M517" i="17" s="1"/>
  <c r="I518" i="17"/>
  <c r="N518" i="17" s="1" a="1"/>
  <c r="N518" i="17" s="1"/>
  <c r="J518" i="17"/>
  <c r="O518" i="17" s="1" a="1"/>
  <c r="O518" i="17" s="1"/>
  <c r="K518" i="17"/>
  <c r="L518" i="17"/>
  <c r="M518" i="17" s="1"/>
  <c r="I519" i="17"/>
  <c r="N519" i="17" s="1" a="1"/>
  <c r="N519" i="17" s="1"/>
  <c r="J519" i="17"/>
  <c r="O519" i="17" s="1" a="1"/>
  <c r="O519" i="17" s="1"/>
  <c r="K519" i="17"/>
  <c r="L519" i="17"/>
  <c r="M519" i="17" s="1"/>
  <c r="I520" i="17"/>
  <c r="N520" i="17" s="1" a="1"/>
  <c r="N520" i="17" s="1"/>
  <c r="J520" i="17"/>
  <c r="O520" i="17" s="1" a="1"/>
  <c r="O520" i="17" s="1"/>
  <c r="K520" i="17"/>
  <c r="L520" i="17"/>
  <c r="M520" i="17" s="1"/>
  <c r="I521" i="17"/>
  <c r="N521" i="17" s="1" a="1"/>
  <c r="N521" i="17" s="1"/>
  <c r="J521" i="17"/>
  <c r="O521" i="17" s="1" a="1"/>
  <c r="O521" i="17" s="1"/>
  <c r="K521" i="17"/>
  <c r="L521" i="17"/>
  <c r="M521" i="17" s="1"/>
  <c r="I522" i="17"/>
  <c r="N522" i="17" s="1" a="1"/>
  <c r="N522" i="17" s="1"/>
  <c r="J522" i="17"/>
  <c r="O522" i="17" s="1" a="1"/>
  <c r="O522" i="17" s="1"/>
  <c r="K522" i="17"/>
  <c r="L522" i="17"/>
  <c r="M522" i="17" s="1"/>
  <c r="I523" i="17"/>
  <c r="N523" i="17" s="1" a="1"/>
  <c r="N523" i="17" s="1"/>
  <c r="J523" i="17"/>
  <c r="O523" i="17" s="1" a="1"/>
  <c r="O523" i="17" s="1"/>
  <c r="K523" i="17"/>
  <c r="L523" i="17"/>
  <c r="M523" i="17" s="1"/>
  <c r="I524" i="17"/>
  <c r="N524" i="17" s="1" a="1"/>
  <c r="N524" i="17" s="1"/>
  <c r="J524" i="17"/>
  <c r="O524" i="17" s="1" a="1"/>
  <c r="O524" i="17" s="1"/>
  <c r="K524" i="17"/>
  <c r="L524" i="17"/>
  <c r="M524" i="17" s="1"/>
  <c r="I525" i="17"/>
  <c r="N525" i="17" s="1" a="1"/>
  <c r="N525" i="17" s="1"/>
  <c r="J525" i="17"/>
  <c r="O525" i="17" s="1" a="1"/>
  <c r="O525" i="17" s="1"/>
  <c r="K525" i="17"/>
  <c r="L525" i="17"/>
  <c r="M525" i="17" s="1"/>
  <c r="I526" i="17"/>
  <c r="N526" i="17" s="1" a="1"/>
  <c r="N526" i="17" s="1"/>
  <c r="J526" i="17"/>
  <c r="O526" i="17" s="1" a="1"/>
  <c r="O526" i="17" s="1"/>
  <c r="K526" i="17"/>
  <c r="L526" i="17"/>
  <c r="M526" i="17" s="1"/>
  <c r="I527" i="17"/>
  <c r="N527" i="17" s="1" a="1"/>
  <c r="N527" i="17" s="1"/>
  <c r="J527" i="17"/>
  <c r="O527" i="17" s="1" a="1"/>
  <c r="O527" i="17" s="1"/>
  <c r="K527" i="17"/>
  <c r="L527" i="17"/>
  <c r="M527" i="17" s="1"/>
  <c r="I528" i="17"/>
  <c r="N528" i="17" s="1" a="1"/>
  <c r="N528" i="17" s="1"/>
  <c r="J528" i="17"/>
  <c r="O528" i="17" s="1" a="1"/>
  <c r="O528" i="17" s="1"/>
  <c r="K528" i="17"/>
  <c r="L528" i="17"/>
  <c r="M528" i="17" s="1"/>
  <c r="I529" i="17"/>
  <c r="N529" i="17" s="1" a="1"/>
  <c r="N529" i="17" s="1"/>
  <c r="J529" i="17"/>
  <c r="O529" i="17" s="1" a="1"/>
  <c r="O529" i="17" s="1"/>
  <c r="K529" i="17"/>
  <c r="L529" i="17"/>
  <c r="M529" i="17" s="1"/>
  <c r="I530" i="17"/>
  <c r="N530" i="17" s="1" a="1"/>
  <c r="N530" i="17" s="1"/>
  <c r="J530" i="17"/>
  <c r="O530" i="17" s="1" a="1"/>
  <c r="O530" i="17" s="1"/>
  <c r="K530" i="17"/>
  <c r="L530" i="17"/>
  <c r="M530" i="17" s="1"/>
  <c r="I531" i="17"/>
  <c r="N531" i="17" s="1" a="1"/>
  <c r="N531" i="17" s="1"/>
  <c r="J531" i="17"/>
  <c r="O531" i="17" s="1" a="1"/>
  <c r="O531" i="17" s="1"/>
  <c r="K531" i="17"/>
  <c r="L531" i="17"/>
  <c r="M531" i="17" s="1"/>
  <c r="I532" i="17"/>
  <c r="N532" i="17" s="1" a="1"/>
  <c r="N532" i="17" s="1"/>
  <c r="J532" i="17"/>
  <c r="O532" i="17" s="1" a="1"/>
  <c r="O532" i="17" s="1"/>
  <c r="K532" i="17"/>
  <c r="L532" i="17"/>
  <c r="M532" i="17" s="1"/>
  <c r="I533" i="17"/>
  <c r="N533" i="17" s="1" a="1"/>
  <c r="N533" i="17" s="1"/>
  <c r="J533" i="17"/>
  <c r="O533" i="17" s="1" a="1"/>
  <c r="O533" i="17" s="1"/>
  <c r="K533" i="17"/>
  <c r="L533" i="17"/>
  <c r="M533" i="17" s="1"/>
  <c r="I534" i="17"/>
  <c r="N534" i="17" s="1" a="1"/>
  <c r="N534" i="17" s="1"/>
  <c r="J534" i="17"/>
  <c r="O534" i="17" s="1" a="1"/>
  <c r="O534" i="17" s="1"/>
  <c r="K534" i="17"/>
  <c r="L534" i="17"/>
  <c r="M534" i="17" s="1"/>
  <c r="I535" i="17"/>
  <c r="N535" i="17" s="1" a="1"/>
  <c r="N535" i="17" s="1"/>
  <c r="J535" i="17"/>
  <c r="O535" i="17" s="1" a="1"/>
  <c r="O535" i="17" s="1"/>
  <c r="K535" i="17"/>
  <c r="L535" i="17"/>
  <c r="M535" i="17" s="1"/>
  <c r="I536" i="17"/>
  <c r="N536" i="17" s="1" a="1"/>
  <c r="N536" i="17" s="1"/>
  <c r="J536" i="17"/>
  <c r="O536" i="17" s="1" a="1"/>
  <c r="O536" i="17" s="1"/>
  <c r="K536" i="17"/>
  <c r="L536" i="17"/>
  <c r="M536" i="17" s="1"/>
  <c r="I537" i="17"/>
  <c r="N537" i="17" s="1" a="1"/>
  <c r="N537" i="17" s="1"/>
  <c r="J537" i="17"/>
  <c r="O537" i="17" s="1" a="1"/>
  <c r="O537" i="17" s="1"/>
  <c r="K537" i="17"/>
  <c r="L537" i="17"/>
  <c r="M537" i="17" s="1"/>
  <c r="I538" i="17"/>
  <c r="N538" i="17" s="1" a="1"/>
  <c r="N538" i="17" s="1"/>
  <c r="J538" i="17"/>
  <c r="O538" i="17" s="1" a="1"/>
  <c r="O538" i="17" s="1"/>
  <c r="K538" i="17"/>
  <c r="L538" i="17"/>
  <c r="M538" i="17" s="1"/>
  <c r="I539" i="17"/>
  <c r="N539" i="17" s="1" a="1"/>
  <c r="N539" i="17" s="1"/>
  <c r="J539" i="17"/>
  <c r="O539" i="17" s="1" a="1"/>
  <c r="O539" i="17" s="1"/>
  <c r="K539" i="17"/>
  <c r="L539" i="17"/>
  <c r="M539" i="17" s="1"/>
  <c r="I540" i="17"/>
  <c r="N540" i="17" s="1" a="1"/>
  <c r="N540" i="17" s="1"/>
  <c r="J540" i="17"/>
  <c r="O540" i="17" s="1" a="1"/>
  <c r="O540" i="17" s="1"/>
  <c r="K540" i="17"/>
  <c r="L540" i="17"/>
  <c r="M540" i="17" s="1"/>
  <c r="I541" i="17"/>
  <c r="N541" i="17" s="1" a="1"/>
  <c r="N541" i="17" s="1"/>
  <c r="J541" i="17"/>
  <c r="O541" i="17" s="1" a="1"/>
  <c r="O541" i="17" s="1"/>
  <c r="K541" i="17"/>
  <c r="L541" i="17"/>
  <c r="M541" i="17" s="1"/>
  <c r="I542" i="17"/>
  <c r="N542" i="17" s="1" a="1"/>
  <c r="N542" i="17" s="1"/>
  <c r="J542" i="17"/>
  <c r="O542" i="17" s="1" a="1"/>
  <c r="O542" i="17" s="1"/>
  <c r="K542" i="17"/>
  <c r="L542" i="17"/>
  <c r="M542" i="17" s="1"/>
  <c r="I543" i="17"/>
  <c r="N543" i="17" s="1" a="1"/>
  <c r="N543" i="17" s="1"/>
  <c r="J543" i="17"/>
  <c r="O543" i="17" s="1" a="1"/>
  <c r="O543" i="17" s="1"/>
  <c r="K543" i="17"/>
  <c r="L543" i="17"/>
  <c r="M543" i="17" s="1"/>
  <c r="I544" i="17"/>
  <c r="N544" i="17" s="1" a="1"/>
  <c r="N544" i="17" s="1"/>
  <c r="J544" i="17"/>
  <c r="O544" i="17" s="1" a="1"/>
  <c r="O544" i="17" s="1"/>
  <c r="K544" i="17"/>
  <c r="L544" i="17"/>
  <c r="M544" i="17" s="1"/>
  <c r="I545" i="17"/>
  <c r="N545" i="17" s="1" a="1"/>
  <c r="N545" i="17" s="1"/>
  <c r="J545" i="17"/>
  <c r="O545" i="17" s="1" a="1"/>
  <c r="O545" i="17" s="1"/>
  <c r="K545" i="17"/>
  <c r="L545" i="17"/>
  <c r="M545" i="17" s="1"/>
  <c r="I546" i="17"/>
  <c r="N546" i="17" s="1" a="1"/>
  <c r="N546" i="17" s="1"/>
  <c r="J546" i="17"/>
  <c r="O546" i="17" s="1" a="1"/>
  <c r="O546" i="17" s="1"/>
  <c r="K546" i="17"/>
  <c r="L546" i="17"/>
  <c r="M546" i="17" s="1"/>
  <c r="I547" i="17"/>
  <c r="N547" i="17" s="1" a="1"/>
  <c r="N547" i="17" s="1"/>
  <c r="J547" i="17"/>
  <c r="O547" i="17" s="1" a="1"/>
  <c r="O547" i="17" s="1"/>
  <c r="K547" i="17"/>
  <c r="L547" i="17"/>
  <c r="M547" i="17" s="1"/>
  <c r="I548" i="17"/>
  <c r="N548" i="17" s="1" a="1"/>
  <c r="N548" i="17" s="1"/>
  <c r="J548" i="17"/>
  <c r="O548" i="17" s="1" a="1"/>
  <c r="O548" i="17" s="1"/>
  <c r="K548" i="17"/>
  <c r="L548" i="17"/>
  <c r="M548" i="17" s="1"/>
  <c r="I549" i="17"/>
  <c r="N549" i="17" s="1" a="1"/>
  <c r="N549" i="17" s="1"/>
  <c r="J549" i="17"/>
  <c r="O549" i="17" s="1" a="1"/>
  <c r="O549" i="17" s="1"/>
  <c r="K549" i="17"/>
  <c r="L549" i="17"/>
  <c r="M549" i="17" s="1"/>
  <c r="I550" i="17"/>
  <c r="N550" i="17" s="1" a="1"/>
  <c r="N550" i="17" s="1"/>
  <c r="J550" i="17"/>
  <c r="O550" i="17" s="1" a="1"/>
  <c r="O550" i="17" s="1"/>
  <c r="K550" i="17"/>
  <c r="L550" i="17"/>
  <c r="M550" i="17" s="1"/>
  <c r="I551" i="17"/>
  <c r="N551" i="17" s="1" a="1"/>
  <c r="N551" i="17" s="1"/>
  <c r="J551" i="17"/>
  <c r="O551" i="17" s="1" a="1"/>
  <c r="O551" i="17" s="1"/>
  <c r="K551" i="17"/>
  <c r="L551" i="17"/>
  <c r="M551" i="17" s="1"/>
  <c r="I552" i="17"/>
  <c r="N552" i="17" s="1" a="1"/>
  <c r="N552" i="17" s="1"/>
  <c r="J552" i="17"/>
  <c r="O552" i="17" s="1" a="1"/>
  <c r="O552" i="17" s="1"/>
  <c r="K552" i="17"/>
  <c r="L552" i="17"/>
  <c r="M552" i="17" s="1"/>
  <c r="I553" i="17"/>
  <c r="N553" i="17" s="1" a="1"/>
  <c r="N553" i="17" s="1"/>
  <c r="J553" i="17"/>
  <c r="O553" i="17" s="1" a="1"/>
  <c r="O553" i="17" s="1"/>
  <c r="K553" i="17"/>
  <c r="L553" i="17"/>
  <c r="M553" i="17" s="1"/>
  <c r="I554" i="17"/>
  <c r="N554" i="17" s="1" a="1"/>
  <c r="N554" i="17" s="1"/>
  <c r="J554" i="17"/>
  <c r="O554" i="17" s="1" a="1"/>
  <c r="O554" i="17" s="1"/>
  <c r="K554" i="17"/>
  <c r="L554" i="17"/>
  <c r="M554" i="17" s="1"/>
  <c r="I555" i="17"/>
  <c r="N555" i="17" s="1" a="1"/>
  <c r="N555" i="17" s="1"/>
  <c r="J555" i="17"/>
  <c r="O555" i="17" s="1" a="1"/>
  <c r="O555" i="17" s="1"/>
  <c r="K555" i="17"/>
  <c r="L555" i="17"/>
  <c r="M555" i="17" s="1"/>
  <c r="I556" i="17"/>
  <c r="N556" i="17" s="1" a="1"/>
  <c r="N556" i="17" s="1"/>
  <c r="J556" i="17"/>
  <c r="O556" i="17" s="1" a="1"/>
  <c r="O556" i="17" s="1"/>
  <c r="K556" i="17"/>
  <c r="L556" i="17"/>
  <c r="M556" i="17" s="1"/>
  <c r="I557" i="17"/>
  <c r="N557" i="17" s="1" a="1"/>
  <c r="N557" i="17" s="1"/>
  <c r="J557" i="17"/>
  <c r="O557" i="17" s="1" a="1"/>
  <c r="O557" i="17" s="1"/>
  <c r="K557" i="17"/>
  <c r="L557" i="17"/>
  <c r="M557" i="17" s="1"/>
  <c r="I558" i="17"/>
  <c r="N558" i="17" s="1" a="1"/>
  <c r="N558" i="17" s="1"/>
  <c r="J558" i="17"/>
  <c r="O558" i="17" s="1" a="1"/>
  <c r="O558" i="17" s="1"/>
  <c r="K558" i="17"/>
  <c r="L558" i="17"/>
  <c r="M558" i="17" s="1"/>
  <c r="I559" i="17"/>
  <c r="N559" i="17" s="1" a="1"/>
  <c r="N559" i="17" s="1"/>
  <c r="J559" i="17"/>
  <c r="O559" i="17" s="1" a="1"/>
  <c r="O559" i="17" s="1"/>
  <c r="K559" i="17"/>
  <c r="L559" i="17"/>
  <c r="M559" i="17" s="1"/>
  <c r="I560" i="17"/>
  <c r="N560" i="17" s="1" a="1"/>
  <c r="N560" i="17" s="1"/>
  <c r="J560" i="17"/>
  <c r="O560" i="17" s="1" a="1"/>
  <c r="O560" i="17" s="1"/>
  <c r="K560" i="17"/>
  <c r="L560" i="17"/>
  <c r="M560" i="17" s="1"/>
  <c r="I561" i="17"/>
  <c r="N561" i="17" s="1" a="1"/>
  <c r="N561" i="17" s="1"/>
  <c r="J561" i="17"/>
  <c r="O561" i="17" s="1" a="1"/>
  <c r="O561" i="17" s="1"/>
  <c r="K561" i="17"/>
  <c r="L561" i="17"/>
  <c r="M561" i="17" s="1"/>
  <c r="I562" i="17"/>
  <c r="N562" i="17" s="1" a="1"/>
  <c r="N562" i="17" s="1"/>
  <c r="J562" i="17"/>
  <c r="O562" i="17" s="1" a="1"/>
  <c r="O562" i="17" s="1"/>
  <c r="K562" i="17"/>
  <c r="L562" i="17"/>
  <c r="M562" i="17" s="1"/>
  <c r="I563" i="17"/>
  <c r="N563" i="17" s="1" a="1"/>
  <c r="N563" i="17" s="1"/>
  <c r="J563" i="17"/>
  <c r="O563" i="17" s="1" a="1"/>
  <c r="O563" i="17" s="1"/>
  <c r="K563" i="17"/>
  <c r="L563" i="17"/>
  <c r="M563" i="17" s="1"/>
  <c r="I564" i="17"/>
  <c r="N564" i="17" s="1" a="1"/>
  <c r="N564" i="17" s="1"/>
  <c r="J564" i="17"/>
  <c r="O564" i="17" s="1" a="1"/>
  <c r="O564" i="17" s="1"/>
  <c r="K564" i="17"/>
  <c r="L564" i="17"/>
  <c r="M564" i="17" s="1"/>
  <c r="I565" i="17"/>
  <c r="N565" i="17" s="1" a="1"/>
  <c r="N565" i="17" s="1"/>
  <c r="J565" i="17"/>
  <c r="O565" i="17" s="1" a="1"/>
  <c r="O565" i="17" s="1"/>
  <c r="K565" i="17"/>
  <c r="L565" i="17"/>
  <c r="M565" i="17" s="1"/>
  <c r="I566" i="17"/>
  <c r="N566" i="17" s="1" a="1"/>
  <c r="N566" i="17" s="1"/>
  <c r="J566" i="17"/>
  <c r="O566" i="17" s="1" a="1"/>
  <c r="O566" i="17" s="1"/>
  <c r="K566" i="17"/>
  <c r="L566" i="17"/>
  <c r="M566" i="17" s="1"/>
  <c r="I567" i="17"/>
  <c r="N567" i="17" s="1" a="1"/>
  <c r="N567" i="17" s="1"/>
  <c r="J567" i="17"/>
  <c r="O567" i="17" s="1" a="1"/>
  <c r="O567" i="17" s="1"/>
  <c r="K567" i="17"/>
  <c r="L567" i="17"/>
  <c r="M567" i="17" s="1"/>
  <c r="I568" i="17"/>
  <c r="N568" i="17" s="1" a="1"/>
  <c r="N568" i="17" s="1"/>
  <c r="J568" i="17"/>
  <c r="O568" i="17" s="1" a="1"/>
  <c r="O568" i="17" s="1"/>
  <c r="K568" i="17"/>
  <c r="L568" i="17"/>
  <c r="M568" i="17" s="1"/>
  <c r="I569" i="17"/>
  <c r="N569" i="17" s="1" a="1"/>
  <c r="N569" i="17" s="1"/>
  <c r="J569" i="17"/>
  <c r="O569" i="17" s="1" a="1"/>
  <c r="O569" i="17" s="1"/>
  <c r="K569" i="17"/>
  <c r="L569" i="17"/>
  <c r="M569" i="17" s="1"/>
  <c r="I570" i="17"/>
  <c r="N570" i="17" s="1" a="1"/>
  <c r="N570" i="17" s="1"/>
  <c r="J570" i="17"/>
  <c r="O570" i="17" s="1" a="1"/>
  <c r="O570" i="17" s="1"/>
  <c r="K570" i="17"/>
  <c r="L570" i="17"/>
  <c r="M570" i="17" s="1"/>
  <c r="I571" i="17"/>
  <c r="N571" i="17" s="1" a="1"/>
  <c r="N571" i="17" s="1"/>
  <c r="J571" i="17"/>
  <c r="O571" i="17" s="1" a="1"/>
  <c r="O571" i="17" s="1"/>
  <c r="K571" i="17"/>
  <c r="L571" i="17"/>
  <c r="M571" i="17" s="1"/>
  <c r="I572" i="17"/>
  <c r="N572" i="17" s="1" a="1"/>
  <c r="N572" i="17" s="1"/>
  <c r="J572" i="17"/>
  <c r="O572" i="17" s="1" a="1"/>
  <c r="O572" i="17" s="1"/>
  <c r="K572" i="17"/>
  <c r="L572" i="17"/>
  <c r="M572" i="17" s="1"/>
  <c r="I573" i="17"/>
  <c r="N573" i="17" s="1" a="1"/>
  <c r="N573" i="17" s="1"/>
  <c r="J573" i="17"/>
  <c r="O573" i="17" s="1" a="1"/>
  <c r="O573" i="17" s="1"/>
  <c r="K573" i="17"/>
  <c r="L573" i="17"/>
  <c r="M573" i="17" s="1"/>
  <c r="I574" i="17"/>
  <c r="N574" i="17" s="1" a="1"/>
  <c r="N574" i="17" s="1"/>
  <c r="J574" i="17"/>
  <c r="O574" i="17" s="1" a="1"/>
  <c r="O574" i="17" s="1"/>
  <c r="K574" i="17"/>
  <c r="L574" i="17"/>
  <c r="M574" i="17" s="1"/>
  <c r="I575" i="17"/>
  <c r="N575" i="17" s="1" a="1"/>
  <c r="N575" i="17" s="1"/>
  <c r="J575" i="17"/>
  <c r="O575" i="17" s="1" a="1"/>
  <c r="O575" i="17" s="1"/>
  <c r="K575" i="17"/>
  <c r="L575" i="17"/>
  <c r="M575" i="17" s="1"/>
  <c r="I576" i="17"/>
  <c r="N576" i="17" s="1" a="1"/>
  <c r="N576" i="17" s="1"/>
  <c r="J576" i="17"/>
  <c r="O576" i="17" s="1" a="1"/>
  <c r="O576" i="17" s="1"/>
  <c r="K576" i="17"/>
  <c r="L576" i="17"/>
  <c r="M576" i="17" s="1"/>
  <c r="I577" i="17"/>
  <c r="N577" i="17" s="1" a="1"/>
  <c r="N577" i="17" s="1"/>
  <c r="J577" i="17"/>
  <c r="O577" i="17" s="1" a="1"/>
  <c r="O577" i="17" s="1"/>
  <c r="K577" i="17"/>
  <c r="L577" i="17"/>
  <c r="M577" i="17" s="1"/>
  <c r="I578" i="17"/>
  <c r="N578" i="17" s="1" a="1"/>
  <c r="N578" i="17" s="1"/>
  <c r="J578" i="17"/>
  <c r="O578" i="17" s="1" a="1"/>
  <c r="O578" i="17" s="1"/>
  <c r="K578" i="17"/>
  <c r="L578" i="17"/>
  <c r="M578" i="17" s="1"/>
  <c r="I579" i="17"/>
  <c r="N579" i="17" s="1" a="1"/>
  <c r="N579" i="17" s="1"/>
  <c r="J579" i="17"/>
  <c r="O579" i="17" s="1" a="1"/>
  <c r="O579" i="17" s="1"/>
  <c r="K579" i="17"/>
  <c r="L579" i="17"/>
  <c r="M579" i="17" s="1"/>
  <c r="I580" i="17"/>
  <c r="N580" i="17" s="1" a="1"/>
  <c r="N580" i="17" s="1"/>
  <c r="J580" i="17"/>
  <c r="O580" i="17" s="1" a="1"/>
  <c r="O580" i="17" s="1"/>
  <c r="K580" i="17"/>
  <c r="L580" i="17"/>
  <c r="M580" i="17" s="1"/>
  <c r="I581" i="17"/>
  <c r="N581" i="17" s="1" a="1"/>
  <c r="N581" i="17" s="1"/>
  <c r="J581" i="17"/>
  <c r="O581" i="17" s="1" a="1"/>
  <c r="O581" i="17" s="1"/>
  <c r="K581" i="17"/>
  <c r="L581" i="17"/>
  <c r="M581" i="17" s="1"/>
  <c r="I582" i="17"/>
  <c r="N582" i="17" s="1" a="1"/>
  <c r="N582" i="17" s="1"/>
  <c r="J582" i="17"/>
  <c r="O582" i="17" s="1" a="1"/>
  <c r="O582" i="17" s="1"/>
  <c r="K582" i="17"/>
  <c r="L582" i="17"/>
  <c r="M582" i="17" s="1"/>
  <c r="I583" i="17"/>
  <c r="N583" i="17" s="1" a="1"/>
  <c r="N583" i="17" s="1"/>
  <c r="J583" i="17"/>
  <c r="O583" i="17" s="1" a="1"/>
  <c r="O583" i="17" s="1"/>
  <c r="K583" i="17"/>
  <c r="L583" i="17"/>
  <c r="M583" i="17" s="1"/>
  <c r="I584" i="17"/>
  <c r="N584" i="17" s="1" a="1"/>
  <c r="N584" i="17" s="1"/>
  <c r="J584" i="17"/>
  <c r="O584" i="17" s="1" a="1"/>
  <c r="O584" i="17" s="1"/>
  <c r="K584" i="17"/>
  <c r="L584" i="17"/>
  <c r="M584" i="17" s="1"/>
  <c r="I585" i="17"/>
  <c r="N585" i="17" s="1" a="1"/>
  <c r="N585" i="17" s="1"/>
  <c r="J585" i="17"/>
  <c r="O585" i="17" s="1" a="1"/>
  <c r="O585" i="17" s="1"/>
  <c r="K585" i="17"/>
  <c r="L585" i="17"/>
  <c r="M585" i="17" s="1"/>
  <c r="I586" i="17"/>
  <c r="N586" i="17" s="1" a="1"/>
  <c r="N586" i="17" s="1"/>
  <c r="J586" i="17"/>
  <c r="O586" i="17" s="1" a="1"/>
  <c r="O586" i="17" s="1"/>
  <c r="K586" i="17"/>
  <c r="L586" i="17"/>
  <c r="M586" i="17" s="1"/>
  <c r="I587" i="17"/>
  <c r="N587" i="17" s="1" a="1"/>
  <c r="N587" i="17" s="1"/>
  <c r="J587" i="17"/>
  <c r="O587" i="17" s="1" a="1"/>
  <c r="O587" i="17" s="1"/>
  <c r="K587" i="17"/>
  <c r="L587" i="17"/>
  <c r="M587" i="17" s="1"/>
  <c r="I588" i="17"/>
  <c r="N588" i="17" s="1" a="1"/>
  <c r="N588" i="17" s="1"/>
  <c r="J588" i="17"/>
  <c r="O588" i="17" s="1" a="1"/>
  <c r="O588" i="17" s="1"/>
  <c r="K588" i="17"/>
  <c r="L588" i="17"/>
  <c r="M588" i="17" s="1"/>
  <c r="I589" i="17"/>
  <c r="N589" i="17" s="1" a="1"/>
  <c r="N589" i="17" s="1"/>
  <c r="J589" i="17"/>
  <c r="O589" i="17" s="1" a="1"/>
  <c r="O589" i="17" s="1"/>
  <c r="K589" i="17"/>
  <c r="L589" i="17"/>
  <c r="M589" i="17" s="1"/>
  <c r="I590" i="17"/>
  <c r="N590" i="17" s="1" a="1"/>
  <c r="N590" i="17" s="1"/>
  <c r="J590" i="17"/>
  <c r="O590" i="17" s="1" a="1"/>
  <c r="O590" i="17" s="1"/>
  <c r="K590" i="17"/>
  <c r="L590" i="17"/>
  <c r="M590" i="17" s="1"/>
  <c r="I591" i="17"/>
  <c r="N591" i="17" s="1" a="1"/>
  <c r="N591" i="17" s="1"/>
  <c r="J591" i="17"/>
  <c r="O591" i="17" s="1" a="1"/>
  <c r="O591" i="17" s="1"/>
  <c r="K591" i="17"/>
  <c r="L591" i="17"/>
  <c r="M591" i="17" s="1"/>
  <c r="I592" i="17"/>
  <c r="N592" i="17" s="1" a="1"/>
  <c r="N592" i="17" s="1"/>
  <c r="J592" i="17"/>
  <c r="O592" i="17" s="1" a="1"/>
  <c r="O592" i="17" s="1"/>
  <c r="K592" i="17"/>
  <c r="L592" i="17"/>
  <c r="M592" i="17" s="1"/>
  <c r="I593" i="17"/>
  <c r="N593" i="17" s="1" a="1"/>
  <c r="N593" i="17" s="1"/>
  <c r="J593" i="17"/>
  <c r="O593" i="17" s="1" a="1"/>
  <c r="O593" i="17" s="1"/>
  <c r="K593" i="17"/>
  <c r="L593" i="17"/>
  <c r="M593" i="17" s="1"/>
  <c r="I594" i="17"/>
  <c r="N594" i="17" s="1" a="1"/>
  <c r="N594" i="17" s="1"/>
  <c r="J594" i="17"/>
  <c r="O594" i="17" s="1" a="1"/>
  <c r="O594" i="17" s="1"/>
  <c r="K594" i="17"/>
  <c r="L594" i="17"/>
  <c r="M594" i="17" s="1"/>
  <c r="I595" i="17"/>
  <c r="N595" i="17" s="1" a="1"/>
  <c r="N595" i="17" s="1"/>
  <c r="J595" i="17"/>
  <c r="O595" i="17" s="1" a="1"/>
  <c r="O595" i="17" s="1"/>
  <c r="K595" i="17"/>
  <c r="L595" i="17"/>
  <c r="M595" i="17" s="1"/>
  <c r="I596" i="17"/>
  <c r="N596" i="17" s="1" a="1"/>
  <c r="N596" i="17" s="1"/>
  <c r="J596" i="17"/>
  <c r="O596" i="17" s="1" a="1"/>
  <c r="O596" i="17" s="1"/>
  <c r="K596" i="17"/>
  <c r="L596" i="17"/>
  <c r="M596" i="17" s="1"/>
  <c r="I597" i="17"/>
  <c r="N597" i="17" s="1" a="1"/>
  <c r="N597" i="17" s="1"/>
  <c r="J597" i="17"/>
  <c r="O597" i="17" s="1" a="1"/>
  <c r="O597" i="17" s="1"/>
  <c r="K597" i="17"/>
  <c r="L597" i="17"/>
  <c r="M597" i="17" s="1"/>
  <c r="I598" i="17"/>
  <c r="N598" i="17" s="1" a="1"/>
  <c r="N598" i="17" s="1"/>
  <c r="J598" i="17"/>
  <c r="O598" i="17" s="1" a="1"/>
  <c r="O598" i="17" s="1"/>
  <c r="K598" i="17"/>
  <c r="L598" i="17"/>
  <c r="M598" i="17" s="1"/>
  <c r="I599" i="17"/>
  <c r="N599" i="17" s="1" a="1"/>
  <c r="N599" i="17" s="1"/>
  <c r="J599" i="17"/>
  <c r="O599" i="17" s="1" a="1"/>
  <c r="O599" i="17" s="1"/>
  <c r="K599" i="17"/>
  <c r="L599" i="17"/>
  <c r="M599" i="17" s="1"/>
  <c r="I600" i="17"/>
  <c r="N600" i="17" s="1" a="1"/>
  <c r="N600" i="17" s="1"/>
  <c r="J600" i="17"/>
  <c r="O600" i="17" s="1" a="1"/>
  <c r="O600" i="17" s="1"/>
  <c r="K600" i="17"/>
  <c r="L600" i="17"/>
  <c r="M600" i="17" s="1"/>
  <c r="I601" i="17"/>
  <c r="N601" i="17" s="1" a="1"/>
  <c r="N601" i="17" s="1"/>
  <c r="J601" i="17"/>
  <c r="O601" i="17" s="1" a="1"/>
  <c r="O601" i="17" s="1"/>
  <c r="K601" i="17"/>
  <c r="L601" i="17"/>
  <c r="M601" i="17" s="1"/>
  <c r="I602" i="17"/>
  <c r="N602" i="17" s="1" a="1"/>
  <c r="N602" i="17" s="1"/>
  <c r="J602" i="17"/>
  <c r="O602" i="17" s="1" a="1"/>
  <c r="O602" i="17" s="1"/>
  <c r="K602" i="17"/>
  <c r="L602" i="17"/>
  <c r="M602" i="17" s="1"/>
  <c r="I603" i="17"/>
  <c r="N603" i="17" s="1" a="1"/>
  <c r="N603" i="17" s="1"/>
  <c r="J603" i="17"/>
  <c r="O603" i="17" s="1" a="1"/>
  <c r="O603" i="17" s="1"/>
  <c r="K603" i="17"/>
  <c r="L603" i="17"/>
  <c r="M603" i="17" s="1"/>
  <c r="I604" i="17"/>
  <c r="N604" i="17" s="1" a="1"/>
  <c r="N604" i="17" s="1"/>
  <c r="J604" i="17"/>
  <c r="O604" i="17" s="1" a="1"/>
  <c r="O604" i="17" s="1"/>
  <c r="K604" i="17"/>
  <c r="L604" i="17"/>
  <c r="M604" i="17" s="1"/>
  <c r="I605" i="17"/>
  <c r="N605" i="17" s="1" a="1"/>
  <c r="N605" i="17" s="1"/>
  <c r="J605" i="17"/>
  <c r="O605" i="17" s="1" a="1"/>
  <c r="O605" i="17" s="1"/>
  <c r="K605" i="17"/>
  <c r="L605" i="17"/>
  <c r="M605" i="17" s="1"/>
  <c r="I606" i="17"/>
  <c r="N606" i="17" s="1" a="1"/>
  <c r="N606" i="17" s="1"/>
  <c r="J606" i="17"/>
  <c r="O606" i="17" s="1" a="1"/>
  <c r="O606" i="17" s="1"/>
  <c r="K606" i="17"/>
  <c r="L606" i="17"/>
  <c r="M606" i="17" s="1"/>
  <c r="I607" i="17"/>
  <c r="N607" i="17" s="1" a="1"/>
  <c r="N607" i="17" s="1"/>
  <c r="J607" i="17"/>
  <c r="O607" i="17" s="1" a="1"/>
  <c r="O607" i="17" s="1"/>
  <c r="K607" i="17"/>
  <c r="L607" i="17"/>
  <c r="M607" i="17" s="1"/>
  <c r="I608" i="17"/>
  <c r="N608" i="17" s="1" a="1"/>
  <c r="N608" i="17" s="1"/>
  <c r="J608" i="17"/>
  <c r="O608" i="17" s="1" a="1"/>
  <c r="O608" i="17" s="1"/>
  <c r="K608" i="17"/>
  <c r="L608" i="17"/>
  <c r="M608" i="17" s="1"/>
  <c r="I609" i="17"/>
  <c r="N609" i="17" s="1" a="1"/>
  <c r="N609" i="17" s="1"/>
  <c r="J609" i="17"/>
  <c r="O609" i="17" s="1" a="1"/>
  <c r="O609" i="17" s="1"/>
  <c r="K609" i="17"/>
  <c r="L609" i="17"/>
  <c r="M609" i="17" s="1"/>
  <c r="I610" i="17"/>
  <c r="N610" i="17" s="1" a="1"/>
  <c r="N610" i="17" s="1"/>
  <c r="J610" i="17"/>
  <c r="O610" i="17" s="1" a="1"/>
  <c r="O610" i="17" s="1"/>
  <c r="K610" i="17"/>
  <c r="L610" i="17"/>
  <c r="M610" i="17" s="1"/>
  <c r="I611" i="17"/>
  <c r="N611" i="17" s="1" a="1"/>
  <c r="N611" i="17" s="1"/>
  <c r="J611" i="17"/>
  <c r="O611" i="17" s="1" a="1"/>
  <c r="O611" i="17" s="1"/>
  <c r="K611" i="17"/>
  <c r="L611" i="17"/>
  <c r="M611" i="17" s="1"/>
  <c r="I612" i="17"/>
  <c r="N612" i="17" s="1" a="1"/>
  <c r="N612" i="17" s="1"/>
  <c r="J612" i="17"/>
  <c r="O612" i="17" s="1" a="1"/>
  <c r="O612" i="17" s="1"/>
  <c r="K612" i="17"/>
  <c r="L612" i="17"/>
  <c r="M612" i="17" s="1"/>
  <c r="I613" i="17"/>
  <c r="N613" i="17" s="1" a="1"/>
  <c r="N613" i="17" s="1"/>
  <c r="J613" i="17"/>
  <c r="O613" i="17" s="1" a="1"/>
  <c r="O613" i="17" s="1"/>
  <c r="K613" i="17"/>
  <c r="L613" i="17"/>
  <c r="M613" i="17" s="1"/>
  <c r="I614" i="17"/>
  <c r="N614" i="17" s="1" a="1"/>
  <c r="N614" i="17" s="1"/>
  <c r="J614" i="17"/>
  <c r="O614" i="17" s="1" a="1"/>
  <c r="O614" i="17" s="1"/>
  <c r="K614" i="17"/>
  <c r="L614" i="17"/>
  <c r="M614" i="17" s="1"/>
  <c r="I615" i="17"/>
  <c r="N615" i="17" s="1" a="1"/>
  <c r="N615" i="17" s="1"/>
  <c r="J615" i="17"/>
  <c r="O615" i="17" s="1" a="1"/>
  <c r="O615" i="17" s="1"/>
  <c r="K615" i="17"/>
  <c r="L615" i="17"/>
  <c r="M615" i="17" s="1"/>
  <c r="I616" i="17"/>
  <c r="N616" i="17" s="1" a="1"/>
  <c r="N616" i="17" s="1"/>
  <c r="J616" i="17"/>
  <c r="O616" i="17" s="1" a="1"/>
  <c r="O616" i="17" s="1"/>
  <c r="K616" i="17"/>
  <c r="L616" i="17"/>
  <c r="M616" i="17" s="1"/>
  <c r="I617" i="17"/>
  <c r="N617" i="17" s="1" a="1"/>
  <c r="N617" i="17" s="1"/>
  <c r="J617" i="17"/>
  <c r="O617" i="17" s="1" a="1"/>
  <c r="O617" i="17" s="1"/>
  <c r="K617" i="17"/>
  <c r="L617" i="17"/>
  <c r="M617" i="17" s="1"/>
  <c r="I618" i="17"/>
  <c r="N618" i="17" s="1" a="1"/>
  <c r="N618" i="17" s="1"/>
  <c r="J618" i="17"/>
  <c r="O618" i="17" s="1" a="1"/>
  <c r="O618" i="17" s="1"/>
  <c r="K618" i="17"/>
  <c r="L618" i="17"/>
  <c r="M618" i="17" s="1"/>
  <c r="I619" i="17"/>
  <c r="N619" i="17" s="1" a="1"/>
  <c r="N619" i="17" s="1"/>
  <c r="J619" i="17"/>
  <c r="O619" i="17" s="1" a="1"/>
  <c r="O619" i="17" s="1"/>
  <c r="K619" i="17"/>
  <c r="L619" i="17"/>
  <c r="M619" i="17" s="1"/>
  <c r="I620" i="17"/>
  <c r="N620" i="17" s="1" a="1"/>
  <c r="N620" i="17" s="1"/>
  <c r="J620" i="17"/>
  <c r="O620" i="17" s="1" a="1"/>
  <c r="O620" i="17" s="1"/>
  <c r="K620" i="17"/>
  <c r="L620" i="17"/>
  <c r="M620" i="17" s="1"/>
  <c r="I621" i="17"/>
  <c r="N621" i="17" s="1" a="1"/>
  <c r="N621" i="17" s="1"/>
  <c r="J621" i="17"/>
  <c r="O621" i="17" s="1" a="1"/>
  <c r="O621" i="17" s="1"/>
  <c r="K621" i="17"/>
  <c r="L621" i="17"/>
  <c r="M621" i="17" s="1"/>
  <c r="I622" i="17"/>
  <c r="N622" i="17" s="1" a="1"/>
  <c r="N622" i="17" s="1"/>
  <c r="J622" i="17"/>
  <c r="O622" i="17" s="1" a="1"/>
  <c r="O622" i="17" s="1"/>
  <c r="K622" i="17"/>
  <c r="L622" i="17"/>
  <c r="M622" i="17" s="1"/>
  <c r="I623" i="17"/>
  <c r="N623" i="17" s="1" a="1"/>
  <c r="N623" i="17" s="1"/>
  <c r="J623" i="17"/>
  <c r="O623" i="17" s="1" a="1"/>
  <c r="O623" i="17" s="1"/>
  <c r="K623" i="17"/>
  <c r="L623" i="17"/>
  <c r="M623" i="17" s="1"/>
  <c r="I624" i="17"/>
  <c r="N624" i="17" s="1" a="1"/>
  <c r="N624" i="17" s="1"/>
  <c r="J624" i="17"/>
  <c r="O624" i="17" s="1" a="1"/>
  <c r="O624" i="17" s="1"/>
  <c r="K624" i="17"/>
  <c r="L624" i="17"/>
  <c r="M624" i="17" s="1"/>
  <c r="I625" i="17"/>
  <c r="N625" i="17" s="1" a="1"/>
  <c r="N625" i="17" s="1"/>
  <c r="J625" i="17"/>
  <c r="O625" i="17" s="1" a="1"/>
  <c r="O625" i="17" s="1"/>
  <c r="K625" i="17"/>
  <c r="L625" i="17"/>
  <c r="M625" i="17" s="1"/>
  <c r="I626" i="17"/>
  <c r="N626" i="17" s="1" a="1"/>
  <c r="N626" i="17" s="1"/>
  <c r="J626" i="17"/>
  <c r="O626" i="17" s="1" a="1"/>
  <c r="O626" i="17" s="1"/>
  <c r="K626" i="17"/>
  <c r="L626" i="17"/>
  <c r="M626" i="17" s="1"/>
  <c r="I627" i="17"/>
  <c r="N627" i="17" s="1" a="1"/>
  <c r="N627" i="17" s="1"/>
  <c r="J627" i="17"/>
  <c r="O627" i="17" s="1" a="1"/>
  <c r="O627" i="17" s="1"/>
  <c r="K627" i="17"/>
  <c r="L627" i="17"/>
  <c r="M627" i="17" s="1"/>
  <c r="I628" i="17"/>
  <c r="N628" i="17" s="1" a="1"/>
  <c r="N628" i="17" s="1"/>
  <c r="J628" i="17"/>
  <c r="O628" i="17" s="1" a="1"/>
  <c r="O628" i="17" s="1"/>
  <c r="K628" i="17"/>
  <c r="L628" i="17"/>
  <c r="M628" i="17" s="1"/>
  <c r="I629" i="17"/>
  <c r="N629" i="17" s="1" a="1"/>
  <c r="N629" i="17" s="1"/>
  <c r="J629" i="17"/>
  <c r="O629" i="17" s="1" a="1"/>
  <c r="O629" i="17" s="1"/>
  <c r="K629" i="17"/>
  <c r="L629" i="17"/>
  <c r="M629" i="17" s="1"/>
  <c r="I630" i="17"/>
  <c r="N630" i="17" s="1" a="1"/>
  <c r="N630" i="17" s="1"/>
  <c r="J630" i="17"/>
  <c r="O630" i="17" s="1" a="1"/>
  <c r="O630" i="17" s="1"/>
  <c r="K630" i="17"/>
  <c r="L630" i="17"/>
  <c r="M630" i="17" s="1"/>
  <c r="I631" i="17"/>
  <c r="N631" i="17" s="1" a="1"/>
  <c r="N631" i="17" s="1"/>
  <c r="J631" i="17"/>
  <c r="O631" i="17" s="1" a="1"/>
  <c r="O631" i="17" s="1"/>
  <c r="K631" i="17"/>
  <c r="L631" i="17"/>
  <c r="M631" i="17" s="1"/>
  <c r="I632" i="17"/>
  <c r="N632" i="17" s="1" a="1"/>
  <c r="N632" i="17" s="1"/>
  <c r="J632" i="17"/>
  <c r="O632" i="17" s="1" a="1"/>
  <c r="O632" i="17" s="1"/>
  <c r="K632" i="17"/>
  <c r="L632" i="17"/>
  <c r="M632" i="17" s="1"/>
  <c r="I633" i="17"/>
  <c r="N633" i="17" s="1" a="1"/>
  <c r="N633" i="17" s="1"/>
  <c r="J633" i="17"/>
  <c r="O633" i="17" s="1" a="1"/>
  <c r="O633" i="17" s="1"/>
  <c r="K633" i="17"/>
  <c r="L633" i="17"/>
  <c r="M633" i="17" s="1"/>
  <c r="I634" i="17"/>
  <c r="N634" i="17" s="1" a="1"/>
  <c r="N634" i="17" s="1"/>
  <c r="J634" i="17"/>
  <c r="O634" i="17" s="1" a="1"/>
  <c r="O634" i="17" s="1"/>
  <c r="K634" i="17"/>
  <c r="L634" i="17"/>
  <c r="M634" i="17" s="1"/>
  <c r="I635" i="17"/>
  <c r="N635" i="17" s="1" a="1"/>
  <c r="N635" i="17" s="1"/>
  <c r="J635" i="17"/>
  <c r="O635" i="17" s="1" a="1"/>
  <c r="O635" i="17" s="1"/>
  <c r="K635" i="17"/>
  <c r="L635" i="17"/>
  <c r="M635" i="17" s="1"/>
  <c r="I636" i="17"/>
  <c r="N636" i="17" s="1" a="1"/>
  <c r="N636" i="17" s="1"/>
  <c r="J636" i="17"/>
  <c r="O636" i="17" s="1" a="1"/>
  <c r="O636" i="17" s="1"/>
  <c r="K636" i="17"/>
  <c r="L636" i="17"/>
  <c r="M636" i="17" s="1"/>
  <c r="I637" i="17"/>
  <c r="N637" i="17" s="1" a="1"/>
  <c r="N637" i="17" s="1"/>
  <c r="J637" i="17"/>
  <c r="O637" i="17" s="1" a="1"/>
  <c r="O637" i="17" s="1"/>
  <c r="K637" i="17"/>
  <c r="L637" i="17"/>
  <c r="M637" i="17" s="1"/>
  <c r="I638" i="17"/>
  <c r="N638" i="17" s="1" a="1"/>
  <c r="N638" i="17" s="1"/>
  <c r="J638" i="17"/>
  <c r="O638" i="17" s="1" a="1"/>
  <c r="O638" i="17" s="1"/>
  <c r="K638" i="17"/>
  <c r="L638" i="17"/>
  <c r="M638" i="17" s="1"/>
  <c r="I639" i="17"/>
  <c r="N639" i="17" s="1" a="1"/>
  <c r="N639" i="17" s="1"/>
  <c r="J639" i="17"/>
  <c r="O639" i="17" s="1" a="1"/>
  <c r="O639" i="17" s="1"/>
  <c r="K639" i="17"/>
  <c r="L639" i="17"/>
  <c r="M639" i="17" s="1"/>
  <c r="I640" i="17"/>
  <c r="N640" i="17" s="1" a="1"/>
  <c r="N640" i="17" s="1"/>
  <c r="J640" i="17"/>
  <c r="O640" i="17" s="1" a="1"/>
  <c r="O640" i="17" s="1"/>
  <c r="K640" i="17"/>
  <c r="L640" i="17"/>
  <c r="M640" i="17" s="1"/>
  <c r="I641" i="17"/>
  <c r="N641" i="17" s="1" a="1"/>
  <c r="N641" i="17" s="1"/>
  <c r="J641" i="17"/>
  <c r="O641" i="17" s="1" a="1"/>
  <c r="O641" i="17" s="1"/>
  <c r="K641" i="17"/>
  <c r="L641" i="17"/>
  <c r="M641" i="17" s="1"/>
  <c r="I642" i="17"/>
  <c r="N642" i="17" s="1" a="1"/>
  <c r="N642" i="17" s="1"/>
  <c r="J642" i="17"/>
  <c r="O642" i="17" s="1" a="1"/>
  <c r="O642" i="17" s="1"/>
  <c r="K642" i="17"/>
  <c r="L642" i="17"/>
  <c r="M642" i="17" s="1"/>
  <c r="I643" i="17"/>
  <c r="N643" i="17" s="1" a="1"/>
  <c r="N643" i="17" s="1"/>
  <c r="J643" i="17"/>
  <c r="O643" i="17" s="1" a="1"/>
  <c r="O643" i="17" s="1"/>
  <c r="K643" i="17"/>
  <c r="L643" i="17"/>
  <c r="M643" i="17" s="1"/>
  <c r="I644" i="17"/>
  <c r="N644" i="17" s="1" a="1"/>
  <c r="N644" i="17" s="1"/>
  <c r="J644" i="17"/>
  <c r="O644" i="17" s="1" a="1"/>
  <c r="O644" i="17" s="1"/>
  <c r="K644" i="17"/>
  <c r="L644" i="17"/>
  <c r="M644" i="17" s="1"/>
  <c r="I645" i="17"/>
  <c r="N645" i="17" s="1" a="1"/>
  <c r="N645" i="17" s="1"/>
  <c r="J645" i="17"/>
  <c r="O645" i="17" s="1" a="1"/>
  <c r="O645" i="17" s="1"/>
  <c r="K645" i="17"/>
  <c r="L645" i="17"/>
  <c r="M645" i="17" s="1"/>
  <c r="I646" i="17"/>
  <c r="N646" i="17" s="1" a="1"/>
  <c r="N646" i="17" s="1"/>
  <c r="J646" i="17"/>
  <c r="O646" i="17" s="1" a="1"/>
  <c r="O646" i="17" s="1"/>
  <c r="K646" i="17"/>
  <c r="L646" i="17"/>
  <c r="M646" i="17" s="1"/>
  <c r="I647" i="17"/>
  <c r="N647" i="17" s="1" a="1"/>
  <c r="N647" i="17" s="1"/>
  <c r="J647" i="17"/>
  <c r="O647" i="17" s="1" a="1"/>
  <c r="O647" i="17" s="1"/>
  <c r="K647" i="17"/>
  <c r="L647" i="17"/>
  <c r="M647" i="17" s="1"/>
  <c r="I648" i="17"/>
  <c r="N648" i="17" s="1" a="1"/>
  <c r="N648" i="17" s="1"/>
  <c r="J648" i="17"/>
  <c r="O648" i="17" s="1" a="1"/>
  <c r="O648" i="17" s="1"/>
  <c r="K648" i="17"/>
  <c r="L648" i="17"/>
  <c r="M648" i="17" s="1"/>
  <c r="I649" i="17"/>
  <c r="N649" i="17" s="1" a="1"/>
  <c r="N649" i="17" s="1"/>
  <c r="J649" i="17"/>
  <c r="O649" i="17" s="1" a="1"/>
  <c r="O649" i="17" s="1"/>
  <c r="K649" i="17"/>
  <c r="L649" i="17"/>
  <c r="M649" i="17" s="1"/>
  <c r="I650" i="17"/>
  <c r="N650" i="17" s="1" a="1"/>
  <c r="N650" i="17" s="1"/>
  <c r="J650" i="17"/>
  <c r="O650" i="17" s="1" a="1"/>
  <c r="O650" i="17" s="1"/>
  <c r="K650" i="17"/>
  <c r="L650" i="17"/>
  <c r="M650" i="17" s="1"/>
  <c r="I651" i="17"/>
  <c r="N651" i="17" s="1" a="1"/>
  <c r="N651" i="17" s="1"/>
  <c r="J651" i="17"/>
  <c r="O651" i="17" s="1" a="1"/>
  <c r="O651" i="17" s="1"/>
  <c r="K651" i="17"/>
  <c r="L651" i="17"/>
  <c r="M651" i="17" s="1"/>
  <c r="I652" i="17"/>
  <c r="N652" i="17" s="1" a="1"/>
  <c r="N652" i="17" s="1"/>
  <c r="J652" i="17"/>
  <c r="O652" i="17" s="1" a="1"/>
  <c r="O652" i="17" s="1"/>
  <c r="K652" i="17"/>
  <c r="L652" i="17"/>
  <c r="M652" i="17" s="1"/>
  <c r="I653" i="17"/>
  <c r="N653" i="17" s="1" a="1"/>
  <c r="N653" i="17" s="1"/>
  <c r="J653" i="17"/>
  <c r="O653" i="17" s="1" a="1"/>
  <c r="O653" i="17" s="1"/>
  <c r="K653" i="17"/>
  <c r="L653" i="17"/>
  <c r="M653" i="17" s="1"/>
  <c r="I654" i="17"/>
  <c r="N654" i="17" s="1" a="1"/>
  <c r="N654" i="17" s="1"/>
  <c r="J654" i="17"/>
  <c r="O654" i="17" s="1" a="1"/>
  <c r="O654" i="17" s="1"/>
  <c r="K654" i="17"/>
  <c r="L654" i="17"/>
  <c r="M654" i="17" s="1"/>
  <c r="I655" i="17"/>
  <c r="N655" i="17" s="1" a="1"/>
  <c r="N655" i="17" s="1"/>
  <c r="J655" i="17"/>
  <c r="O655" i="17" s="1" a="1"/>
  <c r="O655" i="17" s="1"/>
  <c r="K655" i="17"/>
  <c r="L655" i="17"/>
  <c r="M655" i="17" s="1"/>
  <c r="I656" i="17"/>
  <c r="N656" i="17" s="1" a="1"/>
  <c r="N656" i="17" s="1"/>
  <c r="J656" i="17"/>
  <c r="O656" i="17" s="1" a="1"/>
  <c r="O656" i="17" s="1"/>
  <c r="K656" i="17"/>
  <c r="L656" i="17"/>
  <c r="M656" i="17" s="1"/>
  <c r="I657" i="17"/>
  <c r="N657" i="17" s="1" a="1"/>
  <c r="N657" i="17" s="1"/>
  <c r="J657" i="17"/>
  <c r="O657" i="17" s="1" a="1"/>
  <c r="O657" i="17" s="1"/>
  <c r="K657" i="17"/>
  <c r="L657" i="17"/>
  <c r="M657" i="17" s="1"/>
  <c r="I658" i="17"/>
  <c r="N658" i="17" s="1" a="1"/>
  <c r="N658" i="17" s="1"/>
  <c r="J658" i="17"/>
  <c r="O658" i="17" s="1" a="1"/>
  <c r="O658" i="17" s="1"/>
  <c r="K658" i="17"/>
  <c r="L658" i="17"/>
  <c r="M658" i="17" s="1"/>
  <c r="I659" i="17"/>
  <c r="N659" i="17" s="1" a="1"/>
  <c r="N659" i="17" s="1"/>
  <c r="J659" i="17"/>
  <c r="O659" i="17" s="1" a="1"/>
  <c r="O659" i="17" s="1"/>
  <c r="K659" i="17"/>
  <c r="L659" i="17"/>
  <c r="M659" i="17" s="1"/>
  <c r="I660" i="17"/>
  <c r="N660" i="17" s="1" a="1"/>
  <c r="N660" i="17" s="1"/>
  <c r="J660" i="17"/>
  <c r="O660" i="17" s="1" a="1"/>
  <c r="O660" i="17" s="1"/>
  <c r="K660" i="17"/>
  <c r="L660" i="17"/>
  <c r="M660" i="17" s="1"/>
  <c r="I661" i="17"/>
  <c r="N661" i="17" s="1" a="1"/>
  <c r="N661" i="17" s="1"/>
  <c r="J661" i="17"/>
  <c r="O661" i="17" s="1" a="1"/>
  <c r="O661" i="17" s="1"/>
  <c r="K661" i="17"/>
  <c r="L661" i="17"/>
  <c r="M661" i="17" s="1"/>
  <c r="I662" i="17"/>
  <c r="N662" i="17" s="1" a="1"/>
  <c r="N662" i="17" s="1"/>
  <c r="J662" i="17"/>
  <c r="O662" i="17" s="1" a="1"/>
  <c r="O662" i="17" s="1"/>
  <c r="K662" i="17"/>
  <c r="L662" i="17"/>
  <c r="M662" i="17" s="1"/>
  <c r="I663" i="17"/>
  <c r="N663" i="17" s="1" a="1"/>
  <c r="N663" i="17" s="1"/>
  <c r="J663" i="17"/>
  <c r="O663" i="17" s="1" a="1"/>
  <c r="O663" i="17" s="1"/>
  <c r="K663" i="17"/>
  <c r="L663" i="17"/>
  <c r="M663" i="17" s="1"/>
  <c r="I664" i="17"/>
  <c r="N664" i="17" s="1" a="1"/>
  <c r="N664" i="17" s="1"/>
  <c r="J664" i="17"/>
  <c r="O664" i="17" s="1" a="1"/>
  <c r="O664" i="17" s="1"/>
  <c r="K664" i="17"/>
  <c r="L664" i="17"/>
  <c r="M664" i="17" s="1"/>
  <c r="I665" i="17"/>
  <c r="N665" i="17" s="1" a="1"/>
  <c r="N665" i="17" s="1"/>
  <c r="J665" i="17"/>
  <c r="O665" i="17" s="1" a="1"/>
  <c r="O665" i="17" s="1"/>
  <c r="K665" i="17"/>
  <c r="L665" i="17"/>
  <c r="M665" i="17" s="1"/>
  <c r="I666" i="17"/>
  <c r="N666" i="17" s="1" a="1"/>
  <c r="N666" i="17" s="1"/>
  <c r="J666" i="17"/>
  <c r="O666" i="17" s="1" a="1"/>
  <c r="O666" i="17" s="1"/>
  <c r="K666" i="17"/>
  <c r="L666" i="17"/>
  <c r="M666" i="17" s="1"/>
  <c r="I667" i="17"/>
  <c r="N667" i="17" s="1" a="1"/>
  <c r="N667" i="17" s="1"/>
  <c r="J667" i="17"/>
  <c r="O667" i="17" s="1" a="1"/>
  <c r="O667" i="17" s="1"/>
  <c r="K667" i="17"/>
  <c r="L667" i="17"/>
  <c r="M667" i="17" s="1"/>
  <c r="I668" i="17"/>
  <c r="N668" i="17" s="1" a="1"/>
  <c r="N668" i="17" s="1"/>
  <c r="J668" i="17"/>
  <c r="O668" i="17" s="1" a="1"/>
  <c r="O668" i="17" s="1"/>
  <c r="K668" i="17"/>
  <c r="L668" i="17"/>
  <c r="M668" i="17" s="1"/>
  <c r="I669" i="17"/>
  <c r="N669" i="17" s="1" a="1"/>
  <c r="N669" i="17" s="1"/>
  <c r="J669" i="17"/>
  <c r="O669" i="17" s="1" a="1"/>
  <c r="O669" i="17" s="1"/>
  <c r="K669" i="17"/>
  <c r="L669" i="17"/>
  <c r="M669" i="17" s="1"/>
  <c r="I670" i="17"/>
  <c r="N670" i="17" s="1" a="1"/>
  <c r="N670" i="17" s="1"/>
  <c r="J670" i="17"/>
  <c r="O670" i="17" s="1" a="1"/>
  <c r="O670" i="17" s="1"/>
  <c r="K670" i="17"/>
  <c r="L670" i="17"/>
  <c r="M670" i="17" s="1"/>
  <c r="I671" i="17"/>
  <c r="N671" i="17" s="1" a="1"/>
  <c r="N671" i="17" s="1"/>
  <c r="J671" i="17"/>
  <c r="O671" i="17" s="1" a="1"/>
  <c r="O671" i="17" s="1"/>
  <c r="K671" i="17"/>
  <c r="L671" i="17"/>
  <c r="M671" i="17" s="1"/>
  <c r="I672" i="17"/>
  <c r="N672" i="17" s="1" a="1"/>
  <c r="N672" i="17" s="1"/>
  <c r="J672" i="17"/>
  <c r="O672" i="17" s="1" a="1"/>
  <c r="O672" i="17" s="1"/>
  <c r="K672" i="17"/>
  <c r="L672" i="17"/>
  <c r="M672" i="17" s="1"/>
  <c r="I673" i="17"/>
  <c r="N673" i="17" s="1" a="1"/>
  <c r="N673" i="17" s="1"/>
  <c r="J673" i="17"/>
  <c r="O673" i="17" s="1" a="1"/>
  <c r="O673" i="17" s="1"/>
  <c r="K673" i="17"/>
  <c r="L673" i="17"/>
  <c r="M673" i="17" s="1"/>
  <c r="I674" i="17"/>
  <c r="N674" i="17" s="1" a="1"/>
  <c r="N674" i="17" s="1"/>
  <c r="J674" i="17"/>
  <c r="O674" i="17" s="1" a="1"/>
  <c r="O674" i="17" s="1"/>
  <c r="K674" i="17"/>
  <c r="L674" i="17"/>
  <c r="M674" i="17" s="1"/>
  <c r="I675" i="17"/>
  <c r="N675" i="17" s="1" a="1"/>
  <c r="N675" i="17" s="1"/>
  <c r="J675" i="17"/>
  <c r="O675" i="17" s="1" a="1"/>
  <c r="O675" i="17" s="1"/>
  <c r="K675" i="17"/>
  <c r="L675" i="17"/>
  <c r="M675" i="17" s="1"/>
  <c r="I676" i="17"/>
  <c r="N676" i="17" s="1" a="1"/>
  <c r="N676" i="17" s="1"/>
  <c r="J676" i="17"/>
  <c r="O676" i="17" s="1" a="1"/>
  <c r="O676" i="17" s="1"/>
  <c r="K676" i="17"/>
  <c r="L676" i="17"/>
  <c r="M676" i="17" s="1"/>
  <c r="I677" i="17"/>
  <c r="N677" i="17" s="1" a="1"/>
  <c r="N677" i="17" s="1"/>
  <c r="J677" i="17"/>
  <c r="O677" i="17" s="1" a="1"/>
  <c r="O677" i="17" s="1"/>
  <c r="K677" i="17"/>
  <c r="L677" i="17"/>
  <c r="M677" i="17" s="1"/>
  <c r="I678" i="17"/>
  <c r="N678" i="17" s="1" a="1"/>
  <c r="N678" i="17" s="1"/>
  <c r="J678" i="17"/>
  <c r="O678" i="17" s="1" a="1"/>
  <c r="O678" i="17" s="1"/>
  <c r="K678" i="17"/>
  <c r="L678" i="17"/>
  <c r="M678" i="17" s="1"/>
  <c r="I679" i="17"/>
  <c r="N679" i="17" s="1" a="1"/>
  <c r="N679" i="17" s="1"/>
  <c r="J679" i="17"/>
  <c r="O679" i="17" s="1" a="1"/>
  <c r="O679" i="17" s="1"/>
  <c r="K679" i="17"/>
  <c r="L679" i="17"/>
  <c r="M679" i="17" s="1"/>
  <c r="I680" i="17"/>
  <c r="N680" i="17" s="1" a="1"/>
  <c r="N680" i="17" s="1"/>
  <c r="J680" i="17"/>
  <c r="O680" i="17" s="1" a="1"/>
  <c r="O680" i="17" s="1"/>
  <c r="K680" i="17"/>
  <c r="L680" i="17"/>
  <c r="M680" i="17" s="1"/>
  <c r="I681" i="17"/>
  <c r="N681" i="17" s="1" a="1"/>
  <c r="N681" i="17" s="1"/>
  <c r="J681" i="17"/>
  <c r="O681" i="17" s="1" a="1"/>
  <c r="O681" i="17" s="1"/>
  <c r="K681" i="17"/>
  <c r="L681" i="17"/>
  <c r="M681" i="17" s="1"/>
  <c r="I682" i="17"/>
  <c r="N682" i="17" s="1" a="1"/>
  <c r="N682" i="17" s="1"/>
  <c r="J682" i="17"/>
  <c r="O682" i="17" s="1" a="1"/>
  <c r="O682" i="17" s="1"/>
  <c r="K682" i="17"/>
  <c r="L682" i="17"/>
  <c r="M682" i="17" s="1"/>
  <c r="I683" i="17"/>
  <c r="N683" i="17" s="1" a="1"/>
  <c r="N683" i="17" s="1"/>
  <c r="J683" i="17"/>
  <c r="O683" i="17" s="1" a="1"/>
  <c r="O683" i="17" s="1"/>
  <c r="K683" i="17"/>
  <c r="L683" i="17"/>
  <c r="M683" i="17" s="1"/>
  <c r="I684" i="17"/>
  <c r="N684" i="17" s="1" a="1"/>
  <c r="N684" i="17" s="1"/>
  <c r="J684" i="17"/>
  <c r="O684" i="17" s="1" a="1"/>
  <c r="O684" i="17" s="1"/>
  <c r="K684" i="17"/>
  <c r="L684" i="17"/>
  <c r="M684" i="17" s="1"/>
  <c r="I685" i="17"/>
  <c r="N685" i="17" s="1" a="1"/>
  <c r="N685" i="17" s="1"/>
  <c r="J685" i="17"/>
  <c r="O685" i="17" s="1" a="1"/>
  <c r="O685" i="17" s="1"/>
  <c r="K685" i="17"/>
  <c r="L685" i="17"/>
  <c r="M685" i="17" s="1"/>
  <c r="I686" i="17"/>
  <c r="N686" i="17" s="1" a="1"/>
  <c r="N686" i="17" s="1"/>
  <c r="J686" i="17"/>
  <c r="O686" i="17" s="1" a="1"/>
  <c r="O686" i="17" s="1"/>
  <c r="K686" i="17"/>
  <c r="L686" i="17"/>
  <c r="M686" i="17" s="1"/>
  <c r="I687" i="17"/>
  <c r="N687" i="17" s="1" a="1"/>
  <c r="N687" i="17" s="1"/>
  <c r="J687" i="17"/>
  <c r="O687" i="17" s="1" a="1"/>
  <c r="O687" i="17" s="1"/>
  <c r="K687" i="17"/>
  <c r="L687" i="17"/>
  <c r="M687" i="17" s="1"/>
  <c r="I688" i="17"/>
  <c r="N688" i="17" s="1" a="1"/>
  <c r="N688" i="17" s="1"/>
  <c r="J688" i="17"/>
  <c r="O688" i="17" s="1" a="1"/>
  <c r="O688" i="17" s="1"/>
  <c r="K688" i="17"/>
  <c r="L688" i="17"/>
  <c r="M688" i="17" s="1"/>
  <c r="I689" i="17"/>
  <c r="N689" i="17" s="1" a="1"/>
  <c r="N689" i="17" s="1"/>
  <c r="J689" i="17"/>
  <c r="O689" i="17" s="1" a="1"/>
  <c r="O689" i="17" s="1"/>
  <c r="K689" i="17"/>
  <c r="L689" i="17"/>
  <c r="M689" i="17" s="1"/>
  <c r="I690" i="17"/>
  <c r="N690" i="17" s="1" a="1"/>
  <c r="N690" i="17" s="1"/>
  <c r="J690" i="17"/>
  <c r="O690" i="17" s="1" a="1"/>
  <c r="O690" i="17" s="1"/>
  <c r="K690" i="17"/>
  <c r="L690" i="17"/>
  <c r="M690" i="17" s="1"/>
  <c r="I691" i="17"/>
  <c r="N691" i="17" s="1" a="1"/>
  <c r="N691" i="17" s="1"/>
  <c r="J691" i="17"/>
  <c r="O691" i="17" s="1" a="1"/>
  <c r="O691" i="17" s="1"/>
  <c r="K691" i="17"/>
  <c r="L691" i="17"/>
  <c r="M691" i="17" s="1"/>
  <c r="I692" i="17"/>
  <c r="N692" i="17" s="1" a="1"/>
  <c r="N692" i="17" s="1"/>
  <c r="J692" i="17"/>
  <c r="O692" i="17" s="1" a="1"/>
  <c r="O692" i="17" s="1"/>
  <c r="K692" i="17"/>
  <c r="L692" i="17"/>
  <c r="M692" i="17" s="1"/>
  <c r="I693" i="17"/>
  <c r="N693" i="17" s="1" a="1"/>
  <c r="N693" i="17" s="1"/>
  <c r="J693" i="17"/>
  <c r="O693" i="17" s="1" a="1"/>
  <c r="O693" i="17" s="1"/>
  <c r="K693" i="17"/>
  <c r="L693" i="17"/>
  <c r="M693" i="17" s="1"/>
  <c r="I694" i="17"/>
  <c r="N694" i="17" s="1" a="1"/>
  <c r="N694" i="17" s="1"/>
  <c r="J694" i="17"/>
  <c r="O694" i="17" s="1" a="1"/>
  <c r="O694" i="17" s="1"/>
  <c r="K694" i="17"/>
  <c r="L694" i="17"/>
  <c r="M694" i="17" s="1"/>
  <c r="I695" i="17"/>
  <c r="N695" i="17" s="1" a="1"/>
  <c r="N695" i="17" s="1"/>
  <c r="J695" i="17"/>
  <c r="O695" i="17" s="1" a="1"/>
  <c r="O695" i="17" s="1"/>
  <c r="K695" i="17"/>
  <c r="L695" i="17"/>
  <c r="M695" i="17" s="1"/>
  <c r="I696" i="17"/>
  <c r="N696" i="17" s="1" a="1"/>
  <c r="N696" i="17" s="1"/>
  <c r="J696" i="17"/>
  <c r="O696" i="17" s="1" a="1"/>
  <c r="O696" i="17" s="1"/>
  <c r="K696" i="17"/>
  <c r="L696" i="17"/>
  <c r="M696" i="17" s="1"/>
  <c r="I697" i="17"/>
  <c r="N697" i="17" s="1" a="1"/>
  <c r="N697" i="17" s="1"/>
  <c r="J697" i="17"/>
  <c r="O697" i="17" s="1" a="1"/>
  <c r="O697" i="17" s="1"/>
  <c r="K697" i="17"/>
  <c r="L697" i="17"/>
  <c r="M697" i="17" s="1"/>
  <c r="I698" i="17"/>
  <c r="N698" i="17" s="1" a="1"/>
  <c r="N698" i="17" s="1"/>
  <c r="J698" i="17"/>
  <c r="O698" i="17" s="1" a="1"/>
  <c r="O698" i="17" s="1"/>
  <c r="K698" i="17"/>
  <c r="L698" i="17"/>
  <c r="M698" i="17" s="1"/>
  <c r="I699" i="17"/>
  <c r="N699" i="17" s="1" a="1"/>
  <c r="N699" i="17" s="1"/>
  <c r="J699" i="17"/>
  <c r="O699" i="17" s="1" a="1"/>
  <c r="O699" i="17" s="1"/>
  <c r="K699" i="17"/>
  <c r="L699" i="17"/>
  <c r="M699" i="17" s="1"/>
  <c r="I700" i="17"/>
  <c r="N700" i="17" s="1" a="1"/>
  <c r="N700" i="17" s="1"/>
  <c r="J700" i="17"/>
  <c r="O700" i="17" s="1" a="1"/>
  <c r="O700" i="17" s="1"/>
  <c r="K700" i="17"/>
  <c r="L700" i="17"/>
  <c r="M700" i="17" s="1"/>
  <c r="I701" i="17"/>
  <c r="N701" i="17" s="1" a="1"/>
  <c r="N701" i="17" s="1"/>
  <c r="J701" i="17"/>
  <c r="O701" i="17" s="1" a="1"/>
  <c r="O701" i="17" s="1"/>
  <c r="K701" i="17"/>
  <c r="L701" i="17"/>
  <c r="M701" i="17" s="1"/>
  <c r="I702" i="17"/>
  <c r="N702" i="17" s="1" a="1"/>
  <c r="N702" i="17" s="1"/>
  <c r="J702" i="17"/>
  <c r="O702" i="17" s="1" a="1"/>
  <c r="O702" i="17" s="1"/>
  <c r="K702" i="17"/>
  <c r="L702" i="17"/>
  <c r="M702" i="17" s="1"/>
  <c r="I703" i="17"/>
  <c r="N703" i="17" s="1" a="1"/>
  <c r="N703" i="17" s="1"/>
  <c r="J703" i="17"/>
  <c r="O703" i="17" s="1" a="1"/>
  <c r="O703" i="17" s="1"/>
  <c r="K703" i="17"/>
  <c r="L703" i="17"/>
  <c r="M703" i="17" s="1"/>
  <c r="I704" i="17"/>
  <c r="N704" i="17" s="1" a="1"/>
  <c r="N704" i="17" s="1"/>
  <c r="J704" i="17"/>
  <c r="O704" i="17" s="1" a="1"/>
  <c r="O704" i="17" s="1"/>
  <c r="K704" i="17"/>
  <c r="L704" i="17"/>
  <c r="M704" i="17" s="1"/>
  <c r="I705" i="17"/>
  <c r="N705" i="17" s="1" a="1"/>
  <c r="N705" i="17" s="1"/>
  <c r="J705" i="17"/>
  <c r="O705" i="17" s="1" a="1"/>
  <c r="O705" i="17" s="1"/>
  <c r="K705" i="17"/>
  <c r="L705" i="17"/>
  <c r="M705" i="17" s="1"/>
  <c r="I706" i="17"/>
  <c r="N706" i="17" s="1" a="1"/>
  <c r="N706" i="17" s="1"/>
  <c r="J706" i="17"/>
  <c r="O706" i="17" s="1" a="1"/>
  <c r="O706" i="17" s="1"/>
  <c r="K706" i="17"/>
  <c r="L706" i="17"/>
  <c r="M706" i="17" s="1"/>
  <c r="I707" i="17"/>
  <c r="N707" i="17" s="1" a="1"/>
  <c r="N707" i="17" s="1"/>
  <c r="J707" i="17"/>
  <c r="O707" i="17" s="1" a="1"/>
  <c r="O707" i="17" s="1"/>
  <c r="K707" i="17"/>
  <c r="L707" i="17"/>
  <c r="M707" i="17" s="1"/>
  <c r="I708" i="17"/>
  <c r="N708" i="17" s="1" a="1"/>
  <c r="N708" i="17" s="1"/>
  <c r="J708" i="17"/>
  <c r="O708" i="17" s="1" a="1"/>
  <c r="O708" i="17" s="1"/>
  <c r="K708" i="17"/>
  <c r="L708" i="17"/>
  <c r="M708" i="17" s="1"/>
  <c r="I709" i="17"/>
  <c r="N709" i="17" s="1" a="1"/>
  <c r="N709" i="17" s="1"/>
  <c r="J709" i="17"/>
  <c r="O709" i="17" s="1" a="1"/>
  <c r="O709" i="17" s="1"/>
  <c r="K709" i="17"/>
  <c r="L709" i="17"/>
  <c r="M709" i="17" s="1"/>
  <c r="I710" i="17"/>
  <c r="N710" i="17" s="1" a="1"/>
  <c r="N710" i="17" s="1"/>
  <c r="J710" i="17"/>
  <c r="O710" i="17" s="1" a="1"/>
  <c r="O710" i="17" s="1"/>
  <c r="K710" i="17"/>
  <c r="L710" i="17"/>
  <c r="M710" i="17" s="1"/>
  <c r="I711" i="17"/>
  <c r="N711" i="17" s="1" a="1"/>
  <c r="N711" i="17" s="1"/>
  <c r="J711" i="17"/>
  <c r="O711" i="17" s="1" a="1"/>
  <c r="O711" i="17" s="1"/>
  <c r="K711" i="17"/>
  <c r="L711" i="17"/>
  <c r="M711" i="17" s="1"/>
  <c r="I712" i="17"/>
  <c r="N712" i="17" s="1" a="1"/>
  <c r="N712" i="17" s="1"/>
  <c r="J712" i="17"/>
  <c r="O712" i="17" s="1" a="1"/>
  <c r="O712" i="17" s="1"/>
  <c r="K712" i="17"/>
  <c r="L712" i="17"/>
  <c r="M712" i="17" s="1"/>
  <c r="I713" i="17"/>
  <c r="N713" i="17" s="1" a="1"/>
  <c r="N713" i="17" s="1"/>
  <c r="J713" i="17"/>
  <c r="O713" i="17" s="1" a="1"/>
  <c r="O713" i="17" s="1"/>
  <c r="K713" i="17"/>
  <c r="L713" i="17"/>
  <c r="M713" i="17" s="1"/>
  <c r="I714" i="17"/>
  <c r="N714" i="17" s="1" a="1"/>
  <c r="N714" i="17" s="1"/>
  <c r="J714" i="17"/>
  <c r="O714" i="17" s="1" a="1"/>
  <c r="O714" i="17" s="1"/>
  <c r="K714" i="17"/>
  <c r="L714" i="17"/>
  <c r="M714" i="17" s="1"/>
  <c r="I715" i="17"/>
  <c r="N715" i="17" s="1" a="1"/>
  <c r="N715" i="17" s="1"/>
  <c r="J715" i="17"/>
  <c r="O715" i="17" s="1" a="1"/>
  <c r="O715" i="17" s="1"/>
  <c r="K715" i="17"/>
  <c r="L715" i="17"/>
  <c r="M715" i="17" s="1"/>
  <c r="I716" i="17"/>
  <c r="N716" i="17" s="1" a="1"/>
  <c r="N716" i="17" s="1"/>
  <c r="J716" i="17"/>
  <c r="O716" i="17" s="1" a="1"/>
  <c r="O716" i="17" s="1"/>
  <c r="K716" i="17"/>
  <c r="L716" i="17"/>
  <c r="M716" i="17" s="1"/>
  <c r="I717" i="17"/>
  <c r="N717" i="17" s="1" a="1"/>
  <c r="N717" i="17" s="1"/>
  <c r="J717" i="17"/>
  <c r="O717" i="17" s="1" a="1"/>
  <c r="O717" i="17" s="1"/>
  <c r="K717" i="17"/>
  <c r="L717" i="17"/>
  <c r="M717" i="17" s="1"/>
  <c r="I718" i="17"/>
  <c r="N718" i="17" s="1" a="1"/>
  <c r="N718" i="17" s="1"/>
  <c r="J718" i="17"/>
  <c r="O718" i="17" s="1" a="1"/>
  <c r="O718" i="17" s="1"/>
  <c r="K718" i="17"/>
  <c r="L718" i="17"/>
  <c r="M718" i="17" s="1"/>
  <c r="I719" i="17"/>
  <c r="N719" i="17" s="1" a="1"/>
  <c r="N719" i="17" s="1"/>
  <c r="J719" i="17"/>
  <c r="O719" i="17" s="1" a="1"/>
  <c r="O719" i="17" s="1"/>
  <c r="K719" i="17"/>
  <c r="L719" i="17"/>
  <c r="M719" i="17" s="1"/>
  <c r="I720" i="17"/>
  <c r="N720" i="17" s="1" a="1"/>
  <c r="N720" i="17" s="1"/>
  <c r="J720" i="17"/>
  <c r="O720" i="17" s="1" a="1"/>
  <c r="O720" i="17" s="1"/>
  <c r="K720" i="17"/>
  <c r="L720" i="17"/>
  <c r="M720" i="17" s="1"/>
  <c r="I721" i="17"/>
  <c r="N721" i="17" s="1" a="1"/>
  <c r="N721" i="17" s="1"/>
  <c r="J721" i="17"/>
  <c r="O721" i="17" s="1" a="1"/>
  <c r="O721" i="17" s="1"/>
  <c r="K721" i="17"/>
  <c r="L721" i="17"/>
  <c r="M721" i="17" s="1"/>
  <c r="I722" i="17"/>
  <c r="N722" i="17" s="1" a="1"/>
  <c r="N722" i="17" s="1"/>
  <c r="J722" i="17"/>
  <c r="O722" i="17" s="1" a="1"/>
  <c r="O722" i="17" s="1"/>
  <c r="K722" i="17"/>
  <c r="L722" i="17"/>
  <c r="M722" i="17" s="1"/>
  <c r="I723" i="17"/>
  <c r="N723" i="17" s="1" a="1"/>
  <c r="N723" i="17" s="1"/>
  <c r="J723" i="17"/>
  <c r="O723" i="17" s="1" a="1"/>
  <c r="O723" i="17" s="1"/>
  <c r="K723" i="17"/>
  <c r="L723" i="17"/>
  <c r="M723" i="17" s="1"/>
  <c r="I724" i="17"/>
  <c r="N724" i="17" s="1" a="1"/>
  <c r="N724" i="17" s="1"/>
  <c r="J724" i="17"/>
  <c r="O724" i="17" s="1" a="1"/>
  <c r="O724" i="17" s="1"/>
  <c r="K724" i="17"/>
  <c r="L724" i="17"/>
  <c r="M724" i="17" s="1"/>
  <c r="I725" i="17"/>
  <c r="N725" i="17" s="1" a="1"/>
  <c r="N725" i="17" s="1"/>
  <c r="J725" i="17"/>
  <c r="O725" i="17" s="1" a="1"/>
  <c r="O725" i="17" s="1"/>
  <c r="K725" i="17"/>
  <c r="L725" i="17"/>
  <c r="M725" i="17" s="1"/>
  <c r="I726" i="17"/>
  <c r="N726" i="17" s="1" a="1"/>
  <c r="N726" i="17" s="1"/>
  <c r="J726" i="17"/>
  <c r="O726" i="17" s="1" a="1"/>
  <c r="O726" i="17" s="1"/>
  <c r="K726" i="17"/>
  <c r="L726" i="17"/>
  <c r="M726" i="17" s="1"/>
  <c r="I727" i="17"/>
  <c r="N727" i="17" s="1" a="1"/>
  <c r="N727" i="17" s="1"/>
  <c r="J727" i="17"/>
  <c r="O727" i="17" s="1" a="1"/>
  <c r="O727" i="17" s="1"/>
  <c r="K727" i="17"/>
  <c r="L727" i="17"/>
  <c r="M727" i="17" s="1"/>
  <c r="I728" i="17"/>
  <c r="N728" i="17" s="1" a="1"/>
  <c r="N728" i="17" s="1"/>
  <c r="J728" i="17"/>
  <c r="O728" i="17" s="1" a="1"/>
  <c r="O728" i="17" s="1"/>
  <c r="K728" i="17"/>
  <c r="L728" i="17"/>
  <c r="M728" i="17" s="1"/>
  <c r="I729" i="17"/>
  <c r="N729" i="17" s="1" a="1"/>
  <c r="N729" i="17" s="1"/>
  <c r="J729" i="17"/>
  <c r="O729" i="17" s="1" a="1"/>
  <c r="O729" i="17" s="1"/>
  <c r="K729" i="17"/>
  <c r="L729" i="17"/>
  <c r="M729" i="17" s="1"/>
  <c r="I730" i="17"/>
  <c r="N730" i="17" s="1" a="1"/>
  <c r="N730" i="17" s="1"/>
  <c r="J730" i="17"/>
  <c r="O730" i="17" s="1" a="1"/>
  <c r="O730" i="17" s="1"/>
  <c r="K730" i="17"/>
  <c r="L730" i="17"/>
  <c r="M730" i="17" s="1"/>
  <c r="I731" i="17"/>
  <c r="N731" i="17" s="1" a="1"/>
  <c r="N731" i="17" s="1"/>
  <c r="J731" i="17"/>
  <c r="O731" i="17" s="1" a="1"/>
  <c r="O731" i="17" s="1"/>
  <c r="K731" i="17"/>
  <c r="L731" i="17"/>
  <c r="M731" i="17" s="1"/>
  <c r="I732" i="17"/>
  <c r="N732" i="17" s="1" a="1"/>
  <c r="N732" i="17" s="1"/>
  <c r="J732" i="17"/>
  <c r="O732" i="17" s="1" a="1"/>
  <c r="O732" i="17" s="1"/>
  <c r="K732" i="17"/>
  <c r="L732" i="17"/>
  <c r="M732" i="17" s="1"/>
  <c r="I733" i="17"/>
  <c r="N733" i="17" s="1" a="1"/>
  <c r="N733" i="17" s="1"/>
  <c r="J733" i="17"/>
  <c r="O733" i="17" s="1" a="1"/>
  <c r="O733" i="17" s="1"/>
  <c r="K733" i="17"/>
  <c r="L733" i="17"/>
  <c r="M733" i="17" s="1"/>
  <c r="I734" i="17"/>
  <c r="N734" i="17" s="1" a="1"/>
  <c r="N734" i="17" s="1"/>
  <c r="J734" i="17"/>
  <c r="O734" i="17" s="1" a="1"/>
  <c r="O734" i="17" s="1"/>
  <c r="K734" i="17"/>
  <c r="L734" i="17"/>
  <c r="M734" i="17" s="1"/>
  <c r="I735" i="17"/>
  <c r="N735" i="17" s="1" a="1"/>
  <c r="N735" i="17" s="1"/>
  <c r="J735" i="17"/>
  <c r="O735" i="17" s="1" a="1"/>
  <c r="O735" i="17" s="1"/>
  <c r="K735" i="17"/>
  <c r="L735" i="17"/>
  <c r="M735" i="17" s="1"/>
  <c r="I736" i="17"/>
  <c r="N736" i="17" s="1" a="1"/>
  <c r="N736" i="17" s="1"/>
  <c r="J736" i="17"/>
  <c r="O736" i="17" s="1" a="1"/>
  <c r="O736" i="17" s="1"/>
  <c r="K736" i="17"/>
  <c r="L736" i="17"/>
  <c r="M736" i="17" s="1"/>
  <c r="I737" i="17"/>
  <c r="N737" i="17" s="1" a="1"/>
  <c r="N737" i="17" s="1"/>
  <c r="J737" i="17"/>
  <c r="O737" i="17" s="1" a="1"/>
  <c r="O737" i="17" s="1"/>
  <c r="K737" i="17"/>
  <c r="L737" i="17"/>
  <c r="M737" i="17" s="1"/>
  <c r="I738" i="17"/>
  <c r="N738" i="17" s="1" a="1"/>
  <c r="N738" i="17" s="1"/>
  <c r="J738" i="17"/>
  <c r="O738" i="17" s="1" a="1"/>
  <c r="O738" i="17" s="1"/>
  <c r="K738" i="17"/>
  <c r="L738" i="17"/>
  <c r="M738" i="17" s="1"/>
  <c r="I739" i="17"/>
  <c r="N739" i="17" s="1" a="1"/>
  <c r="N739" i="17" s="1"/>
  <c r="J739" i="17"/>
  <c r="O739" i="17" s="1" a="1"/>
  <c r="O739" i="17" s="1"/>
  <c r="K739" i="17"/>
  <c r="L739" i="17"/>
  <c r="M739" i="17" s="1"/>
  <c r="I740" i="17"/>
  <c r="N740" i="17" s="1" a="1"/>
  <c r="N740" i="17" s="1"/>
  <c r="J740" i="17"/>
  <c r="O740" i="17" s="1" a="1"/>
  <c r="O740" i="17" s="1"/>
  <c r="K740" i="17"/>
  <c r="L740" i="17"/>
  <c r="M740" i="17" s="1"/>
  <c r="I741" i="17"/>
  <c r="N741" i="17" s="1" a="1"/>
  <c r="N741" i="17" s="1"/>
  <c r="J741" i="17"/>
  <c r="O741" i="17" s="1" a="1"/>
  <c r="O741" i="17" s="1"/>
  <c r="K741" i="17"/>
  <c r="L741" i="17"/>
  <c r="M741" i="17" s="1"/>
  <c r="I742" i="17"/>
  <c r="N742" i="17" s="1" a="1"/>
  <c r="N742" i="17" s="1"/>
  <c r="J742" i="17"/>
  <c r="O742" i="17" s="1" a="1"/>
  <c r="O742" i="17" s="1"/>
  <c r="K742" i="17"/>
  <c r="L742" i="17"/>
  <c r="M742" i="17" s="1"/>
  <c r="I743" i="17"/>
  <c r="N743" i="17" s="1" a="1"/>
  <c r="N743" i="17" s="1"/>
  <c r="J743" i="17"/>
  <c r="O743" i="17" s="1" a="1"/>
  <c r="O743" i="17" s="1"/>
  <c r="K743" i="17"/>
  <c r="L743" i="17"/>
  <c r="M743" i="17" s="1"/>
  <c r="I744" i="17"/>
  <c r="N744" i="17" s="1" a="1"/>
  <c r="N744" i="17" s="1"/>
  <c r="J744" i="17"/>
  <c r="O744" i="17" s="1" a="1"/>
  <c r="O744" i="17" s="1"/>
  <c r="K744" i="17"/>
  <c r="L744" i="17"/>
  <c r="M744" i="17" s="1"/>
  <c r="I745" i="17"/>
  <c r="N745" i="17" s="1" a="1"/>
  <c r="N745" i="17" s="1"/>
  <c r="J745" i="17"/>
  <c r="O745" i="17" s="1" a="1"/>
  <c r="O745" i="17" s="1"/>
  <c r="K745" i="17"/>
  <c r="L745" i="17"/>
  <c r="M745" i="17" s="1"/>
  <c r="I746" i="17"/>
  <c r="N746" i="17" s="1" a="1"/>
  <c r="N746" i="17" s="1"/>
  <c r="J746" i="17"/>
  <c r="O746" i="17" s="1" a="1"/>
  <c r="O746" i="17" s="1"/>
  <c r="K746" i="17"/>
  <c r="L746" i="17"/>
  <c r="M746" i="17" s="1"/>
  <c r="I747" i="17"/>
  <c r="N747" i="17" s="1" a="1"/>
  <c r="N747" i="17" s="1"/>
  <c r="J747" i="17"/>
  <c r="O747" i="17" s="1" a="1"/>
  <c r="O747" i="17" s="1"/>
  <c r="K747" i="17"/>
  <c r="L747" i="17"/>
  <c r="M747" i="17" s="1"/>
  <c r="I748" i="17"/>
  <c r="N748" i="17" s="1" a="1"/>
  <c r="N748" i="17" s="1"/>
  <c r="J748" i="17"/>
  <c r="O748" i="17" s="1" a="1"/>
  <c r="O748" i="17" s="1"/>
  <c r="K748" i="17"/>
  <c r="L748" i="17"/>
  <c r="M748" i="17" s="1"/>
  <c r="I749" i="17"/>
  <c r="N749" i="17" s="1" a="1"/>
  <c r="N749" i="17" s="1"/>
  <c r="J749" i="17"/>
  <c r="O749" i="17" s="1" a="1"/>
  <c r="O749" i="17" s="1"/>
  <c r="K749" i="17"/>
  <c r="L749" i="17"/>
  <c r="M749" i="17" s="1"/>
  <c r="I750" i="17"/>
  <c r="N750" i="17" s="1" a="1"/>
  <c r="N750" i="17" s="1"/>
  <c r="J750" i="17"/>
  <c r="O750" i="17" s="1" a="1"/>
  <c r="O750" i="17" s="1"/>
  <c r="K750" i="17"/>
  <c r="L750" i="17"/>
  <c r="M750" i="17" s="1"/>
  <c r="I751" i="17"/>
  <c r="N751" i="17" s="1" a="1"/>
  <c r="N751" i="17" s="1"/>
  <c r="J751" i="17"/>
  <c r="O751" i="17" s="1" a="1"/>
  <c r="O751" i="17" s="1"/>
  <c r="K751" i="17"/>
  <c r="L751" i="17"/>
  <c r="M751" i="17" s="1"/>
  <c r="I752" i="17"/>
  <c r="N752" i="17" s="1" a="1"/>
  <c r="N752" i="17" s="1"/>
  <c r="J752" i="17"/>
  <c r="O752" i="17" s="1" a="1"/>
  <c r="O752" i="17" s="1"/>
  <c r="K752" i="17"/>
  <c r="L752" i="17"/>
  <c r="M752" i="17" s="1"/>
  <c r="I753" i="17"/>
  <c r="N753" i="17" s="1" a="1"/>
  <c r="N753" i="17" s="1"/>
  <c r="J753" i="17"/>
  <c r="O753" i="17" s="1" a="1"/>
  <c r="O753" i="17" s="1"/>
  <c r="K753" i="17"/>
  <c r="L753" i="17"/>
  <c r="M753" i="17" s="1"/>
  <c r="I754" i="17"/>
  <c r="N754" i="17" s="1" a="1"/>
  <c r="N754" i="17" s="1"/>
  <c r="J754" i="17"/>
  <c r="O754" i="17" s="1" a="1"/>
  <c r="O754" i="17" s="1"/>
  <c r="K754" i="17"/>
  <c r="L754" i="17"/>
  <c r="M754" i="17" s="1"/>
  <c r="I755" i="17"/>
  <c r="N755" i="17" s="1" a="1"/>
  <c r="N755" i="17" s="1"/>
  <c r="J755" i="17"/>
  <c r="O755" i="17" s="1" a="1"/>
  <c r="O755" i="17" s="1"/>
  <c r="K755" i="17"/>
  <c r="L755" i="17"/>
  <c r="M755" i="17" s="1"/>
  <c r="I756" i="17"/>
  <c r="N756" i="17" s="1" a="1"/>
  <c r="N756" i="17" s="1"/>
  <c r="J756" i="17"/>
  <c r="O756" i="17" s="1" a="1"/>
  <c r="O756" i="17" s="1"/>
  <c r="K756" i="17"/>
  <c r="L756" i="17"/>
  <c r="M756" i="17" s="1"/>
  <c r="I757" i="17"/>
  <c r="N757" i="17" s="1" a="1"/>
  <c r="N757" i="17" s="1"/>
  <c r="J757" i="17"/>
  <c r="O757" i="17" s="1" a="1"/>
  <c r="O757" i="17" s="1"/>
  <c r="K757" i="17"/>
  <c r="L757" i="17"/>
  <c r="M757" i="17" s="1"/>
  <c r="I758" i="17"/>
  <c r="N758" i="17" s="1" a="1"/>
  <c r="N758" i="17" s="1"/>
  <c r="J758" i="17"/>
  <c r="O758" i="17" s="1" a="1"/>
  <c r="O758" i="17" s="1"/>
  <c r="K758" i="17"/>
  <c r="L758" i="17"/>
  <c r="M758" i="17" s="1"/>
  <c r="I759" i="17"/>
  <c r="N759" i="17" s="1" a="1"/>
  <c r="N759" i="17" s="1"/>
  <c r="J759" i="17"/>
  <c r="O759" i="17" s="1" a="1"/>
  <c r="O759" i="17" s="1"/>
  <c r="K759" i="17"/>
  <c r="L759" i="17"/>
  <c r="M759" i="17" s="1"/>
  <c r="I760" i="17"/>
  <c r="N760" i="17" s="1" a="1"/>
  <c r="N760" i="17" s="1"/>
  <c r="J760" i="17"/>
  <c r="O760" i="17" s="1" a="1"/>
  <c r="O760" i="17" s="1"/>
  <c r="K760" i="17"/>
  <c r="L760" i="17"/>
  <c r="M760" i="17" s="1"/>
  <c r="I761" i="17"/>
  <c r="N761" i="17" s="1" a="1"/>
  <c r="N761" i="17" s="1"/>
  <c r="J761" i="17"/>
  <c r="O761" i="17" s="1" a="1"/>
  <c r="O761" i="17" s="1"/>
  <c r="K761" i="17"/>
  <c r="L761" i="17"/>
  <c r="M761" i="17" s="1"/>
  <c r="I762" i="17"/>
  <c r="N762" i="17" s="1" a="1"/>
  <c r="N762" i="17" s="1"/>
  <c r="J762" i="17"/>
  <c r="O762" i="17" s="1" a="1"/>
  <c r="O762" i="17" s="1"/>
  <c r="K762" i="17"/>
  <c r="L762" i="17"/>
  <c r="M762" i="17" s="1"/>
  <c r="I763" i="17"/>
  <c r="N763" i="17" s="1" a="1"/>
  <c r="N763" i="17" s="1"/>
  <c r="J763" i="17"/>
  <c r="O763" i="17" s="1" a="1"/>
  <c r="O763" i="17" s="1"/>
  <c r="K763" i="17"/>
  <c r="L763" i="17"/>
  <c r="M763" i="17" s="1"/>
  <c r="I764" i="17"/>
  <c r="N764" i="17" s="1" a="1"/>
  <c r="N764" i="17" s="1"/>
  <c r="J764" i="17"/>
  <c r="O764" i="17" s="1" a="1"/>
  <c r="O764" i="17" s="1"/>
  <c r="K764" i="17"/>
  <c r="L764" i="17"/>
  <c r="M764" i="17" s="1"/>
  <c r="I765" i="17"/>
  <c r="N765" i="17" s="1" a="1"/>
  <c r="N765" i="17" s="1"/>
  <c r="J765" i="17"/>
  <c r="O765" i="17" s="1" a="1"/>
  <c r="O765" i="17" s="1"/>
  <c r="K765" i="17"/>
  <c r="L765" i="17"/>
  <c r="M765" i="17" s="1"/>
  <c r="I766" i="17"/>
  <c r="N766" i="17" s="1" a="1"/>
  <c r="N766" i="17" s="1"/>
  <c r="J766" i="17"/>
  <c r="O766" i="17" s="1" a="1"/>
  <c r="O766" i="17" s="1"/>
  <c r="K766" i="17"/>
  <c r="L766" i="17"/>
  <c r="M766" i="17" s="1"/>
  <c r="I767" i="17"/>
  <c r="N767" i="17" s="1" a="1"/>
  <c r="N767" i="17" s="1"/>
  <c r="J767" i="17"/>
  <c r="O767" i="17" s="1" a="1"/>
  <c r="O767" i="17" s="1"/>
  <c r="K767" i="17"/>
  <c r="L767" i="17"/>
  <c r="M767" i="17" s="1"/>
  <c r="I768" i="17"/>
  <c r="N768" i="17" s="1" a="1"/>
  <c r="N768" i="17" s="1"/>
  <c r="J768" i="17"/>
  <c r="O768" i="17" s="1" a="1"/>
  <c r="O768" i="17" s="1"/>
  <c r="K768" i="17"/>
  <c r="L768" i="17"/>
  <c r="M768" i="17" s="1"/>
  <c r="I769" i="17"/>
  <c r="N769" i="17" s="1" a="1"/>
  <c r="N769" i="17" s="1"/>
  <c r="J769" i="17"/>
  <c r="O769" i="17" s="1" a="1"/>
  <c r="O769" i="17" s="1"/>
  <c r="K769" i="17"/>
  <c r="L769" i="17"/>
  <c r="M769" i="17" s="1"/>
  <c r="I770" i="17"/>
  <c r="N770" i="17" s="1" a="1"/>
  <c r="N770" i="17" s="1"/>
  <c r="J770" i="17"/>
  <c r="O770" i="17" s="1" a="1"/>
  <c r="O770" i="17" s="1"/>
  <c r="K770" i="17"/>
  <c r="L770" i="17"/>
  <c r="M770" i="17" s="1"/>
  <c r="I771" i="17"/>
  <c r="N771" i="17" s="1" a="1"/>
  <c r="N771" i="17" s="1"/>
  <c r="J771" i="17"/>
  <c r="O771" i="17" s="1" a="1"/>
  <c r="O771" i="17" s="1"/>
  <c r="K771" i="17"/>
  <c r="L771" i="17"/>
  <c r="M771" i="17" s="1"/>
  <c r="I772" i="17"/>
  <c r="N772" i="17" s="1" a="1"/>
  <c r="N772" i="17" s="1"/>
  <c r="J772" i="17"/>
  <c r="O772" i="17" s="1" a="1"/>
  <c r="O772" i="17" s="1"/>
  <c r="K772" i="17"/>
  <c r="L772" i="17"/>
  <c r="M772" i="17" s="1"/>
  <c r="I773" i="17"/>
  <c r="N773" i="17" s="1" a="1"/>
  <c r="N773" i="17" s="1"/>
  <c r="J773" i="17"/>
  <c r="O773" i="17" s="1" a="1"/>
  <c r="O773" i="17" s="1"/>
  <c r="K773" i="17"/>
  <c r="L773" i="17"/>
  <c r="M773" i="17" s="1"/>
  <c r="I774" i="17"/>
  <c r="N774" i="17" s="1" a="1"/>
  <c r="N774" i="17" s="1"/>
  <c r="J774" i="17"/>
  <c r="O774" i="17" s="1" a="1"/>
  <c r="O774" i="17" s="1"/>
  <c r="K774" i="17"/>
  <c r="L774" i="17"/>
  <c r="M774" i="17" s="1"/>
  <c r="I775" i="17"/>
  <c r="N775" i="17" s="1" a="1"/>
  <c r="N775" i="17" s="1"/>
  <c r="J775" i="17"/>
  <c r="O775" i="17" s="1" a="1"/>
  <c r="O775" i="17" s="1"/>
  <c r="K775" i="17"/>
  <c r="L775" i="17"/>
  <c r="M775" i="17" s="1"/>
  <c r="I776" i="17"/>
  <c r="N776" i="17" s="1" a="1"/>
  <c r="N776" i="17" s="1"/>
  <c r="J776" i="17"/>
  <c r="O776" i="17" s="1" a="1"/>
  <c r="O776" i="17" s="1"/>
  <c r="K776" i="17"/>
  <c r="L776" i="17"/>
  <c r="M776" i="17" s="1"/>
  <c r="I777" i="17"/>
  <c r="N777" i="17" s="1" a="1"/>
  <c r="N777" i="17" s="1"/>
  <c r="J777" i="17"/>
  <c r="O777" i="17" s="1" a="1"/>
  <c r="O777" i="17" s="1"/>
  <c r="K777" i="17"/>
  <c r="L777" i="17"/>
  <c r="M777" i="17" s="1"/>
  <c r="I778" i="17"/>
  <c r="N778" i="17" s="1" a="1"/>
  <c r="N778" i="17" s="1"/>
  <c r="J778" i="17"/>
  <c r="O778" i="17" s="1" a="1"/>
  <c r="O778" i="17" s="1"/>
  <c r="K778" i="17"/>
  <c r="L778" i="17"/>
  <c r="M778" i="17" s="1"/>
  <c r="I779" i="17"/>
  <c r="N779" i="17" s="1" a="1"/>
  <c r="N779" i="17" s="1"/>
  <c r="J779" i="17"/>
  <c r="O779" i="17" s="1" a="1"/>
  <c r="O779" i="17" s="1"/>
  <c r="K779" i="17"/>
  <c r="L779" i="17"/>
  <c r="M779" i="17" s="1"/>
  <c r="I780" i="17"/>
  <c r="N780" i="17" s="1" a="1"/>
  <c r="N780" i="17" s="1"/>
  <c r="J780" i="17"/>
  <c r="O780" i="17" s="1" a="1"/>
  <c r="O780" i="17" s="1"/>
  <c r="K780" i="17"/>
  <c r="L780" i="17"/>
  <c r="M780" i="17" s="1"/>
  <c r="I781" i="17"/>
  <c r="N781" i="17" s="1" a="1"/>
  <c r="N781" i="17" s="1"/>
  <c r="J781" i="17"/>
  <c r="O781" i="17" s="1" a="1"/>
  <c r="O781" i="17" s="1"/>
  <c r="K781" i="17"/>
  <c r="L781" i="17"/>
  <c r="M781" i="17" s="1"/>
  <c r="I782" i="17"/>
  <c r="N782" i="17" s="1" a="1"/>
  <c r="N782" i="17" s="1"/>
  <c r="J782" i="17"/>
  <c r="O782" i="17" s="1" a="1"/>
  <c r="O782" i="17" s="1"/>
  <c r="K782" i="17"/>
  <c r="L782" i="17"/>
  <c r="M782" i="17" s="1"/>
  <c r="I783" i="17"/>
  <c r="N783" i="17" s="1" a="1"/>
  <c r="N783" i="17" s="1"/>
  <c r="J783" i="17"/>
  <c r="O783" i="17" s="1" a="1"/>
  <c r="O783" i="17" s="1"/>
  <c r="K783" i="17"/>
  <c r="L783" i="17"/>
  <c r="M783" i="17" s="1"/>
  <c r="I784" i="17"/>
  <c r="N784" i="17" s="1" a="1"/>
  <c r="N784" i="17" s="1"/>
  <c r="J784" i="17"/>
  <c r="O784" i="17" s="1" a="1"/>
  <c r="O784" i="17" s="1"/>
  <c r="K784" i="17"/>
  <c r="L784" i="17"/>
  <c r="M784" i="17" s="1"/>
  <c r="I785" i="17"/>
  <c r="N785" i="17" s="1" a="1"/>
  <c r="N785" i="17" s="1"/>
  <c r="J785" i="17"/>
  <c r="O785" i="17" s="1" a="1"/>
  <c r="O785" i="17" s="1"/>
  <c r="K785" i="17"/>
  <c r="L785" i="17"/>
  <c r="M785" i="17" s="1"/>
  <c r="I786" i="17"/>
  <c r="N786" i="17" s="1" a="1"/>
  <c r="N786" i="17" s="1"/>
  <c r="J786" i="17"/>
  <c r="O786" i="17" s="1" a="1"/>
  <c r="O786" i="17" s="1"/>
  <c r="K786" i="17"/>
  <c r="L786" i="17"/>
  <c r="M786" i="17" s="1"/>
  <c r="I787" i="17"/>
  <c r="N787" i="17" s="1" a="1"/>
  <c r="N787" i="17" s="1"/>
  <c r="J787" i="17"/>
  <c r="O787" i="17" s="1" a="1"/>
  <c r="O787" i="17" s="1"/>
  <c r="K787" i="17"/>
  <c r="L787" i="17"/>
  <c r="M787" i="17" s="1"/>
  <c r="I788" i="17"/>
  <c r="N788" i="17" s="1" a="1"/>
  <c r="N788" i="17" s="1"/>
  <c r="J788" i="17"/>
  <c r="O788" i="17" s="1" a="1"/>
  <c r="O788" i="17" s="1"/>
  <c r="K788" i="17"/>
  <c r="L788" i="17"/>
  <c r="M788" i="17" s="1"/>
  <c r="I789" i="17"/>
  <c r="N789" i="17" s="1" a="1"/>
  <c r="N789" i="17" s="1"/>
  <c r="J789" i="17"/>
  <c r="O789" i="17" s="1" a="1"/>
  <c r="O789" i="17" s="1"/>
  <c r="K789" i="17"/>
  <c r="L789" i="17"/>
  <c r="M789" i="17" s="1"/>
  <c r="I790" i="17"/>
  <c r="N790" i="17" s="1" a="1"/>
  <c r="N790" i="17" s="1"/>
  <c r="J790" i="17"/>
  <c r="O790" i="17" s="1" a="1"/>
  <c r="O790" i="17" s="1"/>
  <c r="K790" i="17"/>
  <c r="L790" i="17"/>
  <c r="M790" i="17" s="1"/>
  <c r="I791" i="17"/>
  <c r="N791" i="17" s="1" a="1"/>
  <c r="N791" i="17" s="1"/>
  <c r="J791" i="17"/>
  <c r="O791" i="17" s="1" a="1"/>
  <c r="O791" i="17" s="1"/>
  <c r="K791" i="17"/>
  <c r="L791" i="17"/>
  <c r="M791" i="17" s="1"/>
  <c r="I792" i="17"/>
  <c r="N792" i="17" s="1" a="1"/>
  <c r="N792" i="17" s="1"/>
  <c r="J792" i="17"/>
  <c r="O792" i="17" s="1" a="1"/>
  <c r="O792" i="17" s="1"/>
  <c r="K792" i="17"/>
  <c r="L792" i="17"/>
  <c r="M792" i="17" s="1"/>
  <c r="I793" i="17"/>
  <c r="N793" i="17" s="1" a="1"/>
  <c r="N793" i="17" s="1"/>
  <c r="J793" i="17"/>
  <c r="O793" i="17" s="1" a="1"/>
  <c r="O793" i="17" s="1"/>
  <c r="K793" i="17"/>
  <c r="L793" i="17"/>
  <c r="M793" i="17" s="1"/>
  <c r="I794" i="17"/>
  <c r="N794" i="17" s="1" a="1"/>
  <c r="N794" i="17" s="1"/>
  <c r="J794" i="17"/>
  <c r="O794" i="17" s="1" a="1"/>
  <c r="O794" i="17" s="1"/>
  <c r="K794" i="17"/>
  <c r="L794" i="17"/>
  <c r="M794" i="17" s="1"/>
  <c r="I795" i="17"/>
  <c r="N795" i="17" s="1" a="1"/>
  <c r="N795" i="17" s="1"/>
  <c r="J795" i="17"/>
  <c r="O795" i="17" s="1" a="1"/>
  <c r="O795" i="17" s="1"/>
  <c r="K795" i="17"/>
  <c r="L795" i="17"/>
  <c r="M795" i="17" s="1"/>
  <c r="I796" i="17"/>
  <c r="N796" i="17" s="1" a="1"/>
  <c r="N796" i="17" s="1"/>
  <c r="J796" i="17"/>
  <c r="O796" i="17" s="1" a="1"/>
  <c r="O796" i="17" s="1"/>
  <c r="K796" i="17"/>
  <c r="L796" i="17"/>
  <c r="M796" i="17" s="1"/>
  <c r="I797" i="17"/>
  <c r="N797" i="17" s="1" a="1"/>
  <c r="N797" i="17" s="1"/>
  <c r="J797" i="17"/>
  <c r="O797" i="17" s="1" a="1"/>
  <c r="O797" i="17" s="1"/>
  <c r="K797" i="17"/>
  <c r="L797" i="17"/>
  <c r="M797" i="17" s="1"/>
  <c r="I798" i="17"/>
  <c r="N798" i="17" s="1" a="1"/>
  <c r="N798" i="17" s="1"/>
  <c r="J798" i="17"/>
  <c r="O798" i="17" s="1" a="1"/>
  <c r="O798" i="17" s="1"/>
  <c r="K798" i="17"/>
  <c r="L798" i="17"/>
  <c r="M798" i="17" s="1"/>
  <c r="I799" i="17"/>
  <c r="N799" i="17" s="1" a="1"/>
  <c r="N799" i="17" s="1"/>
  <c r="J799" i="17"/>
  <c r="O799" i="17" s="1" a="1"/>
  <c r="O799" i="17" s="1"/>
  <c r="K799" i="17"/>
  <c r="L799" i="17"/>
  <c r="M799" i="17" s="1"/>
  <c r="I800" i="17"/>
  <c r="N800" i="17" s="1" a="1"/>
  <c r="N800" i="17" s="1"/>
  <c r="J800" i="17"/>
  <c r="O800" i="17" s="1" a="1"/>
  <c r="O800" i="17" s="1"/>
  <c r="K800" i="17"/>
  <c r="L800" i="17"/>
  <c r="M800" i="17" s="1"/>
  <c r="I801" i="17"/>
  <c r="N801" i="17" s="1" a="1"/>
  <c r="N801" i="17" s="1"/>
  <c r="J801" i="17"/>
  <c r="O801" i="17" s="1" a="1"/>
  <c r="O801" i="17" s="1"/>
  <c r="K801" i="17"/>
  <c r="L801" i="17"/>
  <c r="M801" i="17" s="1"/>
  <c r="I802" i="17"/>
  <c r="N802" i="17" s="1" a="1"/>
  <c r="N802" i="17" s="1"/>
  <c r="J802" i="17"/>
  <c r="O802" i="17" s="1" a="1"/>
  <c r="O802" i="17" s="1"/>
  <c r="K802" i="17"/>
  <c r="L802" i="17"/>
  <c r="M802" i="17" s="1"/>
  <c r="I803" i="17"/>
  <c r="N803" i="17" s="1" a="1"/>
  <c r="N803" i="17" s="1"/>
  <c r="J803" i="17"/>
  <c r="O803" i="17" s="1" a="1"/>
  <c r="O803" i="17" s="1"/>
  <c r="K803" i="17"/>
  <c r="L803" i="17"/>
  <c r="M803" i="17" s="1"/>
  <c r="I804" i="17"/>
  <c r="N804" i="17" s="1" a="1"/>
  <c r="N804" i="17" s="1"/>
  <c r="J804" i="17"/>
  <c r="O804" i="17" s="1" a="1"/>
  <c r="O804" i="17" s="1"/>
  <c r="K804" i="17"/>
  <c r="L804" i="17"/>
  <c r="M804" i="17" s="1"/>
  <c r="I805" i="17"/>
  <c r="N805" i="17" s="1" a="1"/>
  <c r="N805" i="17" s="1"/>
  <c r="J805" i="17"/>
  <c r="O805" i="17" s="1" a="1"/>
  <c r="O805" i="17" s="1"/>
  <c r="K805" i="17"/>
  <c r="L805" i="17"/>
  <c r="M805" i="17" s="1"/>
  <c r="I806" i="17"/>
  <c r="N806" i="17" s="1" a="1"/>
  <c r="N806" i="17" s="1"/>
  <c r="J806" i="17"/>
  <c r="O806" i="17" s="1" a="1"/>
  <c r="O806" i="17" s="1"/>
  <c r="K806" i="17"/>
  <c r="L806" i="17"/>
  <c r="M806" i="17" s="1"/>
  <c r="I807" i="17"/>
  <c r="N807" i="17" s="1" a="1"/>
  <c r="N807" i="17" s="1"/>
  <c r="J807" i="17"/>
  <c r="O807" i="17" s="1" a="1"/>
  <c r="O807" i="17" s="1"/>
  <c r="K807" i="17"/>
  <c r="L807" i="17"/>
  <c r="M807" i="17" s="1"/>
  <c r="I808" i="17"/>
  <c r="N808" i="17" s="1" a="1"/>
  <c r="N808" i="17" s="1"/>
  <c r="J808" i="17"/>
  <c r="O808" i="17" s="1" a="1"/>
  <c r="O808" i="17" s="1"/>
  <c r="K808" i="17"/>
  <c r="L808" i="17"/>
  <c r="M808" i="17" s="1"/>
  <c r="I809" i="17"/>
  <c r="N809" i="17" s="1" a="1"/>
  <c r="N809" i="17" s="1"/>
  <c r="J809" i="17"/>
  <c r="O809" i="17" s="1" a="1"/>
  <c r="O809" i="17" s="1"/>
  <c r="K809" i="17"/>
  <c r="L809" i="17"/>
  <c r="M809" i="17" s="1"/>
  <c r="I810" i="17"/>
  <c r="N810" i="17" s="1" a="1"/>
  <c r="N810" i="17" s="1"/>
  <c r="J810" i="17"/>
  <c r="O810" i="17" s="1" a="1"/>
  <c r="O810" i="17" s="1"/>
  <c r="K810" i="17"/>
  <c r="L810" i="17"/>
  <c r="M810" i="17" s="1"/>
  <c r="I811" i="17"/>
  <c r="N811" i="17" s="1" a="1"/>
  <c r="N811" i="17" s="1"/>
  <c r="J811" i="17"/>
  <c r="O811" i="17" s="1" a="1"/>
  <c r="O811" i="17" s="1"/>
  <c r="K811" i="17"/>
  <c r="L811" i="17"/>
  <c r="M811" i="17" s="1"/>
  <c r="I812" i="17"/>
  <c r="N812" i="17" s="1" a="1"/>
  <c r="N812" i="17" s="1"/>
  <c r="J812" i="17"/>
  <c r="O812" i="17" s="1" a="1"/>
  <c r="O812" i="17" s="1"/>
  <c r="K812" i="17"/>
  <c r="L812" i="17"/>
  <c r="M812" i="17" s="1"/>
  <c r="I813" i="17"/>
  <c r="N813" i="17" s="1" a="1"/>
  <c r="N813" i="17" s="1"/>
  <c r="J813" i="17"/>
  <c r="O813" i="17" s="1" a="1"/>
  <c r="O813" i="17" s="1"/>
  <c r="K813" i="17"/>
  <c r="L813" i="17"/>
  <c r="M813" i="17" s="1"/>
  <c r="I814" i="17"/>
  <c r="N814" i="17" s="1" a="1"/>
  <c r="N814" i="17" s="1"/>
  <c r="J814" i="17"/>
  <c r="O814" i="17" s="1" a="1"/>
  <c r="O814" i="17" s="1"/>
  <c r="K814" i="17"/>
  <c r="L814" i="17"/>
  <c r="M814" i="17" s="1"/>
  <c r="I815" i="17"/>
  <c r="N815" i="17" s="1" a="1"/>
  <c r="N815" i="17" s="1"/>
  <c r="J815" i="17"/>
  <c r="O815" i="17" s="1" a="1"/>
  <c r="O815" i="17" s="1"/>
  <c r="K815" i="17"/>
  <c r="L815" i="17"/>
  <c r="M815" i="17" s="1"/>
  <c r="I816" i="17"/>
  <c r="N816" i="17" s="1" a="1"/>
  <c r="N816" i="17" s="1"/>
  <c r="J816" i="17"/>
  <c r="O816" i="17" s="1" a="1"/>
  <c r="O816" i="17" s="1"/>
  <c r="K816" i="17"/>
  <c r="L816" i="17"/>
  <c r="M816" i="17" s="1"/>
  <c r="I817" i="17"/>
  <c r="N817" i="17" s="1" a="1"/>
  <c r="N817" i="17" s="1"/>
  <c r="J817" i="17"/>
  <c r="O817" i="17" s="1" a="1"/>
  <c r="O817" i="17" s="1"/>
  <c r="K817" i="17"/>
  <c r="L817" i="17"/>
  <c r="M817" i="17" s="1"/>
  <c r="I818" i="17"/>
  <c r="N818" i="17" s="1" a="1"/>
  <c r="N818" i="17" s="1"/>
  <c r="J818" i="17"/>
  <c r="O818" i="17" s="1" a="1"/>
  <c r="O818" i="17" s="1"/>
  <c r="K818" i="17"/>
  <c r="L818" i="17"/>
  <c r="M818" i="17" s="1"/>
  <c r="I819" i="17"/>
  <c r="N819" i="17" s="1" a="1"/>
  <c r="N819" i="17" s="1"/>
  <c r="J819" i="17"/>
  <c r="O819" i="17" s="1" a="1"/>
  <c r="O819" i="17" s="1"/>
  <c r="K819" i="17"/>
  <c r="L819" i="17"/>
  <c r="M819" i="17" s="1"/>
  <c r="I820" i="17"/>
  <c r="N820" i="17" s="1" a="1"/>
  <c r="N820" i="17" s="1"/>
  <c r="J820" i="17"/>
  <c r="O820" i="17" s="1" a="1"/>
  <c r="O820" i="17" s="1"/>
  <c r="K820" i="17"/>
  <c r="L820" i="17"/>
  <c r="M820" i="17" s="1"/>
  <c r="I821" i="17"/>
  <c r="N821" i="17" s="1" a="1"/>
  <c r="N821" i="17" s="1"/>
  <c r="J821" i="17"/>
  <c r="O821" i="17" s="1" a="1"/>
  <c r="O821" i="17" s="1"/>
  <c r="K821" i="17"/>
  <c r="L821" i="17"/>
  <c r="M821" i="17" s="1"/>
  <c r="I822" i="17"/>
  <c r="N822" i="17" s="1" a="1"/>
  <c r="N822" i="17" s="1"/>
  <c r="J822" i="17"/>
  <c r="O822" i="17" s="1" a="1"/>
  <c r="O822" i="17" s="1"/>
  <c r="K822" i="17"/>
  <c r="L822" i="17"/>
  <c r="M822" i="17" s="1"/>
  <c r="I823" i="17"/>
  <c r="N823" i="17" s="1" a="1"/>
  <c r="N823" i="17" s="1"/>
  <c r="J823" i="17"/>
  <c r="O823" i="17" s="1" a="1"/>
  <c r="O823" i="17" s="1"/>
  <c r="K823" i="17"/>
  <c r="L823" i="17"/>
  <c r="M823" i="17" s="1"/>
  <c r="I824" i="17"/>
  <c r="N824" i="17" s="1" a="1"/>
  <c r="N824" i="17" s="1"/>
  <c r="J824" i="17"/>
  <c r="O824" i="17" s="1" a="1"/>
  <c r="O824" i="17" s="1"/>
  <c r="K824" i="17"/>
  <c r="L824" i="17"/>
  <c r="M824" i="17" s="1"/>
  <c r="I825" i="17"/>
  <c r="N825" i="17" s="1" a="1"/>
  <c r="N825" i="17" s="1"/>
  <c r="J825" i="17"/>
  <c r="O825" i="17" s="1" a="1"/>
  <c r="O825" i="17" s="1"/>
  <c r="K825" i="17"/>
  <c r="L825" i="17"/>
  <c r="M825" i="17" s="1"/>
  <c r="I826" i="17"/>
  <c r="N826" i="17" s="1" a="1"/>
  <c r="N826" i="17" s="1"/>
  <c r="J826" i="17"/>
  <c r="O826" i="17" s="1" a="1"/>
  <c r="O826" i="17" s="1"/>
  <c r="K826" i="17"/>
  <c r="L826" i="17"/>
  <c r="M826" i="17" s="1"/>
  <c r="I827" i="17"/>
  <c r="N827" i="17" s="1" a="1"/>
  <c r="N827" i="17" s="1"/>
  <c r="J827" i="17"/>
  <c r="O827" i="17" s="1" a="1"/>
  <c r="O827" i="17" s="1"/>
  <c r="K827" i="17"/>
  <c r="L827" i="17"/>
  <c r="M827" i="17" s="1"/>
  <c r="I828" i="17"/>
  <c r="N828" i="17" s="1" a="1"/>
  <c r="N828" i="17" s="1"/>
  <c r="J828" i="17"/>
  <c r="O828" i="17" s="1" a="1"/>
  <c r="O828" i="17" s="1"/>
  <c r="K828" i="17"/>
  <c r="L828" i="17"/>
  <c r="M828" i="17" s="1"/>
  <c r="I829" i="17"/>
  <c r="N829" i="17" s="1" a="1"/>
  <c r="N829" i="17" s="1"/>
  <c r="J829" i="17"/>
  <c r="O829" i="17" s="1" a="1"/>
  <c r="O829" i="17" s="1"/>
  <c r="K829" i="17"/>
  <c r="L829" i="17"/>
  <c r="M829" i="17" s="1"/>
  <c r="I830" i="17"/>
  <c r="N830" i="17" s="1" a="1"/>
  <c r="N830" i="17" s="1"/>
  <c r="J830" i="17"/>
  <c r="O830" i="17" s="1" a="1"/>
  <c r="O830" i="17" s="1"/>
  <c r="K830" i="17"/>
  <c r="L830" i="17"/>
  <c r="M830" i="17" s="1"/>
  <c r="I831" i="17"/>
  <c r="N831" i="17" s="1" a="1"/>
  <c r="N831" i="17" s="1"/>
  <c r="J831" i="17"/>
  <c r="O831" i="17" s="1" a="1"/>
  <c r="O831" i="17" s="1"/>
  <c r="K831" i="17"/>
  <c r="L831" i="17"/>
  <c r="M831" i="17" s="1"/>
  <c r="I832" i="17"/>
  <c r="N832" i="17" s="1" a="1"/>
  <c r="N832" i="17" s="1"/>
  <c r="J832" i="17"/>
  <c r="O832" i="17" s="1" a="1"/>
  <c r="O832" i="17" s="1"/>
  <c r="K832" i="17"/>
  <c r="L832" i="17"/>
  <c r="M832" i="17" s="1"/>
  <c r="I833" i="17"/>
  <c r="N833" i="17" s="1" a="1"/>
  <c r="N833" i="17" s="1"/>
  <c r="J833" i="17"/>
  <c r="O833" i="17" s="1" a="1"/>
  <c r="O833" i="17" s="1"/>
  <c r="K833" i="17"/>
  <c r="L833" i="17"/>
  <c r="M833" i="17" s="1"/>
  <c r="I834" i="17"/>
  <c r="N834" i="17" s="1" a="1"/>
  <c r="N834" i="17" s="1"/>
  <c r="J834" i="17"/>
  <c r="O834" i="17" s="1" a="1"/>
  <c r="O834" i="17" s="1"/>
  <c r="K834" i="17"/>
  <c r="L834" i="17"/>
  <c r="M834" i="17" s="1"/>
  <c r="I835" i="17"/>
  <c r="N835" i="17" s="1" a="1"/>
  <c r="N835" i="17" s="1"/>
  <c r="J835" i="17"/>
  <c r="O835" i="17" s="1" a="1"/>
  <c r="O835" i="17" s="1"/>
  <c r="K835" i="17"/>
  <c r="L835" i="17"/>
  <c r="M835" i="17" s="1"/>
  <c r="I836" i="17"/>
  <c r="N836" i="17" s="1" a="1"/>
  <c r="N836" i="17" s="1"/>
  <c r="J836" i="17"/>
  <c r="O836" i="17" s="1" a="1"/>
  <c r="O836" i="17" s="1"/>
  <c r="K836" i="17"/>
  <c r="L836" i="17"/>
  <c r="M836" i="17" s="1"/>
  <c r="I837" i="17"/>
  <c r="N837" i="17" s="1" a="1"/>
  <c r="N837" i="17" s="1"/>
  <c r="J837" i="17"/>
  <c r="O837" i="17" s="1" a="1"/>
  <c r="O837" i="17" s="1"/>
  <c r="K837" i="17"/>
  <c r="L837" i="17"/>
  <c r="M837" i="17" s="1"/>
  <c r="I838" i="17"/>
  <c r="N838" i="17" s="1" a="1"/>
  <c r="N838" i="17" s="1"/>
  <c r="J838" i="17"/>
  <c r="O838" i="17" s="1" a="1"/>
  <c r="O838" i="17" s="1"/>
  <c r="K838" i="17"/>
  <c r="L838" i="17"/>
  <c r="M838" i="17" s="1"/>
  <c r="I839" i="17"/>
  <c r="N839" i="17" s="1" a="1"/>
  <c r="N839" i="17" s="1"/>
  <c r="J839" i="17"/>
  <c r="O839" i="17" s="1" a="1"/>
  <c r="O839" i="17" s="1"/>
  <c r="K839" i="17"/>
  <c r="L839" i="17"/>
  <c r="M839" i="17" s="1"/>
  <c r="I840" i="17"/>
  <c r="N840" i="17" s="1" a="1"/>
  <c r="N840" i="17" s="1"/>
  <c r="J840" i="17"/>
  <c r="O840" i="17" s="1" a="1"/>
  <c r="O840" i="17" s="1"/>
  <c r="K840" i="17"/>
  <c r="L840" i="17"/>
  <c r="M840" i="17" s="1"/>
  <c r="I841" i="17"/>
  <c r="N841" i="17" s="1" a="1"/>
  <c r="N841" i="17" s="1"/>
  <c r="J841" i="17"/>
  <c r="O841" i="17" s="1" a="1"/>
  <c r="O841" i="17" s="1"/>
  <c r="K841" i="17"/>
  <c r="L841" i="17"/>
  <c r="M841" i="17" s="1"/>
  <c r="I842" i="17"/>
  <c r="N842" i="17" s="1" a="1"/>
  <c r="N842" i="17" s="1"/>
  <c r="J842" i="17"/>
  <c r="O842" i="17" s="1" a="1"/>
  <c r="O842" i="17" s="1"/>
  <c r="K842" i="17"/>
  <c r="L842" i="17"/>
  <c r="M842" i="17" s="1"/>
  <c r="I843" i="17"/>
  <c r="N843" i="17" s="1" a="1"/>
  <c r="N843" i="17" s="1"/>
  <c r="J843" i="17"/>
  <c r="O843" i="17" s="1" a="1"/>
  <c r="O843" i="17" s="1"/>
  <c r="K843" i="17"/>
  <c r="L843" i="17"/>
  <c r="M843" i="17" s="1"/>
  <c r="I844" i="17"/>
  <c r="N844" i="17" s="1" a="1"/>
  <c r="N844" i="17" s="1"/>
  <c r="J844" i="17"/>
  <c r="O844" i="17" s="1" a="1"/>
  <c r="O844" i="17" s="1"/>
  <c r="K844" i="17"/>
  <c r="L844" i="17"/>
  <c r="M844" i="17" s="1"/>
  <c r="I845" i="17"/>
  <c r="N845" i="17" s="1" a="1"/>
  <c r="N845" i="17" s="1"/>
  <c r="J845" i="17"/>
  <c r="O845" i="17" s="1" a="1"/>
  <c r="O845" i="17" s="1"/>
  <c r="K845" i="17"/>
  <c r="L845" i="17"/>
  <c r="M845" i="17" s="1"/>
  <c r="I846" i="17"/>
  <c r="N846" i="17" s="1" a="1"/>
  <c r="N846" i="17" s="1"/>
  <c r="J846" i="17"/>
  <c r="O846" i="17" s="1" a="1"/>
  <c r="O846" i="17" s="1"/>
  <c r="K846" i="17"/>
  <c r="L846" i="17"/>
  <c r="M846" i="17" s="1"/>
  <c r="I847" i="17"/>
  <c r="N847" i="17" s="1" a="1"/>
  <c r="N847" i="17" s="1"/>
  <c r="J847" i="17"/>
  <c r="O847" i="17" s="1" a="1"/>
  <c r="O847" i="17" s="1"/>
  <c r="K847" i="17"/>
  <c r="L847" i="17"/>
  <c r="M847" i="17" s="1"/>
  <c r="I848" i="17"/>
  <c r="N848" i="17" s="1" a="1"/>
  <c r="N848" i="17" s="1"/>
  <c r="J848" i="17"/>
  <c r="O848" i="17" s="1" a="1"/>
  <c r="O848" i="17" s="1"/>
  <c r="K848" i="17"/>
  <c r="L848" i="17"/>
  <c r="M848" i="17" s="1"/>
  <c r="I849" i="17"/>
  <c r="N849" i="17" s="1" a="1"/>
  <c r="N849" i="17" s="1"/>
  <c r="J849" i="17"/>
  <c r="O849" i="17" s="1" a="1"/>
  <c r="O849" i="17" s="1"/>
  <c r="K849" i="17"/>
  <c r="L849" i="17"/>
  <c r="M849" i="17" s="1"/>
  <c r="I850" i="17"/>
  <c r="N850" i="17" s="1" a="1"/>
  <c r="N850" i="17" s="1"/>
  <c r="J850" i="17"/>
  <c r="O850" i="17" s="1" a="1"/>
  <c r="O850" i="17" s="1"/>
  <c r="K850" i="17"/>
  <c r="L850" i="17"/>
  <c r="M850" i="17" s="1"/>
  <c r="I851" i="17"/>
  <c r="N851" i="17" s="1" a="1"/>
  <c r="N851" i="17" s="1"/>
  <c r="J851" i="17"/>
  <c r="O851" i="17" s="1" a="1"/>
  <c r="O851" i="17" s="1"/>
  <c r="K851" i="17"/>
  <c r="L851" i="17"/>
  <c r="M851" i="17" s="1"/>
  <c r="I852" i="17"/>
  <c r="N852" i="17" s="1" a="1"/>
  <c r="N852" i="17" s="1"/>
  <c r="J852" i="17"/>
  <c r="O852" i="17" s="1" a="1"/>
  <c r="O852" i="17" s="1"/>
  <c r="K852" i="17"/>
  <c r="L852" i="17"/>
  <c r="M852" i="17" s="1"/>
  <c r="I853" i="17"/>
  <c r="N853" i="17" s="1" a="1"/>
  <c r="N853" i="17" s="1"/>
  <c r="J853" i="17"/>
  <c r="O853" i="17" s="1" a="1"/>
  <c r="O853" i="17" s="1"/>
  <c r="K853" i="17"/>
  <c r="L853" i="17"/>
  <c r="M853" i="17" s="1"/>
  <c r="I854" i="17"/>
  <c r="N854" i="17" s="1" a="1"/>
  <c r="N854" i="17" s="1"/>
  <c r="J854" i="17"/>
  <c r="O854" i="17" s="1" a="1"/>
  <c r="O854" i="17" s="1"/>
  <c r="K854" i="17"/>
  <c r="L854" i="17"/>
  <c r="M854" i="17" s="1"/>
  <c r="I855" i="17"/>
  <c r="N855" i="17" s="1" a="1"/>
  <c r="N855" i="17" s="1"/>
  <c r="J855" i="17"/>
  <c r="O855" i="17" s="1" a="1"/>
  <c r="O855" i="17" s="1"/>
  <c r="K855" i="17"/>
  <c r="L855" i="17"/>
  <c r="M855" i="17" s="1"/>
  <c r="I856" i="17"/>
  <c r="N856" i="17" s="1" a="1"/>
  <c r="N856" i="17" s="1"/>
  <c r="J856" i="17"/>
  <c r="O856" i="17" s="1" a="1"/>
  <c r="O856" i="17" s="1"/>
  <c r="K856" i="17"/>
  <c r="L856" i="17"/>
  <c r="M856" i="17" s="1"/>
  <c r="I857" i="17"/>
  <c r="N857" i="17" s="1" a="1"/>
  <c r="N857" i="17" s="1"/>
  <c r="J857" i="17"/>
  <c r="O857" i="17" s="1" a="1"/>
  <c r="O857" i="17" s="1"/>
  <c r="K857" i="17"/>
  <c r="L857" i="17"/>
  <c r="M857" i="17" s="1"/>
  <c r="I858" i="17"/>
  <c r="N858" i="17" s="1" a="1"/>
  <c r="N858" i="17" s="1"/>
  <c r="J858" i="17"/>
  <c r="O858" i="17" s="1" a="1"/>
  <c r="O858" i="17" s="1"/>
  <c r="K858" i="17"/>
  <c r="L858" i="17"/>
  <c r="M858" i="17" s="1"/>
  <c r="I859" i="17"/>
  <c r="N859" i="17" s="1" a="1"/>
  <c r="N859" i="17" s="1"/>
  <c r="J859" i="17"/>
  <c r="O859" i="17" s="1" a="1"/>
  <c r="O859" i="17" s="1"/>
  <c r="K859" i="17"/>
  <c r="L859" i="17"/>
  <c r="M859" i="17" s="1"/>
  <c r="I860" i="17"/>
  <c r="N860" i="17" s="1" a="1"/>
  <c r="N860" i="17" s="1"/>
  <c r="J860" i="17"/>
  <c r="O860" i="17" s="1" a="1"/>
  <c r="O860" i="17" s="1"/>
  <c r="K860" i="17"/>
  <c r="L860" i="17"/>
  <c r="M860" i="17" s="1"/>
  <c r="I861" i="17"/>
  <c r="N861" i="17" s="1" a="1"/>
  <c r="N861" i="17" s="1"/>
  <c r="J861" i="17"/>
  <c r="O861" i="17" s="1" a="1"/>
  <c r="O861" i="17" s="1"/>
  <c r="K861" i="17"/>
  <c r="L861" i="17"/>
  <c r="M861" i="17" s="1"/>
  <c r="I862" i="17"/>
  <c r="N862" i="17" s="1" a="1"/>
  <c r="N862" i="17" s="1"/>
  <c r="J862" i="17"/>
  <c r="O862" i="17" s="1" a="1"/>
  <c r="O862" i="17" s="1"/>
  <c r="K862" i="17"/>
  <c r="L862" i="17"/>
  <c r="M862" i="17" s="1"/>
  <c r="I863" i="17"/>
  <c r="N863" i="17" s="1" a="1"/>
  <c r="N863" i="17" s="1"/>
  <c r="J863" i="17"/>
  <c r="O863" i="17" s="1" a="1"/>
  <c r="O863" i="17" s="1"/>
  <c r="K863" i="17"/>
  <c r="L863" i="17"/>
  <c r="M863" i="17" s="1"/>
  <c r="I864" i="17"/>
  <c r="N864" i="17" s="1" a="1"/>
  <c r="N864" i="17" s="1"/>
  <c r="J864" i="17"/>
  <c r="O864" i="17" s="1" a="1"/>
  <c r="O864" i="17" s="1"/>
  <c r="K864" i="17"/>
  <c r="L864" i="17"/>
  <c r="M864" i="17" s="1"/>
  <c r="I865" i="17"/>
  <c r="N865" i="17" s="1" a="1"/>
  <c r="N865" i="17" s="1"/>
  <c r="J865" i="17"/>
  <c r="O865" i="17" s="1" a="1"/>
  <c r="O865" i="17" s="1"/>
  <c r="K865" i="17"/>
  <c r="L865" i="17"/>
  <c r="M865" i="17" s="1"/>
  <c r="I866" i="17"/>
  <c r="N866" i="17" s="1" a="1"/>
  <c r="N866" i="17" s="1"/>
  <c r="J866" i="17"/>
  <c r="O866" i="17" s="1" a="1"/>
  <c r="O866" i="17" s="1"/>
  <c r="K866" i="17"/>
  <c r="L866" i="17"/>
  <c r="M866" i="17" s="1"/>
  <c r="I867" i="17"/>
  <c r="N867" i="17" s="1" a="1"/>
  <c r="N867" i="17" s="1"/>
  <c r="J867" i="17"/>
  <c r="O867" i="17" s="1" a="1"/>
  <c r="O867" i="17" s="1"/>
  <c r="K867" i="17"/>
  <c r="L867" i="17"/>
  <c r="M867" i="17" s="1"/>
  <c r="I868" i="17"/>
  <c r="N868" i="17" s="1" a="1"/>
  <c r="N868" i="17" s="1"/>
  <c r="J868" i="17"/>
  <c r="O868" i="17" s="1" a="1"/>
  <c r="O868" i="17" s="1"/>
  <c r="K868" i="17"/>
  <c r="L868" i="17"/>
  <c r="M868" i="17" s="1"/>
  <c r="I869" i="17"/>
  <c r="N869" i="17" s="1" a="1"/>
  <c r="N869" i="17" s="1"/>
  <c r="J869" i="17"/>
  <c r="O869" i="17" s="1" a="1"/>
  <c r="O869" i="17" s="1"/>
  <c r="K869" i="17"/>
  <c r="L869" i="17"/>
  <c r="M869" i="17" s="1"/>
  <c r="I870" i="17"/>
  <c r="N870" i="17" s="1" a="1"/>
  <c r="N870" i="17" s="1"/>
  <c r="J870" i="17"/>
  <c r="O870" i="17" s="1" a="1"/>
  <c r="O870" i="17" s="1"/>
  <c r="K870" i="17"/>
  <c r="L870" i="17"/>
  <c r="M870" i="17" s="1"/>
  <c r="I871" i="17"/>
  <c r="N871" i="17" s="1" a="1"/>
  <c r="N871" i="17" s="1"/>
  <c r="J871" i="17"/>
  <c r="O871" i="17" s="1" a="1"/>
  <c r="O871" i="17" s="1"/>
  <c r="K871" i="17"/>
  <c r="L871" i="17"/>
  <c r="M871" i="17" s="1"/>
  <c r="I872" i="17"/>
  <c r="N872" i="17" s="1" a="1"/>
  <c r="N872" i="17" s="1"/>
  <c r="J872" i="17"/>
  <c r="O872" i="17" s="1" a="1"/>
  <c r="O872" i="17" s="1"/>
  <c r="K872" i="17"/>
  <c r="L872" i="17"/>
  <c r="M872" i="17" s="1"/>
  <c r="I873" i="17"/>
  <c r="N873" i="17" s="1" a="1"/>
  <c r="N873" i="17" s="1"/>
  <c r="J873" i="17"/>
  <c r="O873" i="17" s="1" a="1"/>
  <c r="O873" i="17" s="1"/>
  <c r="K873" i="17"/>
  <c r="L873" i="17"/>
  <c r="M873" i="17" s="1"/>
  <c r="I874" i="17"/>
  <c r="N874" i="17" s="1" a="1"/>
  <c r="N874" i="17" s="1"/>
  <c r="J874" i="17"/>
  <c r="O874" i="17" s="1" a="1"/>
  <c r="O874" i="17" s="1"/>
  <c r="K874" i="17"/>
  <c r="L874" i="17"/>
  <c r="M874" i="17" s="1"/>
  <c r="I875" i="17"/>
  <c r="N875" i="17" s="1" a="1"/>
  <c r="N875" i="17" s="1"/>
  <c r="J875" i="17"/>
  <c r="O875" i="17" s="1" a="1"/>
  <c r="O875" i="17" s="1"/>
  <c r="K875" i="17"/>
  <c r="L875" i="17"/>
  <c r="M875" i="17" s="1"/>
  <c r="I876" i="17"/>
  <c r="N876" i="17" s="1" a="1"/>
  <c r="N876" i="17" s="1"/>
  <c r="J876" i="17"/>
  <c r="O876" i="17" s="1" a="1"/>
  <c r="O876" i="17" s="1"/>
  <c r="K876" i="17"/>
  <c r="L876" i="17"/>
  <c r="M876" i="17" s="1"/>
  <c r="I877" i="17"/>
  <c r="N877" i="17" s="1" a="1"/>
  <c r="N877" i="17" s="1"/>
  <c r="J877" i="17"/>
  <c r="O877" i="17" s="1" a="1"/>
  <c r="O877" i="17" s="1"/>
  <c r="K877" i="17"/>
  <c r="L877" i="17"/>
  <c r="M877" i="17" s="1"/>
  <c r="I878" i="17"/>
  <c r="N878" i="17" s="1" a="1"/>
  <c r="N878" i="17" s="1"/>
  <c r="J878" i="17"/>
  <c r="O878" i="17" s="1" a="1"/>
  <c r="O878" i="17" s="1"/>
  <c r="K878" i="17"/>
  <c r="L878" i="17"/>
  <c r="M878" i="17" s="1"/>
  <c r="I879" i="17"/>
  <c r="N879" i="17" s="1" a="1"/>
  <c r="N879" i="17" s="1"/>
  <c r="J879" i="17"/>
  <c r="O879" i="17" s="1" a="1"/>
  <c r="O879" i="17" s="1"/>
  <c r="K879" i="17"/>
  <c r="L879" i="17"/>
  <c r="M879" i="17" s="1"/>
  <c r="I880" i="17"/>
  <c r="N880" i="17" s="1" a="1"/>
  <c r="N880" i="17" s="1"/>
  <c r="J880" i="17"/>
  <c r="O880" i="17" s="1" a="1"/>
  <c r="O880" i="17" s="1"/>
  <c r="K880" i="17"/>
  <c r="L880" i="17"/>
  <c r="M880" i="17" s="1"/>
  <c r="I881" i="17"/>
  <c r="N881" i="17" s="1" a="1"/>
  <c r="N881" i="17" s="1"/>
  <c r="J881" i="17"/>
  <c r="O881" i="17" s="1" a="1"/>
  <c r="O881" i="17" s="1"/>
  <c r="K881" i="17"/>
  <c r="L881" i="17"/>
  <c r="M881" i="17" s="1"/>
  <c r="I882" i="17"/>
  <c r="N882" i="17" s="1" a="1"/>
  <c r="N882" i="17" s="1"/>
  <c r="J882" i="17"/>
  <c r="O882" i="17" s="1" a="1"/>
  <c r="O882" i="17" s="1"/>
  <c r="K882" i="17"/>
  <c r="L882" i="17"/>
  <c r="M882" i="17" s="1"/>
  <c r="I883" i="17"/>
  <c r="N883" i="17" s="1" a="1"/>
  <c r="N883" i="17" s="1"/>
  <c r="J883" i="17"/>
  <c r="O883" i="17" s="1" a="1"/>
  <c r="O883" i="17" s="1"/>
  <c r="K883" i="17"/>
  <c r="L883" i="17"/>
  <c r="M883" i="17" s="1"/>
  <c r="I884" i="17"/>
  <c r="N884" i="17" s="1" a="1"/>
  <c r="N884" i="17" s="1"/>
  <c r="J884" i="17"/>
  <c r="O884" i="17" s="1" a="1"/>
  <c r="O884" i="17" s="1"/>
  <c r="K884" i="17"/>
  <c r="L884" i="17"/>
  <c r="M884" i="17" s="1"/>
  <c r="I885" i="17"/>
  <c r="N885" i="17" s="1" a="1"/>
  <c r="N885" i="17" s="1"/>
  <c r="J885" i="17"/>
  <c r="O885" i="17" s="1" a="1"/>
  <c r="O885" i="17" s="1"/>
  <c r="K885" i="17"/>
  <c r="L885" i="17"/>
  <c r="M885" i="17" s="1"/>
  <c r="I886" i="17"/>
  <c r="N886" i="17" s="1" a="1"/>
  <c r="N886" i="17" s="1"/>
  <c r="J886" i="17"/>
  <c r="O886" i="17" s="1" a="1"/>
  <c r="O886" i="17" s="1"/>
  <c r="K886" i="17"/>
  <c r="L886" i="17"/>
  <c r="M886" i="17" s="1"/>
  <c r="I887" i="17"/>
  <c r="N887" i="17" s="1" a="1"/>
  <c r="N887" i="17" s="1"/>
  <c r="J887" i="17"/>
  <c r="O887" i="17" s="1" a="1"/>
  <c r="O887" i="17" s="1"/>
  <c r="K887" i="17"/>
  <c r="L887" i="17"/>
  <c r="M887" i="17" s="1"/>
  <c r="I888" i="17"/>
  <c r="N888" i="17" s="1" a="1"/>
  <c r="N888" i="17" s="1"/>
  <c r="J888" i="17"/>
  <c r="O888" i="17" s="1" a="1"/>
  <c r="O888" i="17" s="1"/>
  <c r="K888" i="17"/>
  <c r="L888" i="17"/>
  <c r="M888" i="17" s="1"/>
  <c r="I889" i="17"/>
  <c r="N889" i="17" s="1" a="1"/>
  <c r="N889" i="17" s="1"/>
  <c r="J889" i="17"/>
  <c r="O889" i="17" s="1" a="1"/>
  <c r="O889" i="17" s="1"/>
  <c r="K889" i="17"/>
  <c r="L889" i="17"/>
  <c r="M889" i="17" s="1"/>
  <c r="I890" i="17"/>
  <c r="N890" i="17" s="1" a="1"/>
  <c r="N890" i="17" s="1"/>
  <c r="J890" i="17"/>
  <c r="O890" i="17" s="1" a="1"/>
  <c r="O890" i="17" s="1"/>
  <c r="K890" i="17"/>
  <c r="L890" i="17"/>
  <c r="M890" i="17" s="1"/>
  <c r="I891" i="17"/>
  <c r="N891" i="17" s="1" a="1"/>
  <c r="N891" i="17" s="1"/>
  <c r="J891" i="17"/>
  <c r="O891" i="17" s="1" a="1"/>
  <c r="O891" i="17" s="1"/>
  <c r="K891" i="17"/>
  <c r="L891" i="17"/>
  <c r="M891" i="17" s="1"/>
  <c r="I892" i="17"/>
  <c r="N892" i="17" s="1" a="1"/>
  <c r="N892" i="17" s="1"/>
  <c r="J892" i="17"/>
  <c r="O892" i="17" s="1" a="1"/>
  <c r="O892" i="17" s="1"/>
  <c r="K892" i="17"/>
  <c r="L892" i="17"/>
  <c r="M892" i="17" s="1"/>
  <c r="I893" i="17"/>
  <c r="N893" i="17" s="1" a="1"/>
  <c r="N893" i="17" s="1"/>
  <c r="J893" i="17"/>
  <c r="O893" i="17" s="1" a="1"/>
  <c r="O893" i="17" s="1"/>
  <c r="K893" i="17"/>
  <c r="L893" i="17"/>
  <c r="M893" i="17" s="1"/>
  <c r="I894" i="17"/>
  <c r="N894" i="17" s="1" a="1"/>
  <c r="N894" i="17" s="1"/>
  <c r="J894" i="17"/>
  <c r="O894" i="17" s="1" a="1"/>
  <c r="O894" i="17" s="1"/>
  <c r="K894" i="17"/>
  <c r="L894" i="17"/>
  <c r="M894" i="17" s="1"/>
  <c r="I895" i="17"/>
  <c r="N895" i="17" s="1" a="1"/>
  <c r="N895" i="17" s="1"/>
  <c r="J895" i="17"/>
  <c r="O895" i="17" s="1" a="1"/>
  <c r="O895" i="17" s="1"/>
  <c r="K895" i="17"/>
  <c r="L895" i="17"/>
  <c r="M895" i="17" s="1"/>
  <c r="I896" i="17"/>
  <c r="N896" i="17" s="1" a="1"/>
  <c r="N896" i="17" s="1"/>
  <c r="J896" i="17"/>
  <c r="O896" i="17" s="1" a="1"/>
  <c r="O896" i="17" s="1"/>
  <c r="K896" i="17"/>
  <c r="L896" i="17"/>
  <c r="M896" i="17" s="1"/>
  <c r="I897" i="17"/>
  <c r="N897" i="17" s="1" a="1"/>
  <c r="N897" i="17" s="1"/>
  <c r="J897" i="17"/>
  <c r="O897" i="17" s="1" a="1"/>
  <c r="O897" i="17" s="1"/>
  <c r="K897" i="17"/>
  <c r="L897" i="17"/>
  <c r="M897" i="17" s="1"/>
  <c r="I898" i="17"/>
  <c r="N898" i="17" s="1" a="1"/>
  <c r="N898" i="17" s="1"/>
  <c r="J898" i="17"/>
  <c r="O898" i="17" s="1" a="1"/>
  <c r="O898" i="17" s="1"/>
  <c r="K898" i="17"/>
  <c r="L898" i="17"/>
  <c r="M898" i="17" s="1"/>
  <c r="I899" i="17"/>
  <c r="N899" i="17" s="1" a="1"/>
  <c r="N899" i="17" s="1"/>
  <c r="J899" i="17"/>
  <c r="O899" i="17" s="1" a="1"/>
  <c r="O899" i="17" s="1"/>
  <c r="K899" i="17"/>
  <c r="L899" i="17"/>
  <c r="M899" i="17" s="1"/>
  <c r="I900" i="17"/>
  <c r="N900" i="17" s="1" a="1"/>
  <c r="N900" i="17" s="1"/>
  <c r="J900" i="17"/>
  <c r="O900" i="17" s="1" a="1"/>
  <c r="O900" i="17" s="1"/>
  <c r="K900" i="17"/>
  <c r="L900" i="17"/>
  <c r="M900" i="17" s="1"/>
  <c r="I901" i="17"/>
  <c r="N901" i="17" s="1" a="1"/>
  <c r="N901" i="17" s="1"/>
  <c r="J901" i="17"/>
  <c r="O901" i="17" s="1" a="1"/>
  <c r="O901" i="17" s="1"/>
  <c r="K901" i="17"/>
  <c r="L901" i="17"/>
  <c r="M901" i="17" s="1"/>
  <c r="I902" i="17"/>
  <c r="N902" i="17" s="1" a="1"/>
  <c r="N902" i="17" s="1"/>
  <c r="J902" i="17"/>
  <c r="O902" i="17" s="1" a="1"/>
  <c r="O902" i="17" s="1"/>
  <c r="K902" i="17"/>
  <c r="L902" i="17"/>
  <c r="M902" i="17" s="1"/>
  <c r="I903" i="17"/>
  <c r="N903" i="17" s="1" a="1"/>
  <c r="N903" i="17" s="1"/>
  <c r="J903" i="17"/>
  <c r="O903" i="17" s="1" a="1"/>
  <c r="O903" i="17" s="1"/>
  <c r="K903" i="17"/>
  <c r="L903" i="17"/>
  <c r="M903" i="17" s="1"/>
  <c r="I904" i="17"/>
  <c r="N904" i="17" s="1" a="1"/>
  <c r="N904" i="17" s="1"/>
  <c r="J904" i="17"/>
  <c r="O904" i="17" s="1" a="1"/>
  <c r="O904" i="17" s="1"/>
  <c r="K904" i="17"/>
  <c r="L904" i="17"/>
  <c r="M904" i="17" s="1"/>
  <c r="I905" i="17"/>
  <c r="N905" i="17" s="1" a="1"/>
  <c r="N905" i="17" s="1"/>
  <c r="J905" i="17"/>
  <c r="O905" i="17" s="1" a="1"/>
  <c r="O905" i="17" s="1"/>
  <c r="K905" i="17"/>
  <c r="L905" i="17"/>
  <c r="M905" i="17" s="1"/>
  <c r="I906" i="17"/>
  <c r="N906" i="17" s="1" a="1"/>
  <c r="N906" i="17" s="1"/>
  <c r="J906" i="17"/>
  <c r="O906" i="17" s="1" a="1"/>
  <c r="O906" i="17" s="1"/>
  <c r="K906" i="17"/>
  <c r="L906" i="17"/>
  <c r="M906" i="17" s="1"/>
  <c r="I907" i="17"/>
  <c r="N907" i="17" s="1" a="1"/>
  <c r="N907" i="17" s="1"/>
  <c r="J907" i="17"/>
  <c r="O907" i="17" s="1" a="1"/>
  <c r="O907" i="17" s="1"/>
  <c r="K907" i="17"/>
  <c r="L907" i="17"/>
  <c r="M907" i="17" s="1"/>
  <c r="I908" i="17"/>
  <c r="N908" i="17" s="1" a="1"/>
  <c r="N908" i="17" s="1"/>
  <c r="J908" i="17"/>
  <c r="O908" i="17" s="1" a="1"/>
  <c r="O908" i="17" s="1"/>
  <c r="K908" i="17"/>
  <c r="L908" i="17"/>
  <c r="M908" i="17" s="1"/>
  <c r="I909" i="17"/>
  <c r="N909" i="17" s="1" a="1"/>
  <c r="N909" i="17" s="1"/>
  <c r="J909" i="17"/>
  <c r="O909" i="17" s="1" a="1"/>
  <c r="O909" i="17" s="1"/>
  <c r="K909" i="17"/>
  <c r="L909" i="17"/>
  <c r="M909" i="17" s="1"/>
  <c r="I910" i="17"/>
  <c r="N910" i="17" s="1" a="1"/>
  <c r="N910" i="17" s="1"/>
  <c r="J910" i="17"/>
  <c r="O910" i="17" s="1" a="1"/>
  <c r="O910" i="17" s="1"/>
  <c r="K910" i="17"/>
  <c r="L910" i="17"/>
  <c r="M910" i="17" s="1"/>
  <c r="I911" i="17"/>
  <c r="N911" i="17" s="1" a="1"/>
  <c r="N911" i="17" s="1"/>
  <c r="J911" i="17"/>
  <c r="O911" i="17" s="1" a="1"/>
  <c r="O911" i="17" s="1"/>
  <c r="K911" i="17"/>
  <c r="L911" i="17"/>
  <c r="M911" i="17" s="1"/>
  <c r="I912" i="17"/>
  <c r="N912" i="17" s="1" a="1"/>
  <c r="N912" i="17" s="1"/>
  <c r="J912" i="17"/>
  <c r="O912" i="17" s="1" a="1"/>
  <c r="O912" i="17" s="1"/>
  <c r="K912" i="17"/>
  <c r="L912" i="17"/>
  <c r="M912" i="17" s="1"/>
  <c r="I913" i="17"/>
  <c r="N913" i="17" s="1" a="1"/>
  <c r="N913" i="17" s="1"/>
  <c r="J913" i="17"/>
  <c r="O913" i="17" s="1" a="1"/>
  <c r="O913" i="17" s="1"/>
  <c r="K913" i="17"/>
  <c r="L913" i="17"/>
  <c r="M913" i="17" s="1"/>
  <c r="I914" i="17"/>
  <c r="N914" i="17" s="1" a="1"/>
  <c r="N914" i="17" s="1"/>
  <c r="J914" i="17"/>
  <c r="O914" i="17" s="1" a="1"/>
  <c r="O914" i="17" s="1"/>
  <c r="K914" i="17"/>
  <c r="L914" i="17"/>
  <c r="M914" i="17" s="1"/>
  <c r="I915" i="17"/>
  <c r="N915" i="17" s="1" a="1"/>
  <c r="N915" i="17" s="1"/>
  <c r="J915" i="17"/>
  <c r="O915" i="17" s="1" a="1"/>
  <c r="O915" i="17" s="1"/>
  <c r="K915" i="17"/>
  <c r="L915" i="17"/>
  <c r="M915" i="17" s="1"/>
  <c r="I916" i="17"/>
  <c r="N916" i="17" s="1" a="1"/>
  <c r="N916" i="17" s="1"/>
  <c r="J916" i="17"/>
  <c r="O916" i="17" s="1" a="1"/>
  <c r="O916" i="17" s="1"/>
  <c r="K916" i="17"/>
  <c r="L916" i="17"/>
  <c r="M916" i="17" s="1"/>
  <c r="I917" i="17"/>
  <c r="N917" i="17" s="1" a="1"/>
  <c r="N917" i="17" s="1"/>
  <c r="J917" i="17"/>
  <c r="O917" i="17" s="1" a="1"/>
  <c r="O917" i="17" s="1"/>
  <c r="K917" i="17"/>
  <c r="L917" i="17"/>
  <c r="M917" i="17" s="1"/>
  <c r="I918" i="17"/>
  <c r="N918" i="17" s="1" a="1"/>
  <c r="N918" i="17" s="1"/>
  <c r="J918" i="17"/>
  <c r="O918" i="17" s="1" a="1"/>
  <c r="O918" i="17" s="1"/>
  <c r="K918" i="17"/>
  <c r="L918" i="17"/>
  <c r="M918" i="17" s="1"/>
  <c r="I919" i="17"/>
  <c r="N919" i="17" s="1" a="1"/>
  <c r="N919" i="17" s="1"/>
  <c r="J919" i="17"/>
  <c r="O919" i="17" s="1" a="1"/>
  <c r="O919" i="17" s="1"/>
  <c r="K919" i="17"/>
  <c r="L919" i="17"/>
  <c r="M919" i="17" s="1"/>
  <c r="I920" i="17"/>
  <c r="N920" i="17" s="1" a="1"/>
  <c r="N920" i="17" s="1"/>
  <c r="J920" i="17"/>
  <c r="O920" i="17" s="1" a="1"/>
  <c r="O920" i="17" s="1"/>
  <c r="K920" i="17"/>
  <c r="L920" i="17"/>
  <c r="M920" i="17" s="1"/>
  <c r="I921" i="17"/>
  <c r="N921" i="17" s="1" a="1"/>
  <c r="N921" i="17" s="1"/>
  <c r="J921" i="17"/>
  <c r="O921" i="17" s="1" a="1"/>
  <c r="O921" i="17" s="1"/>
  <c r="K921" i="17"/>
  <c r="L921" i="17"/>
  <c r="M921" i="17" s="1"/>
  <c r="I922" i="17"/>
  <c r="N922" i="17" s="1" a="1"/>
  <c r="N922" i="17" s="1"/>
  <c r="J922" i="17"/>
  <c r="O922" i="17" s="1" a="1"/>
  <c r="O922" i="17" s="1"/>
  <c r="K922" i="17"/>
  <c r="L922" i="17"/>
  <c r="M922" i="17" s="1"/>
  <c r="I923" i="17"/>
  <c r="N923" i="17" s="1" a="1"/>
  <c r="N923" i="17" s="1"/>
  <c r="J923" i="17"/>
  <c r="O923" i="17" s="1" a="1"/>
  <c r="O923" i="17" s="1"/>
  <c r="K923" i="17"/>
  <c r="L923" i="17"/>
  <c r="M923" i="17" s="1"/>
  <c r="I924" i="17"/>
  <c r="N924" i="17" s="1" a="1"/>
  <c r="N924" i="17" s="1"/>
  <c r="J924" i="17"/>
  <c r="O924" i="17" s="1" a="1"/>
  <c r="O924" i="17" s="1"/>
  <c r="K924" i="17"/>
  <c r="L924" i="17"/>
  <c r="M924" i="17" s="1"/>
  <c r="I925" i="17"/>
  <c r="N925" i="17" s="1" a="1"/>
  <c r="N925" i="17" s="1"/>
  <c r="J925" i="17"/>
  <c r="O925" i="17" s="1" a="1"/>
  <c r="O925" i="17" s="1"/>
  <c r="K925" i="17"/>
  <c r="L925" i="17"/>
  <c r="M925" i="17" s="1"/>
  <c r="I926" i="17"/>
  <c r="N926" i="17" s="1" a="1"/>
  <c r="N926" i="17" s="1"/>
  <c r="J926" i="17"/>
  <c r="O926" i="17" s="1" a="1"/>
  <c r="O926" i="17" s="1"/>
  <c r="K926" i="17"/>
  <c r="L926" i="17"/>
  <c r="M926" i="17" s="1"/>
  <c r="I927" i="17"/>
  <c r="N927" i="17" s="1" a="1"/>
  <c r="N927" i="17" s="1"/>
  <c r="J927" i="17"/>
  <c r="O927" i="17" s="1" a="1"/>
  <c r="O927" i="17" s="1"/>
  <c r="K927" i="17"/>
  <c r="L927" i="17"/>
  <c r="M927" i="17" s="1"/>
  <c r="I928" i="17"/>
  <c r="N928" i="17" s="1" a="1"/>
  <c r="N928" i="17" s="1"/>
  <c r="J928" i="17"/>
  <c r="O928" i="17" s="1" a="1"/>
  <c r="O928" i="17" s="1"/>
  <c r="K928" i="17"/>
  <c r="L928" i="17"/>
  <c r="M928" i="17" s="1"/>
  <c r="I929" i="17"/>
  <c r="N929" i="17" s="1" a="1"/>
  <c r="N929" i="17" s="1"/>
  <c r="J929" i="17"/>
  <c r="O929" i="17" s="1" a="1"/>
  <c r="O929" i="17" s="1"/>
  <c r="K929" i="17"/>
  <c r="L929" i="17"/>
  <c r="M929" i="17" s="1"/>
  <c r="I930" i="17"/>
  <c r="N930" i="17" s="1" a="1"/>
  <c r="N930" i="17" s="1"/>
  <c r="J930" i="17"/>
  <c r="O930" i="17" s="1" a="1"/>
  <c r="O930" i="17" s="1"/>
  <c r="K930" i="17"/>
  <c r="L930" i="17"/>
  <c r="M930" i="17" s="1"/>
  <c r="I931" i="17"/>
  <c r="N931" i="17" s="1" a="1"/>
  <c r="N931" i="17" s="1"/>
  <c r="J931" i="17"/>
  <c r="O931" i="17" s="1" a="1"/>
  <c r="O931" i="17" s="1"/>
  <c r="K931" i="17"/>
  <c r="L931" i="17"/>
  <c r="M931" i="17" s="1"/>
  <c r="I932" i="17"/>
  <c r="N932" i="17" s="1" a="1"/>
  <c r="N932" i="17" s="1"/>
  <c r="J932" i="17"/>
  <c r="O932" i="17" s="1" a="1"/>
  <c r="O932" i="17" s="1"/>
  <c r="K932" i="17"/>
  <c r="L932" i="17"/>
  <c r="M932" i="17" s="1"/>
  <c r="I933" i="17"/>
  <c r="N933" i="17" s="1" a="1"/>
  <c r="N933" i="17" s="1"/>
  <c r="J933" i="17"/>
  <c r="O933" i="17" s="1" a="1"/>
  <c r="O933" i="17" s="1"/>
  <c r="K933" i="17"/>
  <c r="L933" i="17"/>
  <c r="M933" i="17" s="1"/>
  <c r="I934" i="17"/>
  <c r="N934" i="17" s="1" a="1"/>
  <c r="N934" i="17" s="1"/>
  <c r="J934" i="17"/>
  <c r="O934" i="17" s="1" a="1"/>
  <c r="O934" i="17" s="1"/>
  <c r="K934" i="17"/>
  <c r="L934" i="17"/>
  <c r="M934" i="17" s="1"/>
  <c r="I935" i="17"/>
  <c r="N935" i="17" s="1" a="1"/>
  <c r="N935" i="17" s="1"/>
  <c r="J935" i="17"/>
  <c r="O935" i="17" s="1" a="1"/>
  <c r="O935" i="17" s="1"/>
  <c r="K935" i="17"/>
  <c r="L935" i="17"/>
  <c r="M935" i="17" s="1"/>
  <c r="I936" i="17"/>
  <c r="N936" i="17" s="1" a="1"/>
  <c r="N936" i="17" s="1"/>
  <c r="J936" i="17"/>
  <c r="O936" i="17" s="1" a="1"/>
  <c r="O936" i="17" s="1"/>
  <c r="K936" i="17"/>
  <c r="L936" i="17"/>
  <c r="M936" i="17" s="1"/>
  <c r="I937" i="17"/>
  <c r="N937" i="17" s="1" a="1"/>
  <c r="N937" i="17" s="1"/>
  <c r="J937" i="17"/>
  <c r="O937" i="17" s="1" a="1"/>
  <c r="O937" i="17" s="1"/>
  <c r="K937" i="17"/>
  <c r="L937" i="17"/>
  <c r="M937" i="17" s="1"/>
  <c r="I938" i="17"/>
  <c r="N938" i="17" s="1" a="1"/>
  <c r="N938" i="17" s="1"/>
  <c r="J938" i="17"/>
  <c r="O938" i="17" s="1" a="1"/>
  <c r="O938" i="17" s="1"/>
  <c r="K938" i="17"/>
  <c r="L938" i="17"/>
  <c r="M938" i="17" s="1"/>
  <c r="I939" i="17"/>
  <c r="N939" i="17" s="1" a="1"/>
  <c r="N939" i="17" s="1"/>
  <c r="J939" i="17"/>
  <c r="O939" i="17" s="1" a="1"/>
  <c r="O939" i="17" s="1"/>
  <c r="K939" i="17"/>
  <c r="L939" i="17"/>
  <c r="M939" i="17" s="1"/>
  <c r="I940" i="17"/>
  <c r="N940" i="17" s="1" a="1"/>
  <c r="N940" i="17" s="1"/>
  <c r="J940" i="17"/>
  <c r="O940" i="17" s="1" a="1"/>
  <c r="O940" i="17" s="1"/>
  <c r="K940" i="17"/>
  <c r="L940" i="17"/>
  <c r="M940" i="17" s="1"/>
  <c r="I941" i="17"/>
  <c r="N941" i="17" s="1" a="1"/>
  <c r="N941" i="17" s="1"/>
  <c r="J941" i="17"/>
  <c r="O941" i="17" s="1" a="1"/>
  <c r="O941" i="17" s="1"/>
  <c r="K941" i="17"/>
  <c r="L941" i="17"/>
  <c r="M941" i="17" s="1"/>
  <c r="I942" i="17"/>
  <c r="N942" i="17" s="1" a="1"/>
  <c r="N942" i="17" s="1"/>
  <c r="J942" i="17"/>
  <c r="O942" i="17" s="1" a="1"/>
  <c r="O942" i="17" s="1"/>
  <c r="K942" i="17"/>
  <c r="L942" i="17"/>
  <c r="M942" i="17" s="1"/>
  <c r="I943" i="17"/>
  <c r="N943" i="17" s="1" a="1"/>
  <c r="N943" i="17" s="1"/>
  <c r="J943" i="17"/>
  <c r="O943" i="17" s="1" a="1"/>
  <c r="O943" i="17" s="1"/>
  <c r="K943" i="17"/>
  <c r="L943" i="17"/>
  <c r="M943" i="17" s="1"/>
  <c r="I944" i="17"/>
  <c r="N944" i="17" s="1" a="1"/>
  <c r="N944" i="17" s="1"/>
  <c r="J944" i="17"/>
  <c r="O944" i="17" s="1" a="1"/>
  <c r="O944" i="17" s="1"/>
  <c r="K944" i="17"/>
  <c r="L944" i="17"/>
  <c r="M944" i="17" s="1"/>
  <c r="I945" i="17"/>
  <c r="N945" i="17" s="1" a="1"/>
  <c r="N945" i="17" s="1"/>
  <c r="J945" i="17"/>
  <c r="O945" i="17" s="1" a="1"/>
  <c r="O945" i="17" s="1"/>
  <c r="K945" i="17"/>
  <c r="L945" i="17"/>
  <c r="M945" i="17" s="1"/>
  <c r="I946" i="17"/>
  <c r="N946" i="17" s="1" a="1"/>
  <c r="N946" i="17" s="1"/>
  <c r="J946" i="17"/>
  <c r="O946" i="17" s="1" a="1"/>
  <c r="O946" i="17" s="1"/>
  <c r="K946" i="17"/>
  <c r="L946" i="17"/>
  <c r="M946" i="17" s="1"/>
  <c r="I947" i="17"/>
  <c r="N947" i="17" s="1" a="1"/>
  <c r="N947" i="17" s="1"/>
  <c r="J947" i="17"/>
  <c r="O947" i="17" s="1" a="1"/>
  <c r="O947" i="17" s="1"/>
  <c r="K947" i="17"/>
  <c r="L947" i="17"/>
  <c r="M947" i="17" s="1"/>
  <c r="I948" i="17"/>
  <c r="N948" i="17" s="1" a="1"/>
  <c r="N948" i="17" s="1"/>
  <c r="J948" i="17"/>
  <c r="O948" i="17" s="1" a="1"/>
  <c r="O948" i="17" s="1"/>
  <c r="K948" i="17"/>
  <c r="L948" i="17"/>
  <c r="M948" i="17" s="1"/>
  <c r="I949" i="17"/>
  <c r="N949" i="17" s="1" a="1"/>
  <c r="N949" i="17" s="1"/>
  <c r="J949" i="17"/>
  <c r="O949" i="17" s="1" a="1"/>
  <c r="O949" i="17" s="1"/>
  <c r="K949" i="17"/>
  <c r="L949" i="17"/>
  <c r="M949" i="17" s="1"/>
  <c r="I950" i="17"/>
  <c r="N950" i="17" s="1" a="1"/>
  <c r="N950" i="17" s="1"/>
  <c r="J950" i="17"/>
  <c r="O950" i="17" s="1" a="1"/>
  <c r="O950" i="17" s="1"/>
  <c r="K950" i="17"/>
  <c r="L950" i="17"/>
  <c r="M950" i="17" s="1"/>
  <c r="I951" i="17"/>
  <c r="N951" i="17" s="1" a="1"/>
  <c r="N951" i="17" s="1"/>
  <c r="J951" i="17"/>
  <c r="O951" i="17" s="1" a="1"/>
  <c r="O951" i="17" s="1"/>
  <c r="K951" i="17"/>
  <c r="L951" i="17"/>
  <c r="M951" i="17" s="1"/>
  <c r="I952" i="17"/>
  <c r="N952" i="17" s="1" a="1"/>
  <c r="N952" i="17" s="1"/>
  <c r="J952" i="17"/>
  <c r="O952" i="17" s="1" a="1"/>
  <c r="O952" i="17" s="1"/>
  <c r="K952" i="17"/>
  <c r="L952" i="17"/>
  <c r="M952" i="17" s="1"/>
  <c r="I953" i="17"/>
  <c r="N953" i="17" s="1" a="1"/>
  <c r="N953" i="17" s="1"/>
  <c r="J953" i="17"/>
  <c r="O953" i="17" s="1" a="1"/>
  <c r="O953" i="17" s="1"/>
  <c r="K953" i="17"/>
  <c r="L953" i="17"/>
  <c r="M953" i="17" s="1"/>
  <c r="I954" i="17"/>
  <c r="N954" i="17" s="1" a="1"/>
  <c r="N954" i="17" s="1"/>
  <c r="J954" i="17"/>
  <c r="O954" i="17" s="1" a="1"/>
  <c r="O954" i="17" s="1"/>
  <c r="K954" i="17"/>
  <c r="L954" i="17"/>
  <c r="M954" i="17" s="1"/>
  <c r="I955" i="17"/>
  <c r="N955" i="17" s="1" a="1"/>
  <c r="N955" i="17" s="1"/>
  <c r="J955" i="17"/>
  <c r="O955" i="17" s="1" a="1"/>
  <c r="O955" i="17" s="1"/>
  <c r="K955" i="17"/>
  <c r="L955" i="17"/>
  <c r="M955" i="17" s="1"/>
  <c r="I956" i="17"/>
  <c r="N956" i="17" s="1" a="1"/>
  <c r="N956" i="17" s="1"/>
  <c r="J956" i="17"/>
  <c r="O956" i="17" s="1" a="1"/>
  <c r="O956" i="17" s="1"/>
  <c r="K956" i="17"/>
  <c r="L956" i="17"/>
  <c r="M956" i="17" s="1"/>
  <c r="I957" i="17"/>
  <c r="N957" i="17" s="1" a="1"/>
  <c r="N957" i="17" s="1"/>
  <c r="J957" i="17"/>
  <c r="O957" i="17" s="1" a="1"/>
  <c r="O957" i="17" s="1"/>
  <c r="K957" i="17"/>
  <c r="L957" i="17"/>
  <c r="M957" i="17" s="1"/>
  <c r="I958" i="17"/>
  <c r="N958" i="17" s="1" a="1"/>
  <c r="N958" i="17" s="1"/>
  <c r="J958" i="17"/>
  <c r="O958" i="17" s="1" a="1"/>
  <c r="O958" i="17" s="1"/>
  <c r="K958" i="17"/>
  <c r="L958" i="17"/>
  <c r="M958" i="17" s="1"/>
  <c r="I959" i="17"/>
  <c r="N959" i="17" s="1" a="1"/>
  <c r="N959" i="17" s="1"/>
  <c r="J959" i="17"/>
  <c r="O959" i="17" s="1" a="1"/>
  <c r="O959" i="17" s="1"/>
  <c r="K959" i="17"/>
  <c r="L959" i="17"/>
  <c r="M959" i="17" s="1"/>
  <c r="I960" i="17"/>
  <c r="N960" i="17" s="1" a="1"/>
  <c r="N960" i="17" s="1"/>
  <c r="J960" i="17"/>
  <c r="O960" i="17" s="1" a="1"/>
  <c r="O960" i="17" s="1"/>
  <c r="K960" i="17"/>
  <c r="L960" i="17"/>
  <c r="M960" i="17" s="1"/>
  <c r="I961" i="17"/>
  <c r="N961" i="17" s="1" a="1"/>
  <c r="N961" i="17" s="1"/>
  <c r="J961" i="17"/>
  <c r="O961" i="17" s="1" a="1"/>
  <c r="O961" i="17" s="1"/>
  <c r="K961" i="17"/>
  <c r="L961" i="17"/>
  <c r="M961" i="17" s="1"/>
  <c r="I962" i="17"/>
  <c r="N962" i="17" s="1" a="1"/>
  <c r="N962" i="17" s="1"/>
  <c r="J962" i="17"/>
  <c r="O962" i="17" s="1" a="1"/>
  <c r="O962" i="17" s="1"/>
  <c r="K962" i="17"/>
  <c r="L962" i="17"/>
  <c r="M962" i="17" s="1"/>
  <c r="I963" i="17"/>
  <c r="N963" i="17" s="1" a="1"/>
  <c r="N963" i="17" s="1"/>
  <c r="J963" i="17"/>
  <c r="O963" i="17" s="1" a="1"/>
  <c r="O963" i="17" s="1"/>
  <c r="K963" i="17"/>
  <c r="L963" i="17"/>
  <c r="M963" i="17" s="1"/>
  <c r="I964" i="17"/>
  <c r="N964" i="17" s="1" a="1"/>
  <c r="N964" i="17" s="1"/>
  <c r="J964" i="17"/>
  <c r="O964" i="17" s="1" a="1"/>
  <c r="O964" i="17" s="1"/>
  <c r="K964" i="17"/>
  <c r="L964" i="17"/>
  <c r="M964" i="17" s="1"/>
  <c r="I965" i="17"/>
  <c r="N965" i="17" s="1" a="1"/>
  <c r="N965" i="17" s="1"/>
  <c r="J965" i="17"/>
  <c r="O965" i="17" s="1" a="1"/>
  <c r="O965" i="17" s="1"/>
  <c r="K965" i="17"/>
  <c r="L965" i="17"/>
  <c r="M965" i="17" s="1"/>
  <c r="I966" i="17"/>
  <c r="N966" i="17" s="1" a="1"/>
  <c r="N966" i="17" s="1"/>
  <c r="J966" i="17"/>
  <c r="O966" i="17" s="1" a="1"/>
  <c r="O966" i="17" s="1"/>
  <c r="K966" i="17"/>
  <c r="L966" i="17"/>
  <c r="M966" i="17" s="1"/>
  <c r="I967" i="17"/>
  <c r="N967" i="17" s="1" a="1"/>
  <c r="N967" i="17" s="1"/>
  <c r="J967" i="17"/>
  <c r="O967" i="17" s="1" a="1"/>
  <c r="O967" i="17" s="1"/>
  <c r="K967" i="17"/>
  <c r="L967" i="17"/>
  <c r="M967" i="17" s="1"/>
  <c r="I968" i="17"/>
  <c r="N968" i="17" s="1" a="1"/>
  <c r="N968" i="17" s="1"/>
  <c r="J968" i="17"/>
  <c r="O968" i="17" s="1" a="1"/>
  <c r="O968" i="17" s="1"/>
  <c r="K968" i="17"/>
  <c r="L968" i="17"/>
  <c r="M968" i="17" s="1"/>
  <c r="I969" i="17"/>
  <c r="N969" i="17" s="1" a="1"/>
  <c r="N969" i="17" s="1"/>
  <c r="J969" i="17"/>
  <c r="O969" i="17" s="1" a="1"/>
  <c r="O969" i="17" s="1"/>
  <c r="K969" i="17"/>
  <c r="L969" i="17"/>
  <c r="M969" i="17" s="1"/>
  <c r="I970" i="17"/>
  <c r="N970" i="17" s="1" a="1"/>
  <c r="N970" i="17" s="1"/>
  <c r="J970" i="17"/>
  <c r="O970" i="17" s="1" a="1"/>
  <c r="O970" i="17" s="1"/>
  <c r="K970" i="17"/>
  <c r="L970" i="17"/>
  <c r="M970" i="17" s="1"/>
  <c r="I971" i="17"/>
  <c r="N971" i="17" s="1" a="1"/>
  <c r="N971" i="17" s="1"/>
  <c r="J971" i="17"/>
  <c r="O971" i="17" s="1" a="1"/>
  <c r="O971" i="17" s="1"/>
  <c r="K971" i="17"/>
  <c r="L971" i="17"/>
  <c r="M971" i="17" s="1"/>
  <c r="I972" i="17"/>
  <c r="N972" i="17" s="1" a="1"/>
  <c r="N972" i="17" s="1"/>
  <c r="J972" i="17"/>
  <c r="O972" i="17" s="1" a="1"/>
  <c r="O972" i="17" s="1"/>
  <c r="K972" i="17"/>
  <c r="L972" i="17"/>
  <c r="M972" i="17" s="1"/>
  <c r="I973" i="17"/>
  <c r="N973" i="17" s="1" a="1"/>
  <c r="N973" i="17" s="1"/>
  <c r="J973" i="17"/>
  <c r="O973" i="17" s="1" a="1"/>
  <c r="O973" i="17" s="1"/>
  <c r="K973" i="17"/>
  <c r="L973" i="17"/>
  <c r="M973" i="17" s="1"/>
  <c r="I974" i="17"/>
  <c r="N974" i="17" s="1" a="1"/>
  <c r="N974" i="17" s="1"/>
  <c r="J974" i="17"/>
  <c r="O974" i="17" s="1" a="1"/>
  <c r="O974" i="17" s="1"/>
  <c r="K974" i="17"/>
  <c r="L974" i="17"/>
  <c r="M974" i="17" s="1"/>
  <c r="I975" i="17"/>
  <c r="N975" i="17" s="1" a="1"/>
  <c r="N975" i="17" s="1"/>
  <c r="J975" i="17"/>
  <c r="O975" i="17" s="1" a="1"/>
  <c r="O975" i="17" s="1"/>
  <c r="K975" i="17"/>
  <c r="L975" i="17"/>
  <c r="M975" i="17" s="1"/>
  <c r="I976" i="17"/>
  <c r="N976" i="17" s="1" a="1"/>
  <c r="N976" i="17" s="1"/>
  <c r="J976" i="17"/>
  <c r="O976" i="17" s="1" a="1"/>
  <c r="O976" i="17" s="1"/>
  <c r="K976" i="17"/>
  <c r="L976" i="17"/>
  <c r="M976" i="17" s="1"/>
  <c r="I977" i="17"/>
  <c r="N977" i="17" s="1" a="1"/>
  <c r="N977" i="17" s="1"/>
  <c r="J977" i="17"/>
  <c r="O977" i="17" s="1" a="1"/>
  <c r="O977" i="17" s="1"/>
  <c r="K977" i="17"/>
  <c r="L977" i="17"/>
  <c r="M977" i="17" s="1"/>
  <c r="I978" i="17"/>
  <c r="N978" i="17" s="1" a="1"/>
  <c r="N978" i="17" s="1"/>
  <c r="J978" i="17"/>
  <c r="O978" i="17" s="1" a="1"/>
  <c r="O978" i="17" s="1"/>
  <c r="K978" i="17"/>
  <c r="L978" i="17"/>
  <c r="M978" i="17" s="1"/>
  <c r="I979" i="17"/>
  <c r="N979" i="17" s="1" a="1"/>
  <c r="N979" i="17" s="1"/>
  <c r="J979" i="17"/>
  <c r="O979" i="17" s="1" a="1"/>
  <c r="O979" i="17" s="1"/>
  <c r="K979" i="17"/>
  <c r="L979" i="17"/>
  <c r="M979" i="17" s="1"/>
  <c r="I980" i="17"/>
  <c r="N980" i="17" s="1" a="1"/>
  <c r="N980" i="17" s="1"/>
  <c r="J980" i="17"/>
  <c r="O980" i="17" s="1" a="1"/>
  <c r="O980" i="17" s="1"/>
  <c r="K980" i="17"/>
  <c r="L980" i="17"/>
  <c r="M980" i="17" s="1"/>
  <c r="I981" i="17"/>
  <c r="N981" i="17" s="1" a="1"/>
  <c r="N981" i="17" s="1"/>
  <c r="J981" i="17"/>
  <c r="O981" i="17" s="1" a="1"/>
  <c r="O981" i="17" s="1"/>
  <c r="K981" i="17"/>
  <c r="L981" i="17"/>
  <c r="M981" i="17" s="1"/>
  <c r="I982" i="17"/>
  <c r="N982" i="17" s="1" a="1"/>
  <c r="N982" i="17" s="1"/>
  <c r="J982" i="17"/>
  <c r="O982" i="17" s="1" a="1"/>
  <c r="O982" i="17" s="1"/>
  <c r="K982" i="17"/>
  <c r="L982" i="17"/>
  <c r="M982" i="17" s="1"/>
  <c r="I983" i="17"/>
  <c r="N983" i="17" s="1" a="1"/>
  <c r="N983" i="17" s="1"/>
  <c r="J983" i="17"/>
  <c r="O983" i="17" s="1" a="1"/>
  <c r="O983" i="17" s="1"/>
  <c r="K983" i="17"/>
  <c r="L983" i="17"/>
  <c r="M983" i="17" s="1"/>
  <c r="I984" i="17"/>
  <c r="N984" i="17" s="1" a="1"/>
  <c r="N984" i="17" s="1"/>
  <c r="J984" i="17"/>
  <c r="O984" i="17" s="1" a="1"/>
  <c r="O984" i="17" s="1"/>
  <c r="K984" i="17"/>
  <c r="L984" i="17"/>
  <c r="M984" i="17" s="1"/>
  <c r="I985" i="17"/>
  <c r="N985" i="17" s="1" a="1"/>
  <c r="N985" i="17" s="1"/>
  <c r="J985" i="17"/>
  <c r="O985" i="17" s="1" a="1"/>
  <c r="O985" i="17" s="1"/>
  <c r="K985" i="17"/>
  <c r="L985" i="17"/>
  <c r="M985" i="17" s="1"/>
  <c r="I986" i="17"/>
  <c r="N986" i="17" s="1" a="1"/>
  <c r="N986" i="17" s="1"/>
  <c r="J986" i="17"/>
  <c r="O986" i="17" s="1" a="1"/>
  <c r="O986" i="17" s="1"/>
  <c r="K986" i="17"/>
  <c r="L986" i="17"/>
  <c r="M986" i="17" s="1"/>
  <c r="I987" i="17"/>
  <c r="N987" i="17" s="1" a="1"/>
  <c r="N987" i="17" s="1"/>
  <c r="J987" i="17"/>
  <c r="O987" i="17" s="1" a="1"/>
  <c r="O987" i="17" s="1"/>
  <c r="K987" i="17"/>
  <c r="L987" i="17"/>
  <c r="M987" i="17" s="1"/>
  <c r="I988" i="17"/>
  <c r="N988" i="17" s="1" a="1"/>
  <c r="N988" i="17" s="1"/>
  <c r="J988" i="17"/>
  <c r="O988" i="17" s="1" a="1"/>
  <c r="O988" i="17" s="1"/>
  <c r="K988" i="17"/>
  <c r="L988" i="17"/>
  <c r="M988" i="17" s="1"/>
  <c r="I989" i="17"/>
  <c r="N989" i="17" s="1" a="1"/>
  <c r="N989" i="17" s="1"/>
  <c r="J989" i="17"/>
  <c r="O989" i="17" s="1" a="1"/>
  <c r="O989" i="17" s="1"/>
  <c r="K989" i="17"/>
  <c r="L989" i="17"/>
  <c r="M989" i="17" s="1"/>
  <c r="I990" i="17"/>
  <c r="N990" i="17" s="1" a="1"/>
  <c r="N990" i="17" s="1"/>
  <c r="J990" i="17"/>
  <c r="O990" i="17" s="1" a="1"/>
  <c r="O990" i="17" s="1"/>
  <c r="K990" i="17"/>
  <c r="L990" i="17"/>
  <c r="M990" i="17" s="1"/>
  <c r="I991" i="17"/>
  <c r="N991" i="17" s="1" a="1"/>
  <c r="N991" i="17" s="1"/>
  <c r="J991" i="17"/>
  <c r="O991" i="17" s="1" a="1"/>
  <c r="O991" i="17" s="1"/>
  <c r="K991" i="17"/>
  <c r="L991" i="17"/>
  <c r="M991" i="17" s="1"/>
  <c r="I992" i="17"/>
  <c r="N992" i="17" s="1" a="1"/>
  <c r="N992" i="17" s="1"/>
  <c r="J992" i="17"/>
  <c r="O992" i="17" s="1" a="1"/>
  <c r="O992" i="17" s="1"/>
  <c r="K992" i="17"/>
  <c r="L992" i="17"/>
  <c r="M992" i="17" s="1"/>
  <c r="I993" i="17"/>
  <c r="N993" i="17" s="1" a="1"/>
  <c r="N993" i="17" s="1"/>
  <c r="J993" i="17"/>
  <c r="O993" i="17" s="1" a="1"/>
  <c r="O993" i="17" s="1"/>
  <c r="K993" i="17"/>
  <c r="L993" i="17"/>
  <c r="M993" i="17" s="1"/>
  <c r="I994" i="17"/>
  <c r="N994" i="17" s="1" a="1"/>
  <c r="N994" i="17" s="1"/>
  <c r="J994" i="17"/>
  <c r="O994" i="17" s="1" a="1"/>
  <c r="O994" i="17" s="1"/>
  <c r="K994" i="17"/>
  <c r="L994" i="17"/>
  <c r="M994" i="17" s="1"/>
  <c r="I995" i="17"/>
  <c r="N995" i="17" s="1" a="1"/>
  <c r="N995" i="17" s="1"/>
  <c r="J995" i="17"/>
  <c r="O995" i="17" s="1" a="1"/>
  <c r="O995" i="17" s="1"/>
  <c r="K995" i="17"/>
  <c r="L995" i="17"/>
  <c r="M995" i="17" s="1"/>
  <c r="I996" i="17"/>
  <c r="N996" i="17" s="1" a="1"/>
  <c r="N996" i="17" s="1"/>
  <c r="J996" i="17"/>
  <c r="O996" i="17" s="1" a="1"/>
  <c r="O996" i="17" s="1"/>
  <c r="K996" i="17"/>
  <c r="L996" i="17"/>
  <c r="M996" i="17" s="1"/>
  <c r="I997" i="17"/>
  <c r="N997" i="17" s="1" a="1"/>
  <c r="N997" i="17" s="1"/>
  <c r="J997" i="17"/>
  <c r="O997" i="17" s="1" a="1"/>
  <c r="O997" i="17" s="1"/>
  <c r="K997" i="17"/>
  <c r="L997" i="17"/>
  <c r="M997" i="17" s="1"/>
  <c r="I998" i="17"/>
  <c r="N998" i="17" s="1" a="1"/>
  <c r="N998" i="17" s="1"/>
  <c r="J998" i="17"/>
  <c r="O998" i="17" s="1" a="1"/>
  <c r="O998" i="17" s="1"/>
  <c r="K998" i="17"/>
  <c r="L998" i="17"/>
  <c r="M998" i="17" s="1"/>
  <c r="I999" i="17"/>
  <c r="N999" i="17" s="1" a="1"/>
  <c r="N999" i="17" s="1"/>
  <c r="J999" i="17"/>
  <c r="O999" i="17" s="1" a="1"/>
  <c r="O999" i="17" s="1"/>
  <c r="K999" i="17"/>
  <c r="L999" i="17"/>
  <c r="M999" i="17" s="1"/>
  <c r="I1000" i="17"/>
  <c r="N1000" i="17" s="1" a="1"/>
  <c r="N1000" i="17" s="1"/>
  <c r="J1000" i="17"/>
  <c r="O1000" i="17" s="1" a="1"/>
  <c r="O1000" i="17" s="1"/>
  <c r="K1000" i="17"/>
  <c r="L1000" i="17"/>
  <c r="M1000" i="17" s="1"/>
  <c r="I1001" i="17"/>
  <c r="N1001" i="17" s="1" a="1"/>
  <c r="N1001" i="17" s="1"/>
  <c r="J1001" i="17"/>
  <c r="O1001" i="17" s="1" a="1"/>
  <c r="O1001" i="17" s="1"/>
  <c r="K1001" i="17"/>
  <c r="L1001" i="17"/>
  <c r="M1001" i="17" s="1"/>
  <c r="J2" i="17"/>
  <c r="O2" i="17" s="1" a="1"/>
  <c r="O2" i="17" s="1"/>
  <c r="K2" i="17"/>
  <c r="L2" i="17"/>
  <c r="M2" i="17" s="1"/>
  <c r="I2" i="17"/>
  <c r="N2" i="17" s="1" a="1"/>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<sst xmlns="http://schemas.openxmlformats.org/spreadsheetml/2006/main" count="11129" uniqueCount="6222">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</sst>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 ;_-[$$-409]* \-#,##0.00\ ;_-[$$-409]* &quot;-&quot;??_ ;_-@_ "/>
    <numFmt numFmtId="168" formatCode="#,##0_ ;\-#,##0\ "/>
    <numFmt numFmtId="169" formatCode="[$$-409]#,##0_ ;\-[$$-409]#,##0\ "/>
  </numFmts>
  <fonts count="4" x14ac:knownFonts="1">
    <font>
      <sz val="11"/>
      <color theme="1"/>
      <name val="Calibri"/>
      <family val="2"/>
      <scheme val="minor"/>
    </font>
    <font>
      <sz val="11"/>
      <color indexed="8"/>
      <name val="Calibri"/>
      <family val="2"/>
    </font>
    <font>
      <sz val="11"/>
      <name val="Calibri"/>
      <family val="2"/>
      <scheme val="minor"/>
    </font>
    <font>
      <sz val="11"/>
      <color theme="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1" fillId="0" borderId="0" xfId="0" applyFont="1" applyAlignment="1">
      <alignment vertical="center"/>
    </xf>
    <xf numFmtId="0" fontId="1" fillId="0" borderId="0" xfId="0" applyFont="1" applyAlignment="1">
      <alignment horizontal="center" vertical="center"/>
    </xf>
    <xf numFmtId="0" fontId="0" fillId="0" borderId="0" xfId="0" applyAlignment="1">
      <alignment horizontal="center"/>
    </xf>
    <xf numFmtId="165" fontId="1" fillId="0" borderId="0" xfId="0" applyNumberFormat="1" applyFont="1" applyAlignment="1">
      <alignment horizontal="center" vertical="center"/>
    </xf>
    <xf numFmtId="166" fontId="0" fillId="0" borderId="0" xfId="0" applyNumberFormat="1" applyAlignment="1">
      <alignment horizontal="center"/>
    </xf>
    <xf numFmtId="167" fontId="0" fillId="0" borderId="0" xfId="0" applyNumberFormat="1" applyAlignment="1">
      <alignment horizontal="center"/>
    </xf>
    <xf numFmtId="0" fontId="2" fillId="0" borderId="0" xfId="0" applyFont="1" applyAlignment="1">
      <alignment horizontal="center"/>
    </xf>
    <xf numFmtId="0" fontId="0" fillId="0" borderId="0" xfId="0" pivotButton="1"/>
    <xf numFmtId="168" fontId="0" fillId="0" borderId="0" xfId="0" applyNumberFormat="1"/>
    <xf numFmtId="169" fontId="0" fillId="0" borderId="0" xfId="0" applyNumberFormat="1"/>
    <xf numFmtId="0" fontId="3" fillId="0" borderId="0" xfId="0" applyFont="1"/>
  </cellXfs>
  <cellStyles count="1">
    <cellStyle name="Normal" xfId="0" builtinId="0"/>
  </cellStyles>
  <dxfs count="22">
    <dxf>
      <font>
        <b/>
        <i val="0"/>
        <color theme="0"/>
        <name val="Calibri"/>
        <family val="2"/>
        <scheme val="minor"/>
      </font>
    </dxf>
    <dxf>
      <font>
        <b val="0"/>
        <i val="0"/>
        <sz val="11"/>
        <color theme="0"/>
        <name val="Calibri"/>
        <family val="2"/>
        <scheme val="minor"/>
      </font>
      <fill>
        <patternFill>
          <bgColor rgb="FF82634E"/>
        </patternFill>
      </fill>
    </dxf>
    <dxf>
      <numFmt numFmtId="0" formatCode="General"/>
      <alignment horizontal="center" vertical="bottom" textRotation="0" wrapText="0" indent="0" justifyLastLine="0" shrinkToFit="0" readingOrder="0"/>
    </dxf>
    <dxf>
      <font>
        <b/>
        <i val="0"/>
        <sz val="11"/>
        <color theme="0"/>
        <name val="Calibri"/>
        <family val="2"/>
        <scheme val="minor"/>
      </font>
    </dxf>
    <dxf>
      <font>
        <b val="0"/>
        <i val="0"/>
        <sz val="11"/>
        <color theme="0"/>
        <name val="Calibri"/>
        <family val="2"/>
        <scheme val="minor"/>
      </font>
      <fill>
        <patternFill patternType="solid">
          <fgColor theme="0"/>
          <bgColor rgb="FF82634E"/>
        </patternFill>
      </fill>
      <border>
        <left style="thin">
          <color rgb="FFA17C63"/>
        </left>
        <right style="thin">
          <color rgb="FFA17C63"/>
        </right>
        <top style="thin">
          <color rgb="FFA17C63"/>
        </top>
        <bottom style="thin">
          <color rgb="FFA17C63"/>
        </bottom>
      </border>
    </dxf>
    <dxf>
      <alignment horizontal="center" vertical="bottom" textRotation="0" wrapText="0" indent="0" justifyLastLine="0" shrinkToFit="0" readingOrder="0"/>
    </dxf>
    <dxf>
      <alignment horizontal="center" vertical="bottom" textRotation="0" wrapText="0" indent="0" justifyLastLine="0" shrinkToFit="0" readingOrder="0"/>
    </dxf>
    <dxf>
      <numFmt numFmtId="167" formatCode="_-[$$-409]* #,##0.00_ ;_-[$$-409]* \-#,##0.00\ ;_-[$$-409]* &quot;-&quot;??_ ;_-@_ "/>
      <alignment horizontal="center" vertical="bottom" textRotation="0" wrapText="0" indent="0" justifyLastLine="0" shrinkToFit="0" readingOrder="0"/>
    </dxf>
    <dxf>
      <numFmt numFmtId="167" formatCode="_-[$$-409]* #,##0.00_ ;_-[$$-409]* \-#,##0.00\ ;_-[$$-409]* &quot;-&quot;??_ ;_-@_ "/>
      <alignment horizontal="center" vertical="bottom" textRotation="0" wrapText="0" indent="0" justifyLastLine="0" shrinkToFit="0" readingOrder="0"/>
    </dxf>
    <dxf>
      <numFmt numFmtId="166" formatCode="0.0\ &quot;kg&quo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s>
  <tableStyles count="2" defaultTableStyle="TableStyleMedium2" defaultPivotStyle="PivotStyleMedium9">
    <tableStyle name="Brown Timeline Style" pivot="0" table="0" count="8" xr9:uid="{1D6C695E-12F1-4549-AF71-34DBFF382AFA}">
      <tableStyleElement type="wholeTable" dxfId="4"/>
      <tableStyleElement type="headerRow" dxfId="3"/>
    </tableStyle>
    <tableStyle name="Slicer Style 1" pivot="0" table="0" count="6" xr9:uid="{9271B5CE-0E47-430E-96A7-A52E99F89BE0}">
      <tableStyleElement type="wholeTable" dxfId="1"/>
      <tableStyleElement type="headerRow" dxfId="0"/>
    </tableStyle>
  </tableStyles>
  <colors>
    <mruColors>
      <color rgb="FF69503F"/>
      <color rgb="FFC4AC9C"/>
      <color rgb="FFA7846D"/>
      <color rgb="FFA07A60"/>
      <color rgb="FFD5C5B9"/>
      <color rgb="FFEBE3DD"/>
      <color rgb="FF82634E"/>
      <color rgb="FFA17C63"/>
      <color rgb="FFB89D8A"/>
      <color rgb="FFD00000"/>
    </mruColors>
  </colors>
  <extLst>
    <ext xmlns:x14="http://schemas.microsoft.com/office/spreadsheetml/2009/9/main" uri="{46F421CA-312F-682f-3DD2-61675219B42D}">
      <x14:dxfs count="4">
        <dxf>
          <font>
            <b val="0"/>
            <i val="0"/>
            <strike/>
            <color rgb="FFEBE3DD"/>
            <name val="Calibri"/>
            <family val="2"/>
            <scheme val="minor"/>
          </font>
          <border>
            <left style="thin">
              <color theme="0"/>
            </left>
            <right style="thin">
              <color theme="0"/>
            </right>
            <top style="thin">
              <color theme="0"/>
            </top>
            <bottom style="thin">
              <color theme="0"/>
            </bottom>
          </border>
        </dxf>
        <dxf>
          <font>
            <b val="0"/>
            <i val="0"/>
            <strike/>
            <color rgb="FFEBE3DD"/>
            <name val="Calibri"/>
            <family val="2"/>
            <scheme val="minor"/>
          </font>
        </dxf>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 Style 1">
        <x14:slicerStyle name="Slicer Style 1">
          <x14:slicerStyleElements>
            <x14:slicerStyleElement type="unselectedItemWithData" dxfId="1"/>
            <x14:slicerStyleElement type="unselectedItemWithNoData" dxfId="0"/>
            <x14:slicerStyleElement type="selectedItemWithData" dxfId="3"/>
            <x14:slicerStyleElement type="selectedItemWithNoData" dxfId="2"/>
          </x14:slicerStyleElements>
        </x14:slicerStyle>
      </x14:slicerStyles>
    </ext>
    <ext xmlns:x15="http://schemas.microsoft.com/office/spreadsheetml/2010/11/main" uri="{A0A4C193-F2C1-4fcb-8827-314CF55A85BB}">
      <x15:dxfs count="6">
        <dxf>
          <fill>
            <patternFill patternType="solid">
              <fgColor theme="0" tint="-0.14996795556505021"/>
              <bgColor theme="0"/>
            </patternFill>
          </fill>
        </dxf>
        <dxf>
          <fill>
            <gradientFill type="path">
              <stop position="0">
                <color rgb="FFD5C5B9"/>
              </stop>
              <stop position="1">
                <color rgb="FF82634E"/>
              </stop>
            </gradientFill>
          </fill>
          <border>
            <left style="thin">
              <color theme="0"/>
            </left>
            <right style="thin">
              <color theme="0"/>
            </right>
            <top style="thin">
              <color theme="0"/>
            </top>
            <bottom style="thin">
              <color theme="0"/>
            </bottom>
          </border>
        </dxf>
        <dxf>
          <font>
            <b/>
            <i val="0"/>
            <sz val="9"/>
            <color theme="0"/>
            <name val="Calibri"/>
            <family val="2"/>
            <scheme val="minor"/>
          </font>
        </dxf>
        <dxf>
          <font>
            <b val="0"/>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Brown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[coffeeOrdersData.xlsx]Total_sales!TotalSales</c:name>
    <c:fmtId val="1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D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D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D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Total_sales!$C$3:$C$4</c:f>
              <c:strCache>
                <c:ptCount val="1"/>
                <c:pt idx="0">
                  <c:v>Arabica</c:v>
                </c:pt>
              </c:strCache>
            </c:strRef>
          </c:tx>
          <c:spPr>
            <a:ln w="28575" cap="rnd">
              <a:solidFill>
                <a:schemeClr val="accent1"/>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B47C-43CA-ADA2-C9407FCB8B3B}"/>
            </c:ext>
          </c:extLst>
        </c:ser>
        <c:ser>
          <c:idx val="1"/>
          <c:order val="1"/>
          <c:tx>
            <c:strRef>
              <c:f>Total_sales!$D$3:$D$4</c:f>
              <c:strCache>
                <c:ptCount val="1"/>
                <c:pt idx="0">
                  <c:v>Excelsa</c:v>
                </c:pt>
              </c:strCache>
            </c:strRef>
          </c:tx>
          <c:spPr>
            <a:ln w="28575" cap="rnd">
              <a:solidFill>
                <a:srgbClr val="D00000"/>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B47C-43CA-ADA2-C9407FCB8B3B}"/>
            </c:ext>
          </c:extLst>
        </c:ser>
        <c:ser>
          <c:idx val="2"/>
          <c:order val="2"/>
          <c:tx>
            <c:strRef>
              <c:f>Total_sales!$E$3:$E$4</c:f>
              <c:strCache>
                <c:ptCount val="1"/>
                <c:pt idx="0">
                  <c:v>Liberica</c:v>
                </c:pt>
              </c:strCache>
            </c:strRef>
          </c:tx>
          <c:spPr>
            <a:ln w="28575" cap="rnd">
              <a:solidFill>
                <a:schemeClr val="accent6">
                  <a:lumMod val="75000"/>
                </a:schemeClr>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B47C-43CA-ADA2-C9407FCB8B3B}"/>
            </c:ext>
          </c:extLst>
        </c:ser>
        <c:ser>
          <c:idx val="3"/>
          <c:order val="3"/>
          <c:tx>
            <c:strRef>
              <c:f>Total_sales!$F$3:$F$4</c:f>
              <c:strCache>
                <c:ptCount val="1"/>
                <c:pt idx="0">
                  <c:v>Robusta</c:v>
                </c:pt>
              </c:strCache>
            </c:strRef>
          </c:tx>
          <c:spPr>
            <a:ln w="28575" cap="rnd">
              <a:solidFill>
                <a:srgbClr val="FFC000"/>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B47C-43CA-ADA2-C9407FCB8B3B}"/>
            </c:ext>
          </c:extLst>
        </c:ser>
        <c:dLbls>
          <c:showLegendKey val="0"/>
          <c:showVal val="0"/>
          <c:showCatName val="0"/>
          <c:showSerName val="0"/>
          <c:showPercent val="0"/>
          <c:showBubbleSize val="0"/>
        </c:dLbls>
        <c:smooth val="0"/>
        <c:axId val="89664944"/>
        <c:axId val="2084374895"/>
      </c:lineChart>
      <c:catAx>
        <c:axId val="8966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84374895"/>
        <c:crosses val="autoZero"/>
        <c:auto val="1"/>
        <c:lblAlgn val="ctr"/>
        <c:lblOffset val="100"/>
        <c:noMultiLvlLbl val="0"/>
      </c:catAx>
      <c:valAx>
        <c:axId val="2084374895"/>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966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BE3DD"/>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chart!TotalSales</c:name>
    <c:fmtId val="18"/>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69503F"/>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07A60"/>
          </a:solidFill>
          <a:ln w="25400">
            <a:solidFill>
              <a:schemeClr val="bg1"/>
            </a:solidFill>
          </a:ln>
          <a:effectLst/>
        </c:spPr>
      </c:pivotFmt>
      <c:pivotFmt>
        <c:idx val="2"/>
        <c:spPr>
          <a:solidFill>
            <a:srgbClr val="C4AC9C"/>
          </a:solidFill>
          <a:ln w="25400">
            <a:solidFill>
              <a:schemeClr val="bg1"/>
            </a:solidFill>
          </a:ln>
          <a:effectLst/>
        </c:spPr>
      </c:pivotFmt>
      <c:pivotFmt>
        <c:idx val="3"/>
        <c:spPr>
          <a:solidFill>
            <a:srgbClr val="69503F"/>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4AC9C"/>
          </a:solidFill>
          <a:ln w="25400">
            <a:solidFill>
              <a:schemeClr val="bg1"/>
            </a:solidFill>
          </a:ln>
          <a:effectLst/>
        </c:spPr>
      </c:pivotFmt>
      <c:pivotFmt>
        <c:idx val="5"/>
        <c:spPr>
          <a:solidFill>
            <a:srgbClr val="A07A60"/>
          </a:solidFill>
          <a:ln w="25400">
            <a:solidFill>
              <a:schemeClr val="bg1"/>
            </a:solidFill>
          </a:ln>
          <a:effectLst/>
        </c:spPr>
      </c:pivotFmt>
      <c:pivotFmt>
        <c:idx val="6"/>
        <c:spPr>
          <a:solidFill>
            <a:srgbClr val="69503F"/>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4AC9C"/>
          </a:solidFill>
          <a:ln w="25400">
            <a:solidFill>
              <a:schemeClr val="bg1"/>
            </a:solidFill>
          </a:ln>
          <a:effectLst/>
        </c:spPr>
      </c:pivotFmt>
      <c:pivotFmt>
        <c:idx val="8"/>
        <c:spPr>
          <a:solidFill>
            <a:srgbClr val="A07A60"/>
          </a:solidFill>
          <a:ln w="25400">
            <a:solidFill>
              <a:schemeClr val="bg1"/>
            </a:solidFill>
          </a:ln>
          <a:effectLst/>
        </c:spPr>
      </c:pivotFmt>
    </c:pivotFmts>
    <c:plotArea>
      <c:layout/>
      <c:barChart>
        <c:barDir val="bar"/>
        <c:grouping val="clustered"/>
        <c:varyColors val="0"/>
        <c:ser>
          <c:idx val="0"/>
          <c:order val="0"/>
          <c:tx>
            <c:strRef>
              <c:f>'Country bar chart'!$B$4</c:f>
              <c:strCache>
                <c:ptCount val="1"/>
                <c:pt idx="0">
                  <c:v>Total</c:v>
                </c:pt>
              </c:strCache>
            </c:strRef>
          </c:tx>
          <c:spPr>
            <a:solidFill>
              <a:srgbClr val="69503F"/>
            </a:solidFill>
            <a:ln w="25400">
              <a:solidFill>
                <a:schemeClr val="bg1"/>
              </a:solidFill>
            </a:ln>
            <a:effectLst/>
          </c:spPr>
          <c:invertIfNegative val="0"/>
          <c:dPt>
            <c:idx val="0"/>
            <c:invertIfNegative val="0"/>
            <c:bubble3D val="0"/>
            <c:spPr>
              <a:solidFill>
                <a:srgbClr val="C4AC9C"/>
              </a:solidFill>
              <a:ln w="25400">
                <a:solidFill>
                  <a:schemeClr val="bg1"/>
                </a:solidFill>
              </a:ln>
              <a:effectLst/>
            </c:spPr>
            <c:extLst>
              <c:ext xmlns:c16="http://schemas.microsoft.com/office/drawing/2014/chart" uri="{C3380CC4-5D6E-409C-BE32-E72D297353CC}">
                <c16:uniqueId val="{00000001-195E-416E-9A29-6D2A12EAFD6C}"/>
              </c:ext>
            </c:extLst>
          </c:dPt>
          <c:dPt>
            <c:idx val="1"/>
            <c:invertIfNegative val="0"/>
            <c:bubble3D val="0"/>
            <c:spPr>
              <a:solidFill>
                <a:srgbClr val="A07A60"/>
              </a:solidFill>
              <a:ln w="25400">
                <a:solidFill>
                  <a:schemeClr val="bg1"/>
                </a:solidFill>
              </a:ln>
              <a:effectLst/>
            </c:spPr>
            <c:extLst>
              <c:ext xmlns:c16="http://schemas.microsoft.com/office/drawing/2014/chart" uri="{C3380CC4-5D6E-409C-BE32-E72D297353CC}">
                <c16:uniqueId val="{00000003-195E-416E-9A29-6D2A12EAFD6C}"/>
              </c:ext>
            </c:extLst>
          </c:dPt>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chart'!$A$5:$A$7</c:f>
              <c:strCache>
                <c:ptCount val="3"/>
                <c:pt idx="0">
                  <c:v>United Kingdom</c:v>
                </c:pt>
                <c:pt idx="1">
                  <c:v>Ireland</c:v>
                </c:pt>
                <c:pt idx="2">
                  <c:v>United States</c:v>
                </c:pt>
              </c:strCache>
            </c:strRef>
          </c:cat>
          <c:val>
            <c:numRef>
              <c:f>'Country bar chart'!$B$5:$B$7</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4-195E-416E-9A29-6D2A12EAFD6C}"/>
            </c:ext>
          </c:extLst>
        </c:ser>
        <c:dLbls>
          <c:dLblPos val="outEnd"/>
          <c:showLegendKey val="0"/>
          <c:showVal val="1"/>
          <c:showCatName val="0"/>
          <c:showSerName val="0"/>
          <c:showPercent val="0"/>
          <c:showBubbleSize val="0"/>
        </c:dLbls>
        <c:gapWidth val="182"/>
        <c:axId val="1623110143"/>
        <c:axId val="1625219855"/>
      </c:barChart>
      <c:catAx>
        <c:axId val="1623110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5219855"/>
        <c:crosses val="autoZero"/>
        <c:auto val="1"/>
        <c:lblAlgn val="ctr"/>
        <c:lblOffset val="100"/>
        <c:noMultiLvlLbl val="0"/>
      </c:catAx>
      <c:valAx>
        <c:axId val="1625219855"/>
        <c:scaling>
          <c:orientation val="minMax"/>
        </c:scaling>
        <c:delete val="0"/>
        <c:axPos val="b"/>
        <c:majorGridlines>
          <c:spPr>
            <a:ln w="9525" cap="flat" cmpd="sng" algn="ctr">
              <a:solidFill>
                <a:schemeClr val="bg1"/>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10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BE3DD"/>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customers!TotalSales</c:name>
    <c:fmtId val="19"/>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69503F"/>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07A60"/>
          </a:solidFill>
          <a:ln w="25400">
            <a:solidFill>
              <a:schemeClr val="bg1"/>
            </a:solidFill>
          </a:ln>
          <a:effectLst/>
        </c:spPr>
      </c:pivotFmt>
      <c:pivotFmt>
        <c:idx val="2"/>
        <c:spPr>
          <a:solidFill>
            <a:srgbClr val="C4AC9C"/>
          </a:solidFill>
          <a:ln w="25400">
            <a:solidFill>
              <a:schemeClr val="bg1"/>
            </a:solidFill>
          </a:ln>
          <a:effectLst/>
        </c:spPr>
      </c:pivotFmt>
      <c:pivotFmt>
        <c:idx val="3"/>
        <c:spPr>
          <a:solidFill>
            <a:srgbClr val="69503F"/>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4AC9C"/>
          </a:solidFill>
          <a:ln w="25400">
            <a:solidFill>
              <a:schemeClr val="bg1"/>
            </a:solidFill>
          </a:ln>
          <a:effectLst/>
        </c:spPr>
      </c:pivotFmt>
      <c:pivotFmt>
        <c:idx val="5"/>
        <c:spPr>
          <a:solidFill>
            <a:srgbClr val="A07A60"/>
          </a:solidFill>
          <a:ln w="25400">
            <a:solidFill>
              <a:schemeClr val="bg1"/>
            </a:solidFill>
          </a:ln>
          <a:effectLst/>
        </c:spPr>
      </c:pivotFmt>
      <c:pivotFmt>
        <c:idx val="6"/>
        <c:spPr>
          <a:solidFill>
            <a:srgbClr val="69503F"/>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9503F"/>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customers'!$B$4</c:f>
              <c:strCache>
                <c:ptCount val="1"/>
                <c:pt idx="0">
                  <c:v>Total</c:v>
                </c:pt>
              </c:strCache>
            </c:strRef>
          </c:tx>
          <c:spPr>
            <a:solidFill>
              <a:srgbClr val="69503F"/>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3D06-4B54-84D5-629B26EC660B}"/>
              </c:ext>
            </c:extLst>
          </c:dPt>
          <c:dPt>
            <c:idx val="1"/>
            <c:invertIfNegative val="0"/>
            <c:bubble3D val="0"/>
            <c:extLst>
              <c:ext xmlns:c16="http://schemas.microsoft.com/office/drawing/2014/chart" uri="{C3380CC4-5D6E-409C-BE32-E72D297353CC}">
                <c16:uniqueId val="{00000001-3D06-4B54-84D5-629B26EC660B}"/>
              </c:ext>
            </c:extLst>
          </c:dPt>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customers'!$A$5:$A$9</c:f>
              <c:strCache>
                <c:ptCount val="5"/>
                <c:pt idx="0">
                  <c:v>Don Flintiff</c:v>
                </c:pt>
                <c:pt idx="1">
                  <c:v>Nealson Cuttler</c:v>
                </c:pt>
                <c:pt idx="2">
                  <c:v>Terri Farra</c:v>
                </c:pt>
                <c:pt idx="3">
                  <c:v>Brenn Dundredge</c:v>
                </c:pt>
                <c:pt idx="4">
                  <c:v>Allis Wilmore</c:v>
                </c:pt>
              </c:strCache>
            </c:strRef>
          </c:cat>
          <c:val>
            <c:numRef>
              <c:f>'Top 5 customers'!$B$5:$B$9</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3D06-4B54-84D5-629B26EC660B}"/>
            </c:ext>
          </c:extLst>
        </c:ser>
        <c:dLbls>
          <c:dLblPos val="outEnd"/>
          <c:showLegendKey val="0"/>
          <c:showVal val="1"/>
          <c:showCatName val="0"/>
          <c:showSerName val="0"/>
          <c:showPercent val="0"/>
          <c:showBubbleSize val="0"/>
        </c:dLbls>
        <c:gapWidth val="182"/>
        <c:axId val="1623110143"/>
        <c:axId val="1625219855"/>
      </c:barChart>
      <c:catAx>
        <c:axId val="1623110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5219855"/>
        <c:crosses val="autoZero"/>
        <c:auto val="1"/>
        <c:lblAlgn val="ctr"/>
        <c:lblOffset val="100"/>
        <c:noMultiLvlLbl val="0"/>
      </c:catAx>
      <c:valAx>
        <c:axId val="1625219855"/>
        <c:scaling>
          <c:orientation val="minMax"/>
        </c:scaling>
        <c:delete val="0"/>
        <c:axPos val="b"/>
        <c:majorGridlines>
          <c:spPr>
            <a:ln w="9525" cap="flat" cmpd="sng" algn="ctr">
              <a:solidFill>
                <a:schemeClr val="bg1"/>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10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BE3DD"/>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2" name="Rectangle 1">
          <a:extLst>
            <a:ext uri="{FF2B5EF4-FFF2-40B4-BE49-F238E27FC236}">
              <a16:creationId xmlns:a16="http://schemas.microsoft.com/office/drawing/2014/main" id="{5C42CEEE-86E6-348D-021F-C44B3D563F4F}"/>
            </a:ext>
          </a:extLst>
        </xdr:cNvPr>
        <xdr:cNvSpPr/>
      </xdr:nvSpPr>
      <xdr:spPr>
        <a:xfrm>
          <a:off x="119865" y="59933"/>
          <a:ext cx="15197191" cy="719191"/>
        </a:xfrm>
        <a:prstGeom prst="rect">
          <a:avLst/>
        </a:prstGeom>
        <a:solidFill>
          <a:srgbClr val="69503F"/>
        </a:solidFill>
        <a:ln>
          <a:solidFill>
            <a:srgbClr val="69503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a:solidFill>
                <a:schemeClr val="bg1"/>
              </a:solidFill>
            </a:rPr>
            <a:t>COFFEE SALES DASHBOARD</a:t>
          </a:r>
        </a:p>
      </xdr:txBody>
    </xdr:sp>
    <xdr:clientData/>
  </xdr:twoCellAnchor>
  <xdr:twoCellAnchor>
    <xdr:from>
      <xdr:col>1</xdr:col>
      <xdr:colOff>0</xdr:colOff>
      <xdr:row>16</xdr:row>
      <xdr:rowOff>0</xdr:rowOff>
    </xdr:from>
    <xdr:to>
      <xdr:col>16</xdr:col>
      <xdr:colOff>477864</xdr:colOff>
      <xdr:row>48</xdr:row>
      <xdr:rowOff>0</xdr:rowOff>
    </xdr:to>
    <xdr:graphicFrame macro="">
      <xdr:nvGraphicFramePr>
        <xdr:cNvPr id="3" name="Chart 2">
          <a:extLst>
            <a:ext uri="{FF2B5EF4-FFF2-40B4-BE49-F238E27FC236}">
              <a16:creationId xmlns:a16="http://schemas.microsoft.com/office/drawing/2014/main" id="{5534EC2A-108F-4DE3-AAB5-644F94B9CF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511341</xdr:colOff>
      <xdr:row>15</xdr:row>
      <xdr:rowOff>1264</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CBD9BFE1-1A7F-46B8-B7E5-10D57AFD70B3}"/>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25260" y="876822"/>
              <a:ext cx="10803560" cy="169227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601979</xdr:colOff>
      <xdr:row>10</xdr:row>
      <xdr:rowOff>1</xdr:rowOff>
    </xdr:from>
    <xdr:to>
      <xdr:col>22</xdr:col>
      <xdr:colOff>360045</xdr:colOff>
      <xdr:row>15</xdr:row>
      <xdr:rowOff>7545</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B465866E-1210-4039-9E5B-96690F1759B1}"/>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1019458" y="1628385"/>
              <a:ext cx="2179765" cy="9469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8194</xdr:colOff>
      <xdr:row>9</xdr:row>
      <xdr:rowOff>128257</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6AB874DB-B854-4736-81EC-81AF970B068B}"/>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1022904" y="876822"/>
              <a:ext cx="4246167" cy="691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413385</xdr:colOff>
      <xdr:row>10</xdr:row>
      <xdr:rowOff>0</xdr:rowOff>
    </xdr:from>
    <xdr:to>
      <xdr:col>26</xdr:col>
      <xdr:colOff>8194</xdr:colOff>
      <xdr:row>15</xdr:row>
      <xdr:rowOff>771</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47719E4E-2668-45C7-8847-BB109608F39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3252563" y="1628384"/>
              <a:ext cx="2016508" cy="9402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0</xdr:colOff>
      <xdr:row>15</xdr:row>
      <xdr:rowOff>182671</xdr:rowOff>
    </xdr:from>
    <xdr:to>
      <xdr:col>26</xdr:col>
      <xdr:colOff>0</xdr:colOff>
      <xdr:row>31</xdr:row>
      <xdr:rowOff>0</xdr:rowOff>
    </xdr:to>
    <xdr:graphicFrame macro="">
      <xdr:nvGraphicFramePr>
        <xdr:cNvPr id="8" name="Chart 7">
          <a:extLst>
            <a:ext uri="{FF2B5EF4-FFF2-40B4-BE49-F238E27FC236}">
              <a16:creationId xmlns:a16="http://schemas.microsoft.com/office/drawing/2014/main" id="{7D433DE7-5A45-4964-AE81-A6E8A8A77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32</xdr:row>
      <xdr:rowOff>1</xdr:rowOff>
    </xdr:from>
    <xdr:to>
      <xdr:col>26</xdr:col>
      <xdr:colOff>0</xdr:colOff>
      <xdr:row>48</xdr:row>
      <xdr:rowOff>0</xdr:rowOff>
    </xdr:to>
    <xdr:graphicFrame macro="">
      <xdr:nvGraphicFramePr>
        <xdr:cNvPr id="9" name="Chart 8">
          <a:extLst>
            <a:ext uri="{FF2B5EF4-FFF2-40B4-BE49-F238E27FC236}">
              <a16:creationId xmlns:a16="http://schemas.microsoft.com/office/drawing/2014/main" id="{63883EAB-892C-460A-B893-4F80DE215A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6.65221064815" createdVersion="8" refreshedVersion="8" minRefreshableVersion="3" recordCount="1000" xr:uid="{2EF134E9-00F1-4A01-94EC-E08449BDF46E}">
  <cacheSource type="worksheet">
    <worksheetSource name="CoffeeOrderstable"/>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6608512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F52BC1-F8AB-409E-88FC-7B7397DF8BDA}" name="TotalSales" cacheId="1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5">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8"/>
  </dataFields>
  <chartFormats count="4">
    <chartFormat chart="12" format="8" series="1">
      <pivotArea type="data" outline="0" fieldPosition="0">
        <references count="2">
          <reference field="4294967294" count="1" selected="0">
            <x v="0"/>
          </reference>
          <reference field="13" count="1" selected="0">
            <x v="0"/>
          </reference>
        </references>
      </pivotArea>
    </chartFormat>
    <chartFormat chart="12" format="9" series="1">
      <pivotArea type="data" outline="0" fieldPosition="0">
        <references count="2">
          <reference field="4294967294" count="1" selected="0">
            <x v="0"/>
          </reference>
          <reference field="13" count="1" selected="0">
            <x v="1"/>
          </reference>
        </references>
      </pivotArea>
    </chartFormat>
    <chartFormat chart="12" format="10" series="1">
      <pivotArea type="data" outline="0" fieldPosition="0">
        <references count="2">
          <reference field="4294967294" count="1" selected="0">
            <x v="0"/>
          </reference>
          <reference field="13" count="1" selected="0">
            <x v="2"/>
          </reference>
        </references>
      </pivotArea>
    </chartFormat>
    <chartFormat chart="12"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6CF4AC-AC86-48A7-9939-2DF051E7EE28}" name="TotalSales" cacheId="1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1">
  <location ref="A4:B7"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9"/>
  </dataFields>
  <chartFormats count="3">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7" count="1" selected="0">
            <x v="1"/>
          </reference>
        </references>
      </pivotArea>
    </chartFormat>
    <chartFormat chart="18" format="8">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064D37-188C-4E4D-9313-7887943C52EB}" name="TotalSales" cacheId="1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4">
  <location ref="A4:B9"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9"/>
  </dataFields>
  <chartFormats count="3">
    <chartFormat chart="11" format="6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4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249AD6AF-7CE2-4A27-8558-C692100B8C34}" sourceName="Size">
  <pivotTables>
    <pivotTable tabId="18" name="TotalSales"/>
    <pivotTable tabId="19" name="TotalSales"/>
    <pivotTable tabId="20" name="TotalSales"/>
  </pivotTables>
  <data>
    <tabular pivotCacheId="660851293">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BDCBD01F-2557-41BE-9C95-445061E68D7B}" sourceName="Roast Type Name">
  <pivotTables>
    <pivotTable tabId="18" name="TotalSales"/>
    <pivotTable tabId="19" name="TotalSales"/>
    <pivotTable tabId="20" name="TotalSales"/>
  </pivotTables>
  <data>
    <tabular pivotCacheId="66085129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A7E1B715-DFF5-486C-BE55-800044FF7B38}" sourceName="Loyalty Card">
  <pivotTables>
    <pivotTable tabId="18" name="TotalSales"/>
    <pivotTable tabId="19" name="TotalSales"/>
    <pivotTable tabId="20" name="TotalSales"/>
  </pivotTables>
  <data>
    <tabular pivotCacheId="66085129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0DB53770-941D-40DA-B79F-2294CC3A60A1}" cache="Slicer_Size" caption="Size" columnCount="2" rowHeight="234950"/>
  <slicer name="Roast Type Name" xr10:uid="{E727B17F-C36A-4C46-9A3A-0B557EC2036C}" cache="Slicer_Roast_Type_Name" caption="Roast Type Name" columnCount="3" rowHeight="234950"/>
  <slicer name="Loyalty Card" xr10:uid="{BD285357-208C-477D-803F-7F795693705D}" cache="Slicer_Loyalty_Card" caption="Loyalty C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B0EF28-81C5-464A-A5DB-FAEBA52385BF}" name="CoffeeOrderstable" displayName="CoffeeOrderstable" ref="A1:P1001" totalsRowShown="0" headerRowDxfId="21" dataDxfId="20">
  <autoFilter ref="A1:P1001" xr:uid="{ECB0EF28-81C5-464A-A5DB-FAEBA52385BF}"/>
  <tableColumns count="16">
    <tableColumn id="1" xr3:uid="{EC801935-EE2E-43F3-B709-CDA671D1F3DF}" name="Order ID" dataDxfId="19"/>
    <tableColumn id="2" xr3:uid="{9EA57CE8-7379-44A5-8A71-7E382217EDA4}" name="Order Date" dataDxfId="18"/>
    <tableColumn id="3" xr3:uid="{D210C25F-7C69-404C-A1FE-968713BA7397}" name="Customer ID" dataDxfId="17"/>
    <tableColumn id="4" xr3:uid="{370FC088-4F91-4204-BF7B-90F30D77ADD2}" name="Product ID" dataDxfId="16"/>
    <tableColumn id="5" xr3:uid="{671FAD14-E0B8-4612-8043-DC5AB67F2C73}" name="Quantity" dataDxfId="15"/>
    <tableColumn id="6" xr3:uid="{A2D5B5FD-0B20-41AD-AE7A-416D0A0DB44F}" name="Customer Name" dataDxfId="14">
      <calculatedColumnFormula>_xlfn.XLOOKUP(C2,customers!$A$1:$A$1001,customers!$B$1:$B$1001,,0)</calculatedColumnFormula>
    </tableColumn>
    <tableColumn id="7" xr3:uid="{8FE42B84-010F-4C2C-8D0A-96D39F4383B4}" name="Email" dataDxfId="13">
      <calculatedColumnFormula>IF(_xlfn.XLOOKUP(C2,customers!$A$1:$A$1001,customers!$C$1:$C$1001,,0)=0,"", _xlfn.XLOOKUP(C2,customers!$A$1:$A$1001,customers!$C$1:$C$1001,,0))</calculatedColumnFormula>
    </tableColumn>
    <tableColumn id="8" xr3:uid="{11223C94-6DDA-42E8-AF1E-27DFFABACD33}" name="Country" dataDxfId="12">
      <calculatedColumnFormula>_xlfn.XLOOKUP(C2,customers!$A$1:$A$1001,customers!$G$1:$G$1001,,0)</calculatedColumnFormula>
    </tableColumn>
    <tableColumn id="9" xr3:uid="{330A083E-9FB7-448E-A3C1-20ECFD54A016}" name="Coffee Type" dataDxfId="11">
      <calculatedColumnFormula>INDEX(products!$A$1:$G$49,MATCH(orders!$D2,products!$A$1:$A$49,0),MATCH(orders!I$1,products!$A$1:$G$1,0))</calculatedColumnFormula>
    </tableColumn>
    <tableColumn id="10" xr3:uid="{001D9364-6528-4C24-9694-BAF75BB288CE}" name="Roast Type" dataDxfId="10">
      <calculatedColumnFormula>INDEX(products!$A$1:$G$49,MATCH(orders!$D2,products!$A$1:$A$49,0),MATCH(orders!J$1,products!$A$1:$G$1,0))</calculatedColumnFormula>
    </tableColumn>
    <tableColumn id="11" xr3:uid="{7A8AA6B8-83D7-4C99-B27F-5B0623966026}" name="Size" dataDxfId="9">
      <calculatedColumnFormula>INDEX(products!$A$1:$G$49,MATCH(orders!$D2,products!$A$1:$A$49,0),MATCH(orders!K$1,products!$A$1:$G$1,0))</calculatedColumnFormula>
    </tableColumn>
    <tableColumn id="12" xr3:uid="{9CABB571-0509-4CDE-83FB-8E499EDE14B7}" name="Unit Price" dataDxfId="8">
      <calculatedColumnFormula>INDEX(products!$A$1:$G$49,MATCH(orders!$D2,products!$A$1:$A$49,0),MATCH(orders!L$1,products!$A$1:$G$1,0))</calculatedColumnFormula>
    </tableColumn>
    <tableColumn id="13" xr3:uid="{D0A674D5-E647-40C3-900F-C29D4D10B5F5}" name="Sales" dataDxfId="7">
      <calculatedColumnFormula>L2*E2</calculatedColumnFormula>
    </tableColumn>
    <tableColumn id="14" xr3:uid="{6DB38DF6-1AFF-44ED-8BF0-50EEC728B102}" name="coffee type name" dataDxfId="6">
      <calculatedColumnFormula array="1">_xlfn.IFS(I2="Rob","Robusta",I2="Exc","Excelsa",I2="Ara","Arabica",I2="Lib","Liberica")</calculatedColumnFormula>
    </tableColumn>
    <tableColumn id="15" xr3:uid="{118D1AA4-B2E8-42F1-82F1-E0BD02C22745}" name="Roast Type Name" dataDxfId="5">
      <calculatedColumnFormula array="1">_xlfn.IFS(J2="M","Medium",J2="L","Light",J2="D","Dark")</calculatedColumnFormula>
    </tableColumn>
    <tableColumn id="16" xr3:uid="{C006CA72-9684-4830-8D75-31E94D11B7DD}" name="Loyalty Card" dataDxfId="2">
      <calculatedColumnFormula>_xlfn.XLOOKUP(CoffeeOrderstable[[#This Row],[Customer ID]],customers!$A$1:$A$1001,customers!$I$1:$I$1001,,0)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3F30AEA-FFF6-4971-A63B-81060C1A796E}" sourceName="Order Date">
  <pivotTables>
    <pivotTable tabId="18" name="TotalSales"/>
    <pivotTable tabId="19" name="TotalSales"/>
    <pivotTable tabId="20" name="TotalSales"/>
  </pivotTables>
  <state minimalRefreshVersion="6" lastRefreshVersion="6" pivotCacheId="660851293"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B1B7687-27B9-4F04-9056-1ED5161F5BE4}" cache="NativeTimeline_Order_Date" caption="Order Date" level="2" selectionLevel="2" scrollPosition="2021-03-02T00:00:00" style="Brown Timeline Styl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58CA8-3D30-4F4C-8D21-76928F8564CF}">
  <dimension ref="M1:T16"/>
  <sheetViews>
    <sheetView showGridLines="0" tabSelected="1" zoomScale="73" zoomScaleNormal="70" workbookViewId="0">
      <selection activeCell="AC14" sqref="AC14"/>
    </sheetView>
  </sheetViews>
  <sheetFormatPr defaultRowHeight="14.4" x14ac:dyDescent="0.3"/>
  <cols>
    <col min="1" max="1" width="1.77734375" customWidth="1"/>
    <col min="19" max="19" width="8.77734375" customWidth="1"/>
    <col min="23" max="23" width="8.77734375" customWidth="1"/>
  </cols>
  <sheetData>
    <row r="1" spans="13:20" ht="4.95" customHeight="1" x14ac:dyDescent="0.3"/>
    <row r="6" spans="13:20" ht="4.95" customHeight="1" x14ac:dyDescent="0.3"/>
    <row r="9" spans="13:20" x14ac:dyDescent="0.3">
      <c r="M9" s="12"/>
    </row>
    <row r="12" spans="13:20" x14ac:dyDescent="0.3">
      <c r="T12" t="s">
        <v>6221</v>
      </c>
    </row>
    <row r="16" spans="13:20" ht="7.05"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97BEB-7936-43F6-9DE5-564890B29BDB}">
  <dimension ref="A3:F48"/>
  <sheetViews>
    <sheetView topLeftCell="A4" zoomScale="94" workbookViewId="0">
      <selection activeCell="U30" sqref="U30"/>
    </sheetView>
  </sheetViews>
  <sheetFormatPr defaultRowHeight="14.4" x14ac:dyDescent="0.3"/>
  <cols>
    <col min="1" max="1" width="12.5546875" bestFit="1" customWidth="1"/>
    <col min="2" max="2" width="21.21875" bestFit="1" customWidth="1"/>
    <col min="3" max="3" width="18.21875" bestFit="1" customWidth="1"/>
    <col min="4" max="4" width="7.109375" bestFit="1" customWidth="1"/>
    <col min="5" max="5" width="7.44140625" bestFit="1" customWidth="1"/>
    <col min="6" max="6" width="7.88671875" bestFit="1" customWidth="1"/>
  </cols>
  <sheetData>
    <row r="3" spans="1:6" x14ac:dyDescent="0.3">
      <c r="A3" s="9" t="s">
        <v>6220</v>
      </c>
      <c r="C3" s="9" t="s">
        <v>6196</v>
      </c>
    </row>
    <row r="4" spans="1:6" x14ac:dyDescent="0.3">
      <c r="A4" s="9" t="s">
        <v>6214</v>
      </c>
      <c r="B4" s="9" t="s">
        <v>6215</v>
      </c>
      <c r="C4" t="s">
        <v>6216</v>
      </c>
      <c r="D4" t="s">
        <v>6217</v>
      </c>
      <c r="E4" t="s">
        <v>6218</v>
      </c>
      <c r="F4" t="s">
        <v>6219</v>
      </c>
    </row>
    <row r="5" spans="1:6" x14ac:dyDescent="0.3">
      <c r="A5" t="s">
        <v>6198</v>
      </c>
      <c r="B5" t="s">
        <v>6202</v>
      </c>
      <c r="C5" s="10">
        <v>186.85499999999999</v>
      </c>
      <c r="D5" s="10">
        <v>305.97000000000003</v>
      </c>
      <c r="E5" s="10">
        <v>213.15999999999997</v>
      </c>
      <c r="F5" s="10">
        <v>123</v>
      </c>
    </row>
    <row r="6" spans="1:6" x14ac:dyDescent="0.3">
      <c r="B6" t="s">
        <v>6203</v>
      </c>
      <c r="C6" s="10">
        <v>251.96499999999997</v>
      </c>
      <c r="D6" s="10">
        <v>129.46</v>
      </c>
      <c r="E6" s="10">
        <v>434.03999999999996</v>
      </c>
      <c r="F6" s="10">
        <v>171.93999999999997</v>
      </c>
    </row>
    <row r="7" spans="1:6" x14ac:dyDescent="0.3">
      <c r="B7" t="s">
        <v>6204</v>
      </c>
      <c r="C7" s="10">
        <v>224.94499999999999</v>
      </c>
      <c r="D7" s="10">
        <v>349.12</v>
      </c>
      <c r="E7" s="10">
        <v>321.04000000000002</v>
      </c>
      <c r="F7" s="10">
        <v>126.035</v>
      </c>
    </row>
    <row r="8" spans="1:6" x14ac:dyDescent="0.3">
      <c r="B8" t="s">
        <v>6205</v>
      </c>
      <c r="C8" s="10">
        <v>307.12</v>
      </c>
      <c r="D8" s="10">
        <v>681.07499999999993</v>
      </c>
      <c r="E8" s="10">
        <v>533.70499999999993</v>
      </c>
      <c r="F8" s="10">
        <v>158.85</v>
      </c>
    </row>
    <row r="9" spans="1:6" x14ac:dyDescent="0.3">
      <c r="B9" t="s">
        <v>6206</v>
      </c>
      <c r="C9" s="10">
        <v>53.664999999999992</v>
      </c>
      <c r="D9" s="10">
        <v>83.025000000000006</v>
      </c>
      <c r="E9" s="10">
        <v>193.83499999999998</v>
      </c>
      <c r="F9" s="10">
        <v>68.039999999999992</v>
      </c>
    </row>
    <row r="10" spans="1:6" x14ac:dyDescent="0.3">
      <c r="B10" t="s">
        <v>6207</v>
      </c>
      <c r="C10" s="10">
        <v>163.01999999999998</v>
      </c>
      <c r="D10" s="10">
        <v>678.3599999999999</v>
      </c>
      <c r="E10" s="10">
        <v>171.04500000000002</v>
      </c>
      <c r="F10" s="10">
        <v>372.255</v>
      </c>
    </row>
    <row r="11" spans="1:6" x14ac:dyDescent="0.3">
      <c r="B11" t="s">
        <v>6208</v>
      </c>
      <c r="C11" s="10">
        <v>345.02</v>
      </c>
      <c r="D11" s="10">
        <v>273.86999999999995</v>
      </c>
      <c r="E11" s="10">
        <v>184.12999999999997</v>
      </c>
      <c r="F11" s="10">
        <v>201.11499999999998</v>
      </c>
    </row>
    <row r="12" spans="1:6" x14ac:dyDescent="0.3">
      <c r="B12" t="s">
        <v>6209</v>
      </c>
      <c r="C12" s="10">
        <v>334.89</v>
      </c>
      <c r="D12" s="10">
        <v>70.95</v>
      </c>
      <c r="E12" s="10">
        <v>134.23000000000002</v>
      </c>
      <c r="F12" s="10">
        <v>166.27499999999998</v>
      </c>
    </row>
    <row r="13" spans="1:6" x14ac:dyDescent="0.3">
      <c r="B13" t="s">
        <v>6210</v>
      </c>
      <c r="C13" s="10">
        <v>178.70999999999998</v>
      </c>
      <c r="D13" s="10">
        <v>166.1</v>
      </c>
      <c r="E13" s="10">
        <v>439.30999999999995</v>
      </c>
      <c r="F13" s="10">
        <v>492.9</v>
      </c>
    </row>
    <row r="14" spans="1:6" x14ac:dyDescent="0.3">
      <c r="B14" t="s">
        <v>6211</v>
      </c>
      <c r="C14" s="10">
        <v>301.98500000000001</v>
      </c>
      <c r="D14" s="10">
        <v>153.76499999999999</v>
      </c>
      <c r="E14" s="10">
        <v>215.55499999999998</v>
      </c>
      <c r="F14" s="10">
        <v>213.66499999999999</v>
      </c>
    </row>
    <row r="15" spans="1:6" x14ac:dyDescent="0.3">
      <c r="B15" t="s">
        <v>6212</v>
      </c>
      <c r="C15" s="10">
        <v>312.83499999999998</v>
      </c>
      <c r="D15" s="10">
        <v>63.249999999999993</v>
      </c>
      <c r="E15" s="10">
        <v>350.89500000000004</v>
      </c>
      <c r="F15" s="10">
        <v>96.405000000000001</v>
      </c>
    </row>
    <row r="16" spans="1:6" x14ac:dyDescent="0.3">
      <c r="B16" t="s">
        <v>6213</v>
      </c>
      <c r="C16" s="10">
        <v>265.62</v>
      </c>
      <c r="D16" s="10">
        <v>526.51499999999987</v>
      </c>
      <c r="E16" s="10">
        <v>187.06</v>
      </c>
      <c r="F16" s="10">
        <v>210.58999999999997</v>
      </c>
    </row>
    <row r="17" spans="1:6" x14ac:dyDescent="0.3">
      <c r="A17" t="s">
        <v>6199</v>
      </c>
      <c r="B17" t="s">
        <v>6202</v>
      </c>
      <c r="C17" s="10">
        <v>47.25</v>
      </c>
      <c r="D17" s="10">
        <v>65.805000000000007</v>
      </c>
      <c r="E17" s="10">
        <v>274.67500000000001</v>
      </c>
      <c r="F17" s="10">
        <v>179.22</v>
      </c>
    </row>
    <row r="18" spans="1:6" x14ac:dyDescent="0.3">
      <c r="B18" t="s">
        <v>6203</v>
      </c>
      <c r="C18" s="10">
        <v>745.44999999999993</v>
      </c>
      <c r="D18" s="10">
        <v>428.88499999999999</v>
      </c>
      <c r="E18" s="10">
        <v>194.17499999999998</v>
      </c>
      <c r="F18" s="10">
        <v>429.82999999999993</v>
      </c>
    </row>
    <row r="19" spans="1:6" x14ac:dyDescent="0.3">
      <c r="B19" t="s">
        <v>6204</v>
      </c>
      <c r="C19" s="10">
        <v>130.47</v>
      </c>
      <c r="D19" s="10">
        <v>271.48500000000001</v>
      </c>
      <c r="E19" s="10">
        <v>281.20499999999998</v>
      </c>
      <c r="F19" s="10">
        <v>231.63000000000002</v>
      </c>
    </row>
    <row r="20" spans="1:6" x14ac:dyDescent="0.3">
      <c r="B20" t="s">
        <v>6205</v>
      </c>
      <c r="C20" s="10">
        <v>27</v>
      </c>
      <c r="D20" s="10">
        <v>347.26</v>
      </c>
      <c r="E20" s="10">
        <v>147.51</v>
      </c>
      <c r="F20" s="10">
        <v>240.04</v>
      </c>
    </row>
    <row r="21" spans="1:6" x14ac:dyDescent="0.3">
      <c r="B21" t="s">
        <v>6206</v>
      </c>
      <c r="C21" s="10">
        <v>255.11499999999995</v>
      </c>
      <c r="D21" s="10">
        <v>541.73</v>
      </c>
      <c r="E21" s="10">
        <v>83.43</v>
      </c>
      <c r="F21" s="10">
        <v>59.079999999999991</v>
      </c>
    </row>
    <row r="22" spans="1:6" x14ac:dyDescent="0.3">
      <c r="B22" t="s">
        <v>6207</v>
      </c>
      <c r="C22" s="10">
        <v>584.78999999999985</v>
      </c>
      <c r="D22" s="10">
        <v>357.42999999999995</v>
      </c>
      <c r="E22" s="10">
        <v>355.34</v>
      </c>
      <c r="F22" s="10">
        <v>140.88</v>
      </c>
    </row>
    <row r="23" spans="1:6" x14ac:dyDescent="0.3">
      <c r="B23" t="s">
        <v>6208</v>
      </c>
      <c r="C23" s="10">
        <v>430.62</v>
      </c>
      <c r="D23" s="10">
        <v>227.42500000000001</v>
      </c>
      <c r="E23" s="10">
        <v>236.315</v>
      </c>
      <c r="F23" s="10">
        <v>414.58499999999992</v>
      </c>
    </row>
    <row r="24" spans="1:6" x14ac:dyDescent="0.3">
      <c r="B24" t="s">
        <v>6209</v>
      </c>
      <c r="C24" s="10">
        <v>22.5</v>
      </c>
      <c r="D24" s="10">
        <v>77.72</v>
      </c>
      <c r="E24" s="10">
        <v>60.5</v>
      </c>
      <c r="F24" s="10">
        <v>139.67999999999998</v>
      </c>
    </row>
    <row r="25" spans="1:6" x14ac:dyDescent="0.3">
      <c r="B25" t="s">
        <v>6210</v>
      </c>
      <c r="C25" s="10">
        <v>126.14999999999999</v>
      </c>
      <c r="D25" s="10">
        <v>195.11</v>
      </c>
      <c r="E25" s="10">
        <v>89.13</v>
      </c>
      <c r="F25" s="10">
        <v>302.65999999999997</v>
      </c>
    </row>
    <row r="26" spans="1:6" x14ac:dyDescent="0.3">
      <c r="B26" t="s">
        <v>6211</v>
      </c>
      <c r="C26" s="10">
        <v>376.03</v>
      </c>
      <c r="D26" s="10">
        <v>523.24</v>
      </c>
      <c r="E26" s="10">
        <v>440.96499999999997</v>
      </c>
      <c r="F26" s="10">
        <v>174.46999999999997</v>
      </c>
    </row>
    <row r="27" spans="1:6" x14ac:dyDescent="0.3">
      <c r="B27" t="s">
        <v>6212</v>
      </c>
      <c r="C27" s="10">
        <v>515.17999999999995</v>
      </c>
      <c r="D27" s="10">
        <v>142.56</v>
      </c>
      <c r="E27" s="10">
        <v>347.03999999999996</v>
      </c>
      <c r="F27" s="10">
        <v>104.08499999999999</v>
      </c>
    </row>
    <row r="28" spans="1:6" x14ac:dyDescent="0.3">
      <c r="B28" t="s">
        <v>6213</v>
      </c>
      <c r="C28" s="10">
        <v>95.859999999999985</v>
      </c>
      <c r="D28" s="10">
        <v>484.76</v>
      </c>
      <c r="E28" s="10">
        <v>94.17</v>
      </c>
      <c r="F28" s="10">
        <v>77.10499999999999</v>
      </c>
    </row>
    <row r="29" spans="1:6" x14ac:dyDescent="0.3">
      <c r="A29" t="s">
        <v>6200</v>
      </c>
      <c r="B29" t="s">
        <v>6202</v>
      </c>
      <c r="C29" s="10">
        <v>258.34500000000003</v>
      </c>
      <c r="D29" s="10">
        <v>139.625</v>
      </c>
      <c r="E29" s="10">
        <v>279.52000000000004</v>
      </c>
      <c r="F29" s="10">
        <v>160.19499999999999</v>
      </c>
    </row>
    <row r="30" spans="1:6" x14ac:dyDescent="0.3">
      <c r="B30" t="s">
        <v>6203</v>
      </c>
      <c r="C30" s="10">
        <v>342.2</v>
      </c>
      <c r="D30" s="10">
        <v>284.24999999999994</v>
      </c>
      <c r="E30" s="10">
        <v>251.83</v>
      </c>
      <c r="F30" s="10">
        <v>80.550000000000011</v>
      </c>
    </row>
    <row r="31" spans="1:6" x14ac:dyDescent="0.3">
      <c r="B31" t="s">
        <v>6204</v>
      </c>
      <c r="C31" s="10">
        <v>418.30499999999989</v>
      </c>
      <c r="D31" s="10">
        <v>468.125</v>
      </c>
      <c r="E31" s="10">
        <v>405.05500000000006</v>
      </c>
      <c r="F31" s="10">
        <v>253.15499999999997</v>
      </c>
    </row>
    <row r="32" spans="1:6" x14ac:dyDescent="0.3">
      <c r="B32" t="s">
        <v>6205</v>
      </c>
      <c r="C32" s="10">
        <v>102.32999999999998</v>
      </c>
      <c r="D32" s="10">
        <v>242.14000000000001</v>
      </c>
      <c r="E32" s="10">
        <v>554.875</v>
      </c>
      <c r="F32" s="10">
        <v>106.23999999999998</v>
      </c>
    </row>
    <row r="33" spans="1:6" x14ac:dyDescent="0.3">
      <c r="B33" t="s">
        <v>6206</v>
      </c>
      <c r="C33" s="10">
        <v>234.71999999999997</v>
      </c>
      <c r="D33" s="10">
        <v>133.08000000000001</v>
      </c>
      <c r="E33" s="10">
        <v>267.2</v>
      </c>
      <c r="F33" s="10">
        <v>272.68999999999994</v>
      </c>
    </row>
    <row r="34" spans="1:6" x14ac:dyDescent="0.3">
      <c r="B34" t="s">
        <v>6207</v>
      </c>
      <c r="C34" s="10">
        <v>430.39</v>
      </c>
      <c r="D34" s="10">
        <v>136.20500000000001</v>
      </c>
      <c r="E34" s="10">
        <v>209.6</v>
      </c>
      <c r="F34" s="10">
        <v>88.334999999999994</v>
      </c>
    </row>
    <row r="35" spans="1:6" x14ac:dyDescent="0.3">
      <c r="B35" t="s">
        <v>6208</v>
      </c>
      <c r="C35" s="10">
        <v>109.005</v>
      </c>
      <c r="D35" s="10">
        <v>393.57499999999999</v>
      </c>
      <c r="E35" s="10">
        <v>61.034999999999997</v>
      </c>
      <c r="F35" s="10">
        <v>199.48999999999998</v>
      </c>
    </row>
    <row r="36" spans="1:6" x14ac:dyDescent="0.3">
      <c r="B36" t="s">
        <v>6209</v>
      </c>
      <c r="C36" s="10">
        <v>287.52499999999998</v>
      </c>
      <c r="D36" s="10">
        <v>288.67</v>
      </c>
      <c r="E36" s="10">
        <v>125.58</v>
      </c>
      <c r="F36" s="10">
        <v>374.13499999999999</v>
      </c>
    </row>
    <row r="37" spans="1:6" x14ac:dyDescent="0.3">
      <c r="B37" t="s">
        <v>6210</v>
      </c>
      <c r="C37" s="10">
        <v>840.92999999999984</v>
      </c>
      <c r="D37" s="10">
        <v>409.875</v>
      </c>
      <c r="E37" s="10">
        <v>171.32999999999998</v>
      </c>
      <c r="F37" s="10">
        <v>221.43999999999997</v>
      </c>
    </row>
    <row r="38" spans="1:6" x14ac:dyDescent="0.3">
      <c r="B38" t="s">
        <v>6211</v>
      </c>
      <c r="C38" s="10">
        <v>299.07</v>
      </c>
      <c r="D38" s="10">
        <v>260.32499999999999</v>
      </c>
      <c r="E38" s="10">
        <v>584.64</v>
      </c>
      <c r="F38" s="10">
        <v>256.36500000000001</v>
      </c>
    </row>
    <row r="39" spans="1:6" x14ac:dyDescent="0.3">
      <c r="B39" t="s">
        <v>6212</v>
      </c>
      <c r="C39" s="10">
        <v>323.32499999999999</v>
      </c>
      <c r="D39" s="10">
        <v>565.57000000000005</v>
      </c>
      <c r="E39" s="10">
        <v>537.80999999999995</v>
      </c>
      <c r="F39" s="10">
        <v>189.47499999999999</v>
      </c>
    </row>
    <row r="40" spans="1:6" x14ac:dyDescent="0.3">
      <c r="B40" t="s">
        <v>6213</v>
      </c>
      <c r="C40" s="10">
        <v>399.48499999999996</v>
      </c>
      <c r="D40" s="10">
        <v>148.19999999999999</v>
      </c>
      <c r="E40" s="10">
        <v>388.21999999999997</v>
      </c>
      <c r="F40" s="10">
        <v>212.07499999999999</v>
      </c>
    </row>
    <row r="41" spans="1:6" x14ac:dyDescent="0.3">
      <c r="A41" t="s">
        <v>6201</v>
      </c>
      <c r="B41" t="s">
        <v>6202</v>
      </c>
      <c r="C41" s="10">
        <v>112.69499999999999</v>
      </c>
      <c r="D41" s="10">
        <v>166.32</v>
      </c>
      <c r="E41" s="10">
        <v>843.71499999999992</v>
      </c>
      <c r="F41" s="10">
        <v>146.685</v>
      </c>
    </row>
    <row r="42" spans="1:6" x14ac:dyDescent="0.3">
      <c r="B42" t="s">
        <v>6203</v>
      </c>
      <c r="C42" s="10">
        <v>114.87999999999998</v>
      </c>
      <c r="D42" s="10">
        <v>133.815</v>
      </c>
      <c r="E42" s="10">
        <v>91.175000000000011</v>
      </c>
      <c r="F42" s="10">
        <v>53.759999999999991</v>
      </c>
    </row>
    <row r="43" spans="1:6" x14ac:dyDescent="0.3">
      <c r="B43" t="s">
        <v>6204</v>
      </c>
      <c r="C43" s="10">
        <v>277.76</v>
      </c>
      <c r="D43" s="10">
        <v>175.41</v>
      </c>
      <c r="E43" s="10">
        <v>462.50999999999993</v>
      </c>
      <c r="F43" s="10">
        <v>399.52499999999998</v>
      </c>
    </row>
    <row r="44" spans="1:6" x14ac:dyDescent="0.3">
      <c r="B44" t="s">
        <v>6205</v>
      </c>
      <c r="C44" s="10">
        <v>197.89499999999998</v>
      </c>
      <c r="D44" s="10">
        <v>289.755</v>
      </c>
      <c r="E44" s="10">
        <v>88.545000000000002</v>
      </c>
      <c r="F44" s="10">
        <v>200.25499999999997</v>
      </c>
    </row>
    <row r="45" spans="1:6" x14ac:dyDescent="0.3">
      <c r="B45" t="s">
        <v>6206</v>
      </c>
      <c r="C45" s="10">
        <v>193.11499999999998</v>
      </c>
      <c r="D45" s="10">
        <v>212.49499999999998</v>
      </c>
      <c r="E45" s="10">
        <v>292.29000000000002</v>
      </c>
      <c r="F45" s="10">
        <v>304.46999999999997</v>
      </c>
    </row>
    <row r="46" spans="1:6" x14ac:dyDescent="0.3">
      <c r="B46" t="s">
        <v>6207</v>
      </c>
      <c r="C46" s="10">
        <v>179.79</v>
      </c>
      <c r="D46" s="10">
        <v>426.2</v>
      </c>
      <c r="E46" s="10">
        <v>170.08999999999997</v>
      </c>
      <c r="F46" s="10">
        <v>379.31</v>
      </c>
    </row>
    <row r="47" spans="1:6" x14ac:dyDescent="0.3">
      <c r="B47" t="s">
        <v>6208</v>
      </c>
      <c r="C47" s="10">
        <v>247.28999999999996</v>
      </c>
      <c r="D47" s="10">
        <v>246.685</v>
      </c>
      <c r="E47" s="10">
        <v>271.05499999999995</v>
      </c>
      <c r="F47" s="10">
        <v>141.69999999999999</v>
      </c>
    </row>
    <row r="48" spans="1:6" x14ac:dyDescent="0.3">
      <c r="B48" t="s">
        <v>6209</v>
      </c>
      <c r="C48" s="10">
        <v>116.39499999999998</v>
      </c>
      <c r="D48" s="10">
        <v>41.25</v>
      </c>
      <c r="E48" s="10">
        <v>15.54</v>
      </c>
      <c r="F48" s="10">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0FBFD-B49C-4F28-984F-09DD44752027}">
  <dimension ref="A4:B7"/>
  <sheetViews>
    <sheetView zoomScale="127" workbookViewId="0">
      <selection activeCell="N15" sqref="N15"/>
    </sheetView>
  </sheetViews>
  <sheetFormatPr defaultRowHeight="14.4" x14ac:dyDescent="0.3"/>
  <cols>
    <col min="1" max="1" width="14" bestFit="1" customWidth="1"/>
    <col min="2" max="2" width="11.6640625" bestFit="1" customWidth="1"/>
    <col min="3" max="3" width="6.77734375" bestFit="1" customWidth="1"/>
    <col min="4" max="13" width="7.21875" bestFit="1" customWidth="1"/>
    <col min="14" max="49" width="28.5546875" bestFit="1" customWidth="1"/>
  </cols>
  <sheetData>
    <row r="4" spans="1:2" x14ac:dyDescent="0.3">
      <c r="A4" s="9" t="s">
        <v>7</v>
      </c>
      <c r="B4" t="s">
        <v>6220</v>
      </c>
    </row>
    <row r="5" spans="1:2" x14ac:dyDescent="0.3">
      <c r="A5" t="s">
        <v>28</v>
      </c>
      <c r="B5" s="11">
        <v>2798.5050000000001</v>
      </c>
    </row>
    <row r="6" spans="1:2" x14ac:dyDescent="0.3">
      <c r="A6" t="s">
        <v>318</v>
      </c>
      <c r="B6" s="11">
        <v>6696.8649999999989</v>
      </c>
    </row>
    <row r="7" spans="1:2" x14ac:dyDescent="0.3">
      <c r="A7" t="s">
        <v>19</v>
      </c>
      <c r="B7" s="11">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2137B-52EA-4253-99F2-AE01956136D7}">
  <dimension ref="A4:B9"/>
  <sheetViews>
    <sheetView zoomScale="88" workbookViewId="0">
      <selection activeCell="L31" sqref="L31"/>
    </sheetView>
  </sheetViews>
  <sheetFormatPr defaultRowHeight="14.4" x14ac:dyDescent="0.3"/>
  <cols>
    <col min="1" max="1" width="17.33203125" bestFit="1" customWidth="1"/>
    <col min="2" max="2" width="11.77734375" bestFit="1" customWidth="1"/>
    <col min="3" max="3" width="6.77734375" bestFit="1" customWidth="1"/>
    <col min="4" max="13" width="7.21875" bestFit="1" customWidth="1"/>
    <col min="14" max="49" width="28.5546875" bestFit="1" customWidth="1"/>
  </cols>
  <sheetData>
    <row r="4" spans="1:2" x14ac:dyDescent="0.3">
      <c r="A4" s="9" t="s">
        <v>4</v>
      </c>
      <c r="B4" t="s">
        <v>6220</v>
      </c>
    </row>
    <row r="5" spans="1:2" x14ac:dyDescent="0.3">
      <c r="A5" t="s">
        <v>3753</v>
      </c>
      <c r="B5" s="11">
        <v>278.01</v>
      </c>
    </row>
    <row r="6" spans="1:2" x14ac:dyDescent="0.3">
      <c r="A6" t="s">
        <v>1598</v>
      </c>
      <c r="B6" s="11">
        <v>281.67499999999995</v>
      </c>
    </row>
    <row r="7" spans="1:2" x14ac:dyDescent="0.3">
      <c r="A7" t="s">
        <v>2587</v>
      </c>
      <c r="B7" s="11">
        <v>289.11</v>
      </c>
    </row>
    <row r="8" spans="1:2" x14ac:dyDescent="0.3">
      <c r="A8" t="s">
        <v>5765</v>
      </c>
      <c r="B8" s="11">
        <v>307.04499999999996</v>
      </c>
    </row>
    <row r="9" spans="1:2" x14ac:dyDescent="0.3">
      <c r="A9" t="s">
        <v>5114</v>
      </c>
      <c r="B9" s="11">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85" zoomScaleNormal="85" workbookViewId="0">
      <selection activeCell="Q5" sqref="Q5"/>
    </sheetView>
  </sheetViews>
  <sheetFormatPr defaultRowHeight="14.4" x14ac:dyDescent="0.3"/>
  <cols>
    <col min="1" max="1" width="15.33203125" style="4" bestFit="1" customWidth="1"/>
    <col min="2" max="2" width="14.5546875" style="4" bestFit="1" customWidth="1"/>
    <col min="3" max="3" width="16.21875" style="4" bestFit="1" customWidth="1"/>
    <col min="4" max="4" width="14.33203125" style="4" bestFit="1" customWidth="1"/>
    <col min="5" max="5" width="12.77734375" style="4" bestFit="1" customWidth="1"/>
    <col min="6" max="6" width="22.44140625" style="4" bestFit="1" customWidth="1"/>
    <col min="7" max="7" width="36.5546875" style="4" bestFit="1" customWidth="1"/>
    <col min="8" max="8" width="15.6640625" style="4" bestFit="1" customWidth="1"/>
    <col min="9" max="9" width="15.5546875" style="4" bestFit="1" customWidth="1"/>
    <col min="10" max="10" width="14.6640625" style="4" bestFit="1" customWidth="1"/>
    <col min="11" max="11" width="8.6640625" style="4" bestFit="1" customWidth="1"/>
    <col min="12" max="12" width="13.5546875" style="4" bestFit="1" customWidth="1"/>
    <col min="13" max="13" width="9.6640625" style="4" bestFit="1" customWidth="1"/>
    <col min="14" max="14" width="20.33203125" style="4" bestFit="1" customWidth="1"/>
    <col min="15" max="15" width="21.77734375" style="4" bestFit="1" customWidth="1"/>
    <col min="16" max="16" width="17.21875" style="4" bestFit="1" customWidth="1"/>
    <col min="17" max="16384" width="8.88671875" style="4"/>
  </cols>
  <sheetData>
    <row r="1" spans="1:16" x14ac:dyDescent="0.3">
      <c r="A1" s="3" t="s">
        <v>0</v>
      </c>
      <c r="B1" s="3" t="s">
        <v>1</v>
      </c>
      <c r="C1" s="3" t="s">
        <v>3</v>
      </c>
      <c r="D1" s="3" t="s">
        <v>11</v>
      </c>
      <c r="E1" s="3" t="s">
        <v>14</v>
      </c>
      <c r="F1" s="3" t="s">
        <v>4</v>
      </c>
      <c r="G1" s="3" t="s">
        <v>2</v>
      </c>
      <c r="H1" s="3" t="s">
        <v>7</v>
      </c>
      <c r="I1" s="3" t="s">
        <v>9</v>
      </c>
      <c r="J1" s="3" t="s">
        <v>10</v>
      </c>
      <c r="K1" s="3" t="s">
        <v>12</v>
      </c>
      <c r="L1" s="3" t="s">
        <v>13</v>
      </c>
      <c r="M1" s="3" t="s">
        <v>15</v>
      </c>
      <c r="N1" s="3" t="s">
        <v>6196</v>
      </c>
      <c r="O1" s="8" t="s">
        <v>6197</v>
      </c>
      <c r="P1" s="3" t="s">
        <v>6189</v>
      </c>
    </row>
    <row r="2" spans="1:16" x14ac:dyDescent="0.3">
      <c r="A2" s="3" t="s">
        <v>490</v>
      </c>
      <c r="B2" s="5">
        <v>43713</v>
      </c>
      <c r="C2" s="3" t="s">
        <v>491</v>
      </c>
      <c r="D2" s="4" t="s">
        <v>6138</v>
      </c>
      <c r="E2" s="3">
        <v>2</v>
      </c>
      <c r="F2" s="3" t="str">
        <f>_xlfn.XLOOKUP(C2,customers!$A$1:$A$1001,customers!$B$1:$B$1001,,0)</f>
        <v>Aloisia Allner</v>
      </c>
      <c r="G2" s="3" t="str">
        <f>IF(_xlfn.XLOOKUP(C2,customers!$A$1:$A$1001,customers!$C$1:$C$1001,,0)=0,"", _xlfn.XLOOKUP(C2,customers!$A$1:$A$1001,customers!$C$1:$C$1001,,0))</f>
        <v>aallner0@lulu.com</v>
      </c>
      <c r="H2" s="3" t="str">
        <f>_xlfn.XLOOKUP(C2,customers!$A$1:$A$1001,customers!$G$1:$G$1001,,0)</f>
        <v>United States</v>
      </c>
      <c r="I2" s="4" t="str">
        <f>INDEX(products!$A$1:$G$49,MATCH(orders!$D2,products!$A$1:$A$49,0),MATCH(orders!I$1,products!$A$1:$G$1,0))</f>
        <v>Rob</v>
      </c>
      <c r="J2" s="4" t="str">
        <f>INDEX(products!$A$1:$G$49,MATCH(orders!$D2,products!$A$1:$A$49,0),MATCH(orders!J$1,products!$A$1:$G$1,0))</f>
        <v>M</v>
      </c>
      <c r="K2" s="6">
        <f>INDEX(products!$A$1:$G$49,MATCH(orders!$D2,products!$A$1:$A$49,0),MATCH(orders!K$1,products!$A$1:$G$1,0))</f>
        <v>1</v>
      </c>
      <c r="L2" s="7">
        <f>INDEX(products!$A$1:$G$49,MATCH(orders!$D2,products!$A$1:$A$49,0),MATCH(orders!L$1,products!$A$1:$G$1,0))</f>
        <v>9.9499999999999993</v>
      </c>
      <c r="M2" s="7">
        <f>L2*E2</f>
        <v>19.899999999999999</v>
      </c>
      <c r="N2" s="4" t="str" cm="1">
        <f t="array" ref="N2">_xlfn.IFS(I2="Rob","Robusta",I2="Exc","Excelsa",I2="Ara","Arabica",I2="Lib","Liberica")</f>
        <v>Robusta</v>
      </c>
      <c r="O2" s="4" t="str" cm="1">
        <f t="array" ref="O2">_xlfn.IFS(J2="M","Medium",J2="L","Light",J2="D","Dark")</f>
        <v>Medium</v>
      </c>
      <c r="P2" s="4" t="str">
        <f>_xlfn.XLOOKUP(CoffeeOrderstable[[#This Row],[Customer ID]],customers!$A$1:$A$1001,customers!$I$1:$I$1001,,0)</f>
        <v>Yes</v>
      </c>
    </row>
    <row r="3" spans="1:16" x14ac:dyDescent="0.3">
      <c r="A3" s="3" t="s">
        <v>490</v>
      </c>
      <c r="B3" s="5">
        <v>43713</v>
      </c>
      <c r="C3" s="3" t="s">
        <v>491</v>
      </c>
      <c r="D3" s="4" t="s">
        <v>6139</v>
      </c>
      <c r="E3" s="3">
        <v>5</v>
      </c>
      <c r="F3" s="3" t="str">
        <f>_xlfn.XLOOKUP(C3,customers!$A$1:$A$1001,customers!$B$1:$B$1001,,0)</f>
        <v>Aloisia Allner</v>
      </c>
      <c r="G3" s="3" t="str">
        <f>IF(_xlfn.XLOOKUP(C3,customers!$A$1:$A$1001,customers!$C$1:$C$1001,,0)=0,"", _xlfn.XLOOKUP(C3,customers!$A$1:$A$1001,customers!$C$1:$C$1001,,0))</f>
        <v>aallner0@lulu.com</v>
      </c>
      <c r="H3" s="3" t="str">
        <f>_xlfn.XLOOKUP(C3,customers!$A$1:$A$1001,customers!$G$1:$G$1001,,0)</f>
        <v>United States</v>
      </c>
      <c r="I3" s="4" t="str">
        <f>INDEX(products!$A$1:$G$49,MATCH(orders!$D3,products!$A$1:$A$49,0),MATCH(orders!I$1,products!$A$1:$G$1,0))</f>
        <v>Exc</v>
      </c>
      <c r="J3" s="4" t="str">
        <f>INDEX(products!$A$1:$G$49,MATCH(orders!$D3,products!$A$1:$A$49,0),MATCH(orders!J$1,products!$A$1:$G$1,0))</f>
        <v>M</v>
      </c>
      <c r="K3" s="6">
        <f>INDEX(products!$A$1:$G$49,MATCH(orders!$D3,products!$A$1:$A$49,0),MATCH(orders!K$1,products!$A$1:$G$1,0))</f>
        <v>0.5</v>
      </c>
      <c r="L3" s="7">
        <f>INDEX(products!$A$1:$G$49,MATCH(orders!$D3,products!$A$1:$A$49,0),MATCH(orders!L$1,products!$A$1:$G$1,0))</f>
        <v>8.25</v>
      </c>
      <c r="M3" s="7">
        <f t="shared" ref="M3:M66" si="0">L3*E3</f>
        <v>41.25</v>
      </c>
      <c r="N3" s="4" t="str" cm="1">
        <f t="array" ref="N3">_xlfn.IFS(I3="Rob","Robusta",I3="Exc","Excelsa",I3="Ara","Arabica",I3="Lib","Liberica")</f>
        <v>Excelsa</v>
      </c>
      <c r="O3" s="4" t="str" cm="1">
        <f t="array" ref="O3">_xlfn.IFS(J3="M","Medium",J3="L","Light",J3="D","Dark")</f>
        <v>Medium</v>
      </c>
      <c r="P3" s="4" t="str">
        <f>_xlfn.XLOOKUP(CoffeeOrderstable[[#This Row],[Customer ID]],customers!$A$1:$A$1001,customers!$I$1:$I$1001,,0)</f>
        <v>Yes</v>
      </c>
    </row>
    <row r="4" spans="1:16" x14ac:dyDescent="0.3">
      <c r="A4" s="3" t="s">
        <v>501</v>
      </c>
      <c r="B4" s="5">
        <v>44364</v>
      </c>
      <c r="C4" s="3" t="s">
        <v>502</v>
      </c>
      <c r="D4" s="4" t="s">
        <v>6140</v>
      </c>
      <c r="E4" s="3">
        <v>1</v>
      </c>
      <c r="F4" s="3" t="str">
        <f>_xlfn.XLOOKUP(C4,customers!$A$1:$A$1001,customers!$B$1:$B$1001,,0)</f>
        <v>Jami Redholes</v>
      </c>
      <c r="G4" s="3" t="str">
        <f>IF(_xlfn.XLOOKUP(C4,customers!$A$1:$A$1001,customers!$C$1:$C$1001,,0)=0,"", _xlfn.XLOOKUP(C4,customers!$A$1:$A$1001,customers!$C$1:$C$1001,,0))</f>
        <v>jredholes2@tmall.com</v>
      </c>
      <c r="H4" s="3" t="str">
        <f>_xlfn.XLOOKUP(C4,customers!$A$1:$A$1001,customers!$G$1:$G$1001,,0)</f>
        <v>United States</v>
      </c>
      <c r="I4" s="4" t="str">
        <f>INDEX(products!$A$1:$G$49,MATCH(orders!$D4,products!$A$1:$A$49,0),MATCH(orders!I$1,products!$A$1:$G$1,0))</f>
        <v>Ara</v>
      </c>
      <c r="J4" s="4" t="str">
        <f>INDEX(products!$A$1:$G$49,MATCH(orders!$D4,products!$A$1:$A$49,0),MATCH(orders!J$1,products!$A$1:$G$1,0))</f>
        <v>L</v>
      </c>
      <c r="K4" s="6">
        <f>INDEX(products!$A$1:$G$49,MATCH(orders!$D4,products!$A$1:$A$49,0),MATCH(orders!K$1,products!$A$1:$G$1,0))</f>
        <v>1</v>
      </c>
      <c r="L4" s="7">
        <f>INDEX(products!$A$1:$G$49,MATCH(orders!$D4,products!$A$1:$A$49,0),MATCH(orders!L$1,products!$A$1:$G$1,0))</f>
        <v>12.95</v>
      </c>
      <c r="M4" s="7">
        <f t="shared" si="0"/>
        <v>12.95</v>
      </c>
      <c r="N4" s="4" t="str" cm="1">
        <f t="array" ref="N4">_xlfn.IFS(I4="Rob","Robusta",I4="Exc","Excelsa",I4="Ara","Arabica",I4="Lib","Liberica")</f>
        <v>Arabica</v>
      </c>
      <c r="O4" s="4" t="str" cm="1">
        <f t="array" ref="O4">_xlfn.IFS(J4="M","Medium",J4="L","Light",J4="D","Dark")</f>
        <v>Light</v>
      </c>
      <c r="P4" s="4" t="str">
        <f>_xlfn.XLOOKUP(CoffeeOrderstable[[#This Row],[Customer ID]],customers!$A$1:$A$1001,customers!$I$1:$I$1001,,0)</f>
        <v>Yes</v>
      </c>
    </row>
    <row r="5" spans="1:16" x14ac:dyDescent="0.3">
      <c r="A5" s="3" t="s">
        <v>512</v>
      </c>
      <c r="B5" s="5">
        <v>44392</v>
      </c>
      <c r="C5" s="3" t="s">
        <v>513</v>
      </c>
      <c r="D5" s="4" t="s">
        <v>6141</v>
      </c>
      <c r="E5" s="3">
        <v>2</v>
      </c>
      <c r="F5" s="3" t="str">
        <f>_xlfn.XLOOKUP(C5,customers!$A$1:$A$1001,customers!$B$1:$B$1001,,0)</f>
        <v>Christoffer O' Shea</v>
      </c>
      <c r="G5" s="3" t="str">
        <f>IF(_xlfn.XLOOKUP(C5,customers!$A$1:$A$1001,customers!$C$1:$C$1001,,0)=0,"", _xlfn.XLOOKUP(C5,customers!$A$1:$A$1001,customers!$C$1:$C$1001,,0))</f>
        <v/>
      </c>
      <c r="H5" s="3" t="str">
        <f>_xlfn.XLOOKUP(C5,customers!$A$1:$A$1001,customers!$G$1:$G$1001,,0)</f>
        <v>Ireland</v>
      </c>
      <c r="I5" s="4" t="str">
        <f>INDEX(products!$A$1:$G$49,MATCH(orders!$D5,products!$A$1:$A$49,0),MATCH(orders!I$1,products!$A$1:$G$1,0))</f>
        <v>Exc</v>
      </c>
      <c r="J5" s="4" t="str">
        <f>INDEX(products!$A$1:$G$49,MATCH(orders!$D5,products!$A$1:$A$49,0),MATCH(orders!J$1,products!$A$1:$G$1,0))</f>
        <v>M</v>
      </c>
      <c r="K5" s="6">
        <f>INDEX(products!$A$1:$G$49,MATCH(orders!$D5,products!$A$1:$A$49,0),MATCH(orders!K$1,products!$A$1:$G$1,0))</f>
        <v>1</v>
      </c>
      <c r="L5" s="7">
        <f>INDEX(products!$A$1:$G$49,MATCH(orders!$D5,products!$A$1:$A$49,0),MATCH(orders!L$1,products!$A$1:$G$1,0))</f>
        <v>13.75</v>
      </c>
      <c r="M5" s="7">
        <f t="shared" si="0"/>
        <v>27.5</v>
      </c>
      <c r="N5" s="4" t="str" cm="1">
        <f t="array" ref="N5">_xlfn.IFS(I5="Rob","Robusta",I5="Exc","Excelsa",I5="Ara","Arabica",I5="Lib","Liberica")</f>
        <v>Excelsa</v>
      </c>
      <c r="O5" s="4" t="str" cm="1">
        <f t="array" ref="O5">_xlfn.IFS(J5="M","Medium",J5="L","Light",J5="D","Dark")</f>
        <v>Medium</v>
      </c>
      <c r="P5" s="4" t="str">
        <f>_xlfn.XLOOKUP(CoffeeOrderstable[[#This Row],[Customer ID]],customers!$A$1:$A$1001,customers!$I$1:$I$1001,,0)</f>
        <v>No</v>
      </c>
    </row>
    <row r="6" spans="1:16" x14ac:dyDescent="0.3">
      <c r="A6" s="3" t="s">
        <v>512</v>
      </c>
      <c r="B6" s="5">
        <v>44392</v>
      </c>
      <c r="C6" s="3" t="s">
        <v>513</v>
      </c>
      <c r="D6" s="4" t="s">
        <v>6142</v>
      </c>
      <c r="E6" s="3">
        <v>2</v>
      </c>
      <c r="F6" s="3" t="str">
        <f>_xlfn.XLOOKUP(C6,customers!$A$1:$A$1001,customers!$B$1:$B$1001,,0)</f>
        <v>Christoffer O' Shea</v>
      </c>
      <c r="G6" s="3" t="str">
        <f>IF(_xlfn.XLOOKUP(C6,customers!$A$1:$A$1001,customers!$C$1:$C$1001,,0)=0,"", _xlfn.XLOOKUP(C6,customers!$A$1:$A$1001,customers!$C$1:$C$1001,,0))</f>
        <v/>
      </c>
      <c r="H6" s="3" t="str">
        <f>_xlfn.XLOOKUP(C6,customers!$A$1:$A$1001,customers!$G$1:$G$1001,,0)</f>
        <v>Ireland</v>
      </c>
      <c r="I6" s="4" t="str">
        <f>INDEX(products!$A$1:$G$49,MATCH(orders!$D6,products!$A$1:$A$49,0),MATCH(orders!I$1,products!$A$1:$G$1,0))</f>
        <v>Rob</v>
      </c>
      <c r="J6" s="4" t="str">
        <f>INDEX(products!$A$1:$G$49,MATCH(orders!$D6,products!$A$1:$A$49,0),MATCH(orders!J$1,products!$A$1:$G$1,0))</f>
        <v>L</v>
      </c>
      <c r="K6" s="6">
        <f>INDEX(products!$A$1:$G$49,MATCH(orders!$D6,products!$A$1:$A$49,0),MATCH(orders!K$1,products!$A$1:$G$1,0))</f>
        <v>2.5</v>
      </c>
      <c r="L6" s="7">
        <f>INDEX(products!$A$1:$G$49,MATCH(orders!$D6,products!$A$1:$A$49,0),MATCH(orders!L$1,products!$A$1:$G$1,0))</f>
        <v>27.484999999999996</v>
      </c>
      <c r="M6" s="7">
        <f t="shared" si="0"/>
        <v>54.969999999999992</v>
      </c>
      <c r="N6" s="4" t="str" cm="1">
        <f t="array" ref="N6">_xlfn.IFS(I6="Rob","Robusta",I6="Exc","Excelsa",I6="Ara","Arabica",I6="Lib","Liberica")</f>
        <v>Robusta</v>
      </c>
      <c r="O6" s="4" t="str" cm="1">
        <f t="array" ref="O6">_xlfn.IFS(J6="M","Medium",J6="L","Light",J6="D","Dark")</f>
        <v>Light</v>
      </c>
      <c r="P6" s="4" t="str">
        <f>_xlfn.XLOOKUP(CoffeeOrderstable[[#This Row],[Customer ID]],customers!$A$1:$A$1001,customers!$I$1:$I$1001,,0)</f>
        <v>No</v>
      </c>
    </row>
    <row r="7" spans="1:16" x14ac:dyDescent="0.3">
      <c r="A7" s="3" t="s">
        <v>519</v>
      </c>
      <c r="B7" s="5">
        <v>44412</v>
      </c>
      <c r="C7" s="3" t="s">
        <v>520</v>
      </c>
      <c r="D7" s="4" t="s">
        <v>6143</v>
      </c>
      <c r="E7" s="3">
        <v>3</v>
      </c>
      <c r="F7" s="3" t="str">
        <f>_xlfn.XLOOKUP(C7,customers!$A$1:$A$1001,customers!$B$1:$B$1001,,0)</f>
        <v>Beryle Cottier</v>
      </c>
      <c r="G7" s="3" t="str">
        <f>IF(_xlfn.XLOOKUP(C7,customers!$A$1:$A$1001,customers!$C$1:$C$1001,,0)=0,"", _xlfn.XLOOKUP(C7,customers!$A$1:$A$1001,customers!$C$1:$C$1001,,0))</f>
        <v/>
      </c>
      <c r="H7" s="3" t="str">
        <f>_xlfn.XLOOKUP(C7,customers!$A$1:$A$1001,customers!$G$1:$G$1001,,0)</f>
        <v>United States</v>
      </c>
      <c r="I7" s="4" t="str">
        <f>INDEX(products!$A$1:$G$49,MATCH(orders!$D7,products!$A$1:$A$49,0),MATCH(orders!I$1,products!$A$1:$G$1,0))</f>
        <v>Lib</v>
      </c>
      <c r="J7" s="4" t="str">
        <f>INDEX(products!$A$1:$G$49,MATCH(orders!$D7,products!$A$1:$A$49,0),MATCH(orders!J$1,products!$A$1:$G$1,0))</f>
        <v>D</v>
      </c>
      <c r="K7" s="6">
        <f>INDEX(products!$A$1:$G$49,MATCH(orders!$D7,products!$A$1:$A$49,0),MATCH(orders!K$1,products!$A$1:$G$1,0))</f>
        <v>1</v>
      </c>
      <c r="L7" s="7">
        <f>INDEX(products!$A$1:$G$49,MATCH(orders!$D7,products!$A$1:$A$49,0),MATCH(orders!L$1,products!$A$1:$G$1,0))</f>
        <v>12.95</v>
      </c>
      <c r="M7" s="7">
        <f t="shared" si="0"/>
        <v>38.849999999999994</v>
      </c>
      <c r="N7" s="4" t="str" cm="1">
        <f t="array" ref="N7">_xlfn.IFS(I7="Rob","Robusta",I7="Exc","Excelsa",I7="Ara","Arabica",I7="Lib","Liberica")</f>
        <v>Liberica</v>
      </c>
      <c r="O7" s="4" t="str" cm="1">
        <f t="array" ref="O7">_xlfn.IFS(J7="M","Medium",J7="L","Light",J7="D","Dark")</f>
        <v>Dark</v>
      </c>
      <c r="P7" s="4" t="str">
        <f>_xlfn.XLOOKUP(CoffeeOrderstable[[#This Row],[Customer ID]],customers!$A$1:$A$1001,customers!$I$1:$I$1001,,0)</f>
        <v>No</v>
      </c>
    </row>
    <row r="8" spans="1:16" x14ac:dyDescent="0.3">
      <c r="A8" s="3" t="s">
        <v>524</v>
      </c>
      <c r="B8" s="5">
        <v>44582</v>
      </c>
      <c r="C8" s="3" t="s">
        <v>525</v>
      </c>
      <c r="D8" s="4" t="s">
        <v>6144</v>
      </c>
      <c r="E8" s="3">
        <v>3</v>
      </c>
      <c r="F8" s="3" t="str">
        <f>_xlfn.XLOOKUP(C8,customers!$A$1:$A$1001,customers!$B$1:$B$1001,,0)</f>
        <v>Shaylynn Lobe</v>
      </c>
      <c r="G8" s="3" t="str">
        <f>IF(_xlfn.XLOOKUP(C8,customers!$A$1:$A$1001,customers!$C$1:$C$1001,,0)=0,"", _xlfn.XLOOKUP(C8,customers!$A$1:$A$1001,customers!$C$1:$C$1001,,0))</f>
        <v>slobe6@nifty.com</v>
      </c>
      <c r="H8" s="3" t="str">
        <f>_xlfn.XLOOKUP(C8,customers!$A$1:$A$1001,customers!$G$1:$G$1001,,0)</f>
        <v>United States</v>
      </c>
      <c r="I8" s="4" t="str">
        <f>INDEX(products!$A$1:$G$49,MATCH(orders!$D8,products!$A$1:$A$49,0),MATCH(orders!I$1,products!$A$1:$G$1,0))</f>
        <v>Exc</v>
      </c>
      <c r="J8" s="4" t="str">
        <f>INDEX(products!$A$1:$G$49,MATCH(orders!$D8,products!$A$1:$A$49,0),MATCH(orders!J$1,products!$A$1:$G$1,0))</f>
        <v>D</v>
      </c>
      <c r="K8" s="6">
        <f>INDEX(products!$A$1:$G$49,MATCH(orders!$D8,products!$A$1:$A$49,0),MATCH(orders!K$1,products!$A$1:$G$1,0))</f>
        <v>0.5</v>
      </c>
      <c r="L8" s="7">
        <f>INDEX(products!$A$1:$G$49,MATCH(orders!$D8,products!$A$1:$A$49,0),MATCH(orders!L$1,products!$A$1:$G$1,0))</f>
        <v>7.29</v>
      </c>
      <c r="M8" s="7">
        <f t="shared" si="0"/>
        <v>21.87</v>
      </c>
      <c r="N8" s="4" t="str" cm="1">
        <f t="array" ref="N8">_xlfn.IFS(I8="Rob","Robusta",I8="Exc","Excelsa",I8="Ara","Arabica",I8="Lib","Liberica")</f>
        <v>Excelsa</v>
      </c>
      <c r="O8" s="4" t="str" cm="1">
        <f t="array" ref="O8">_xlfn.IFS(J8="M","Medium",J8="L","Light",J8="D","Dark")</f>
        <v>Dark</v>
      </c>
      <c r="P8" s="4" t="str">
        <f>_xlfn.XLOOKUP(CoffeeOrderstable[[#This Row],[Customer ID]],customers!$A$1:$A$1001,customers!$I$1:$I$1001,,0)</f>
        <v>Yes</v>
      </c>
    </row>
    <row r="9" spans="1:16" x14ac:dyDescent="0.3">
      <c r="A9" s="3" t="s">
        <v>530</v>
      </c>
      <c r="B9" s="5">
        <v>44701</v>
      </c>
      <c r="C9" s="3" t="s">
        <v>531</v>
      </c>
      <c r="D9" s="4" t="s">
        <v>6145</v>
      </c>
      <c r="E9" s="3">
        <v>1</v>
      </c>
      <c r="F9" s="3" t="str">
        <f>_xlfn.XLOOKUP(C9,customers!$A$1:$A$1001,customers!$B$1:$B$1001,,0)</f>
        <v>Melvin Wharfe</v>
      </c>
      <c r="G9" s="3" t="str">
        <f>IF(_xlfn.XLOOKUP(C9,customers!$A$1:$A$1001,customers!$C$1:$C$1001,,0)=0,"", _xlfn.XLOOKUP(C9,customers!$A$1:$A$1001,customers!$C$1:$C$1001,,0))</f>
        <v/>
      </c>
      <c r="H9" s="3" t="str">
        <f>_xlfn.XLOOKUP(C9,customers!$A$1:$A$1001,customers!$G$1:$G$1001,,0)</f>
        <v>Ireland</v>
      </c>
      <c r="I9" s="4" t="str">
        <f>INDEX(products!$A$1:$G$49,MATCH(orders!$D9,products!$A$1:$A$49,0),MATCH(orders!I$1,products!$A$1:$G$1,0))</f>
        <v>Lib</v>
      </c>
      <c r="J9" s="4" t="str">
        <f>INDEX(products!$A$1:$G$49,MATCH(orders!$D9,products!$A$1:$A$49,0),MATCH(orders!J$1,products!$A$1:$G$1,0))</f>
        <v>L</v>
      </c>
      <c r="K9" s="6">
        <f>INDEX(products!$A$1:$G$49,MATCH(orders!$D9,products!$A$1:$A$49,0),MATCH(orders!K$1,products!$A$1:$G$1,0))</f>
        <v>0.2</v>
      </c>
      <c r="L9" s="7">
        <f>INDEX(products!$A$1:$G$49,MATCH(orders!$D9,products!$A$1:$A$49,0),MATCH(orders!L$1,products!$A$1:$G$1,0))</f>
        <v>4.7549999999999999</v>
      </c>
      <c r="M9" s="7">
        <f t="shared" si="0"/>
        <v>4.7549999999999999</v>
      </c>
      <c r="N9" s="4" t="str" cm="1">
        <f t="array" ref="N9">_xlfn.IFS(I9="Rob","Robusta",I9="Exc","Excelsa",I9="Ara","Arabica",I9="Lib","Liberica")</f>
        <v>Liberica</v>
      </c>
      <c r="O9" s="4" t="str" cm="1">
        <f t="array" ref="O9">_xlfn.IFS(J9="M","Medium",J9="L","Light",J9="D","Dark")</f>
        <v>Light</v>
      </c>
      <c r="P9" s="4" t="str">
        <f>_xlfn.XLOOKUP(CoffeeOrderstable[[#This Row],[Customer ID]],customers!$A$1:$A$1001,customers!$I$1:$I$1001,,0)</f>
        <v>Yes</v>
      </c>
    </row>
    <row r="10" spans="1:16" x14ac:dyDescent="0.3">
      <c r="A10" s="3" t="s">
        <v>535</v>
      </c>
      <c r="B10" s="5">
        <v>43467</v>
      </c>
      <c r="C10" s="3" t="s">
        <v>536</v>
      </c>
      <c r="D10" s="4" t="s">
        <v>6146</v>
      </c>
      <c r="E10" s="3">
        <v>3</v>
      </c>
      <c r="F10" s="3" t="str">
        <f>_xlfn.XLOOKUP(C10,customers!$A$1:$A$1001,customers!$B$1:$B$1001,,0)</f>
        <v>Guthrey Petracci</v>
      </c>
      <c r="G10" s="3" t="str">
        <f>IF(_xlfn.XLOOKUP(C10,customers!$A$1:$A$1001,customers!$C$1:$C$1001,,0)=0,"", _xlfn.XLOOKUP(C10,customers!$A$1:$A$1001,customers!$C$1:$C$1001,,0))</f>
        <v>gpetracci8@livejournal.com</v>
      </c>
      <c r="H10" s="3" t="str">
        <f>_xlfn.XLOOKUP(C10,customers!$A$1:$A$1001,customers!$G$1:$G$1001,,0)</f>
        <v>United States</v>
      </c>
      <c r="I10" s="4" t="str">
        <f>INDEX(products!$A$1:$G$49,MATCH(orders!$D10,products!$A$1:$A$49,0),MATCH(orders!I$1,products!$A$1:$G$1,0))</f>
        <v>Rob</v>
      </c>
      <c r="J10" s="4" t="str">
        <f>INDEX(products!$A$1:$G$49,MATCH(orders!$D10,products!$A$1:$A$49,0),MATCH(orders!J$1,products!$A$1:$G$1,0))</f>
        <v>M</v>
      </c>
      <c r="K10" s="6">
        <f>INDEX(products!$A$1:$G$49,MATCH(orders!$D10,products!$A$1:$A$49,0),MATCH(orders!K$1,products!$A$1:$G$1,0))</f>
        <v>0.5</v>
      </c>
      <c r="L10" s="7">
        <f>INDEX(products!$A$1:$G$49,MATCH(orders!$D10,products!$A$1:$A$49,0),MATCH(orders!L$1,products!$A$1:$G$1,0))</f>
        <v>5.97</v>
      </c>
      <c r="M10" s="7">
        <f t="shared" si="0"/>
        <v>17.91</v>
      </c>
      <c r="N10" s="4" t="str" cm="1">
        <f t="array" ref="N10">_xlfn.IFS(I10="Rob","Robusta",I10="Exc","Excelsa",I10="Ara","Arabica",I10="Lib","Liberica")</f>
        <v>Robusta</v>
      </c>
      <c r="O10" s="4" t="str" cm="1">
        <f t="array" ref="O10">_xlfn.IFS(J10="M","Medium",J10="L","Light",J10="D","Dark")</f>
        <v>Medium</v>
      </c>
      <c r="P10" s="4" t="str">
        <f>_xlfn.XLOOKUP(CoffeeOrderstable[[#This Row],[Customer ID]],customers!$A$1:$A$1001,customers!$I$1:$I$1001,,0)</f>
        <v>No</v>
      </c>
    </row>
    <row r="11" spans="1:16" x14ac:dyDescent="0.3">
      <c r="A11" s="3" t="s">
        <v>541</v>
      </c>
      <c r="B11" s="5">
        <v>43713</v>
      </c>
      <c r="C11" s="3" t="s">
        <v>542</v>
      </c>
      <c r="D11" s="4" t="s">
        <v>6146</v>
      </c>
      <c r="E11" s="3">
        <v>1</v>
      </c>
      <c r="F11" s="3" t="str">
        <f>_xlfn.XLOOKUP(C11,customers!$A$1:$A$1001,customers!$B$1:$B$1001,,0)</f>
        <v>Rodger Raven</v>
      </c>
      <c r="G11" s="3" t="str">
        <f>IF(_xlfn.XLOOKUP(C11,customers!$A$1:$A$1001,customers!$C$1:$C$1001,,0)=0,"", _xlfn.XLOOKUP(C11,customers!$A$1:$A$1001,customers!$C$1:$C$1001,,0))</f>
        <v>rraven9@ed.gov</v>
      </c>
      <c r="H11" s="3" t="str">
        <f>_xlfn.XLOOKUP(C11,customers!$A$1:$A$1001,customers!$G$1:$G$1001,,0)</f>
        <v>United States</v>
      </c>
      <c r="I11" s="4" t="str">
        <f>INDEX(products!$A$1:$G$49,MATCH(orders!$D11,products!$A$1:$A$49,0),MATCH(orders!I$1,products!$A$1:$G$1,0))</f>
        <v>Rob</v>
      </c>
      <c r="J11" s="4" t="str">
        <f>INDEX(products!$A$1:$G$49,MATCH(orders!$D11,products!$A$1:$A$49,0),MATCH(orders!J$1,products!$A$1:$G$1,0))</f>
        <v>M</v>
      </c>
      <c r="K11" s="6">
        <f>INDEX(products!$A$1:$G$49,MATCH(orders!$D11,products!$A$1:$A$49,0),MATCH(orders!K$1,products!$A$1:$G$1,0))</f>
        <v>0.5</v>
      </c>
      <c r="L11" s="7">
        <f>INDEX(products!$A$1:$G$49,MATCH(orders!$D11,products!$A$1:$A$49,0),MATCH(orders!L$1,products!$A$1:$G$1,0))</f>
        <v>5.97</v>
      </c>
      <c r="M11" s="7">
        <f t="shared" si="0"/>
        <v>5.97</v>
      </c>
      <c r="N11" s="4" t="str" cm="1">
        <f t="array" ref="N11">_xlfn.IFS(I11="Rob","Robusta",I11="Exc","Excelsa",I11="Ara","Arabica",I11="Lib","Liberica")</f>
        <v>Robusta</v>
      </c>
      <c r="O11" s="4" t="str" cm="1">
        <f t="array" ref="O11">_xlfn.IFS(J11="M","Medium",J11="L","Light",J11="D","Dark")</f>
        <v>Medium</v>
      </c>
      <c r="P11" s="4" t="str">
        <f>_xlfn.XLOOKUP(CoffeeOrderstable[[#This Row],[Customer ID]],customers!$A$1:$A$1001,customers!$I$1:$I$1001,,0)</f>
        <v>No</v>
      </c>
    </row>
    <row r="12" spans="1:16" x14ac:dyDescent="0.3">
      <c r="A12" s="3" t="s">
        <v>547</v>
      </c>
      <c r="B12" s="5">
        <v>44263</v>
      </c>
      <c r="C12" s="3" t="s">
        <v>548</v>
      </c>
      <c r="D12" s="4" t="s">
        <v>6147</v>
      </c>
      <c r="E12" s="3">
        <v>4</v>
      </c>
      <c r="F12" s="3" t="str">
        <f>_xlfn.XLOOKUP(C12,customers!$A$1:$A$1001,customers!$B$1:$B$1001,,0)</f>
        <v>Ferrell Ferber</v>
      </c>
      <c r="G12" s="3" t="str">
        <f>IF(_xlfn.XLOOKUP(C12,customers!$A$1:$A$1001,customers!$C$1:$C$1001,,0)=0,"", _xlfn.XLOOKUP(C12,customers!$A$1:$A$1001,customers!$C$1:$C$1001,,0))</f>
        <v>fferbera@businesswire.com</v>
      </c>
      <c r="H12" s="3" t="str">
        <f>_xlfn.XLOOKUP(C12,customers!$A$1:$A$1001,customers!$G$1:$G$1001,,0)</f>
        <v>United States</v>
      </c>
      <c r="I12" s="4" t="str">
        <f>INDEX(products!$A$1:$G$49,MATCH(orders!$D12,products!$A$1:$A$49,0),MATCH(orders!I$1,products!$A$1:$G$1,0))</f>
        <v>Ara</v>
      </c>
      <c r="J12" s="4" t="str">
        <f>INDEX(products!$A$1:$G$49,MATCH(orders!$D12,products!$A$1:$A$49,0),MATCH(orders!J$1,products!$A$1:$G$1,0))</f>
        <v>D</v>
      </c>
      <c r="K12" s="6">
        <f>INDEX(products!$A$1:$G$49,MATCH(orders!$D12,products!$A$1:$A$49,0),MATCH(orders!K$1,products!$A$1:$G$1,0))</f>
        <v>1</v>
      </c>
      <c r="L12" s="7">
        <f>INDEX(products!$A$1:$G$49,MATCH(orders!$D12,products!$A$1:$A$49,0),MATCH(orders!L$1,products!$A$1:$G$1,0))</f>
        <v>9.9499999999999993</v>
      </c>
      <c r="M12" s="7">
        <f t="shared" si="0"/>
        <v>39.799999999999997</v>
      </c>
      <c r="N12" s="4" t="str" cm="1">
        <f t="array" ref="N12">_xlfn.IFS(I12="Rob","Robusta",I12="Exc","Excelsa",I12="Ara","Arabica",I12="Lib","Liberica")</f>
        <v>Arabica</v>
      </c>
      <c r="O12" s="4" t="str" cm="1">
        <f t="array" ref="O12">_xlfn.IFS(J12="M","Medium",J12="L","Light",J12="D","Dark")</f>
        <v>Dark</v>
      </c>
      <c r="P12" s="4" t="str">
        <f>_xlfn.XLOOKUP(CoffeeOrderstable[[#This Row],[Customer ID]],customers!$A$1:$A$1001,customers!$I$1:$I$1001,,0)</f>
        <v>No</v>
      </c>
    </row>
    <row r="13" spans="1:16" x14ac:dyDescent="0.3">
      <c r="A13" s="3" t="s">
        <v>553</v>
      </c>
      <c r="B13" s="5">
        <v>44132</v>
      </c>
      <c r="C13" s="3" t="s">
        <v>554</v>
      </c>
      <c r="D13" s="4" t="s">
        <v>6148</v>
      </c>
      <c r="E13" s="3">
        <v>5</v>
      </c>
      <c r="F13" s="3" t="str">
        <f>_xlfn.XLOOKUP(C13,customers!$A$1:$A$1001,customers!$B$1:$B$1001,,0)</f>
        <v>Duky Phizackerly</v>
      </c>
      <c r="G13" s="3" t="str">
        <f>IF(_xlfn.XLOOKUP(C13,customers!$A$1:$A$1001,customers!$C$1:$C$1001,,0)=0,"", _xlfn.XLOOKUP(C13,customers!$A$1:$A$1001,customers!$C$1:$C$1001,,0))</f>
        <v>dphizackerlyb@utexas.edu</v>
      </c>
      <c r="H13" s="3" t="str">
        <f>_xlfn.XLOOKUP(C13,customers!$A$1:$A$1001,customers!$G$1:$G$1001,,0)</f>
        <v>United States</v>
      </c>
      <c r="I13" s="4" t="str">
        <f>INDEX(products!$A$1:$G$49,MATCH(orders!$D13,products!$A$1:$A$49,0),MATCH(orders!I$1,products!$A$1:$G$1,0))</f>
        <v>Exc</v>
      </c>
      <c r="J13" s="4" t="str">
        <f>INDEX(products!$A$1:$G$49,MATCH(orders!$D13,products!$A$1:$A$49,0),MATCH(orders!J$1,products!$A$1:$G$1,0))</f>
        <v>L</v>
      </c>
      <c r="K13" s="6">
        <f>INDEX(products!$A$1:$G$49,MATCH(orders!$D13,products!$A$1:$A$49,0),MATCH(orders!K$1,products!$A$1:$G$1,0))</f>
        <v>2.5</v>
      </c>
      <c r="L13" s="7">
        <f>INDEX(products!$A$1:$G$49,MATCH(orders!$D13,products!$A$1:$A$49,0),MATCH(orders!L$1,products!$A$1:$G$1,0))</f>
        <v>34.154999999999994</v>
      </c>
      <c r="M13" s="7">
        <f t="shared" si="0"/>
        <v>170.77499999999998</v>
      </c>
      <c r="N13" s="4" t="str" cm="1">
        <f t="array" ref="N13">_xlfn.IFS(I13="Rob","Robusta",I13="Exc","Excelsa",I13="Ara","Arabica",I13="Lib","Liberica")</f>
        <v>Excelsa</v>
      </c>
      <c r="O13" s="4" t="str" cm="1">
        <f t="array" ref="O13">_xlfn.IFS(J13="M","Medium",J13="L","Light",J13="D","Dark")</f>
        <v>Light</v>
      </c>
      <c r="P13" s="4" t="str">
        <f>_xlfn.XLOOKUP(CoffeeOrderstable[[#This Row],[Customer ID]],customers!$A$1:$A$1001,customers!$I$1:$I$1001,,0)</f>
        <v>Yes</v>
      </c>
    </row>
    <row r="14" spans="1:16" x14ac:dyDescent="0.3">
      <c r="A14" s="3" t="s">
        <v>559</v>
      </c>
      <c r="B14" s="5">
        <v>44744</v>
      </c>
      <c r="C14" s="3" t="s">
        <v>560</v>
      </c>
      <c r="D14" s="4" t="s">
        <v>6138</v>
      </c>
      <c r="E14" s="3">
        <v>5</v>
      </c>
      <c r="F14" s="3" t="str">
        <f>_xlfn.XLOOKUP(C14,customers!$A$1:$A$1001,customers!$B$1:$B$1001,,0)</f>
        <v>Rosaleen Scholar</v>
      </c>
      <c r="G14" s="3" t="str">
        <f>IF(_xlfn.XLOOKUP(C14,customers!$A$1:$A$1001,customers!$C$1:$C$1001,,0)=0,"", _xlfn.XLOOKUP(C14,customers!$A$1:$A$1001,customers!$C$1:$C$1001,,0))</f>
        <v>rscholarc@nyu.edu</v>
      </c>
      <c r="H14" s="3" t="str">
        <f>_xlfn.XLOOKUP(C14,customers!$A$1:$A$1001,customers!$G$1:$G$1001,,0)</f>
        <v>United States</v>
      </c>
      <c r="I14" s="4" t="str">
        <f>INDEX(products!$A$1:$G$49,MATCH(orders!$D14,products!$A$1:$A$49,0),MATCH(orders!I$1,products!$A$1:$G$1,0))</f>
        <v>Rob</v>
      </c>
      <c r="J14" s="4" t="str">
        <f>INDEX(products!$A$1:$G$49,MATCH(orders!$D14,products!$A$1:$A$49,0),MATCH(orders!J$1,products!$A$1:$G$1,0))</f>
        <v>M</v>
      </c>
      <c r="K14" s="6">
        <f>INDEX(products!$A$1:$G$49,MATCH(orders!$D14,products!$A$1:$A$49,0),MATCH(orders!K$1,products!$A$1:$G$1,0))</f>
        <v>1</v>
      </c>
      <c r="L14" s="7">
        <f>INDEX(products!$A$1:$G$49,MATCH(orders!$D14,products!$A$1:$A$49,0),MATCH(orders!L$1,products!$A$1:$G$1,0))</f>
        <v>9.9499999999999993</v>
      </c>
      <c r="M14" s="7">
        <f t="shared" si="0"/>
        <v>49.75</v>
      </c>
      <c r="N14" s="4" t="str" cm="1">
        <f t="array" ref="N14">_xlfn.IFS(I14="Rob","Robusta",I14="Exc","Excelsa",I14="Ara","Arabica",I14="Lib","Liberica")</f>
        <v>Robusta</v>
      </c>
      <c r="O14" s="4" t="str" cm="1">
        <f t="array" ref="O14">_xlfn.IFS(J14="M","Medium",J14="L","Light",J14="D","Dark")</f>
        <v>Medium</v>
      </c>
      <c r="P14" s="4" t="str">
        <f>_xlfn.XLOOKUP(CoffeeOrderstable[[#This Row],[Customer ID]],customers!$A$1:$A$1001,customers!$I$1:$I$1001,,0)</f>
        <v>No</v>
      </c>
    </row>
    <row r="15" spans="1:16" x14ac:dyDescent="0.3">
      <c r="A15" s="3" t="s">
        <v>565</v>
      </c>
      <c r="B15" s="5">
        <v>43973</v>
      </c>
      <c r="C15" s="3" t="s">
        <v>566</v>
      </c>
      <c r="D15" s="4" t="s">
        <v>6149</v>
      </c>
      <c r="E15" s="3">
        <v>2</v>
      </c>
      <c r="F15" s="3" t="str">
        <f>_xlfn.XLOOKUP(C15,customers!$A$1:$A$1001,customers!$B$1:$B$1001,,0)</f>
        <v>Terence Vanyutin</v>
      </c>
      <c r="G15" s="3" t="str">
        <f>IF(_xlfn.XLOOKUP(C15,customers!$A$1:$A$1001,customers!$C$1:$C$1001,,0)=0,"", _xlfn.XLOOKUP(C15,customers!$A$1:$A$1001,customers!$C$1:$C$1001,,0))</f>
        <v>tvanyutind@wix.com</v>
      </c>
      <c r="H15" s="3" t="str">
        <f>_xlfn.XLOOKUP(C15,customers!$A$1:$A$1001,customers!$G$1:$G$1001,,0)</f>
        <v>United States</v>
      </c>
      <c r="I15" s="4" t="str">
        <f>INDEX(products!$A$1:$G$49,MATCH(orders!$D15,products!$A$1:$A$49,0),MATCH(orders!I$1,products!$A$1:$G$1,0))</f>
        <v>Rob</v>
      </c>
      <c r="J15" s="4" t="str">
        <f>INDEX(products!$A$1:$G$49,MATCH(orders!$D15,products!$A$1:$A$49,0),MATCH(orders!J$1,products!$A$1:$G$1,0))</f>
        <v>D</v>
      </c>
      <c r="K15" s="6">
        <f>INDEX(products!$A$1:$G$49,MATCH(orders!$D15,products!$A$1:$A$49,0),MATCH(orders!K$1,products!$A$1:$G$1,0))</f>
        <v>2.5</v>
      </c>
      <c r="L15" s="7">
        <f>INDEX(products!$A$1:$G$49,MATCH(orders!$D15,products!$A$1:$A$49,0),MATCH(orders!L$1,products!$A$1:$G$1,0))</f>
        <v>20.584999999999997</v>
      </c>
      <c r="M15" s="7">
        <f t="shared" si="0"/>
        <v>41.169999999999995</v>
      </c>
      <c r="N15" s="4" t="str" cm="1">
        <f t="array" ref="N15">_xlfn.IFS(I15="Rob","Robusta",I15="Exc","Excelsa",I15="Ara","Arabica",I15="Lib","Liberica")</f>
        <v>Robusta</v>
      </c>
      <c r="O15" s="4" t="str" cm="1">
        <f t="array" ref="O15">_xlfn.IFS(J15="M","Medium",J15="L","Light",J15="D","Dark")</f>
        <v>Dark</v>
      </c>
      <c r="P15" s="4" t="str">
        <f>_xlfn.XLOOKUP(CoffeeOrderstable[[#This Row],[Customer ID]],customers!$A$1:$A$1001,customers!$I$1:$I$1001,,0)</f>
        <v>No</v>
      </c>
    </row>
    <row r="16" spans="1:16" x14ac:dyDescent="0.3">
      <c r="A16" s="3" t="s">
        <v>570</v>
      </c>
      <c r="B16" s="5">
        <v>44656</v>
      </c>
      <c r="C16" s="3" t="s">
        <v>571</v>
      </c>
      <c r="D16" s="4" t="s">
        <v>6150</v>
      </c>
      <c r="E16" s="3">
        <v>3</v>
      </c>
      <c r="F16" s="3" t="str">
        <f>_xlfn.XLOOKUP(C16,customers!$A$1:$A$1001,customers!$B$1:$B$1001,,0)</f>
        <v>Patrice Trobe</v>
      </c>
      <c r="G16" s="3" t="str">
        <f>IF(_xlfn.XLOOKUP(C16,customers!$A$1:$A$1001,customers!$C$1:$C$1001,,0)=0,"", _xlfn.XLOOKUP(C16,customers!$A$1:$A$1001,customers!$C$1:$C$1001,,0))</f>
        <v>ptrobee@wunderground.com</v>
      </c>
      <c r="H16" s="3" t="str">
        <f>_xlfn.XLOOKUP(C16,customers!$A$1:$A$1001,customers!$G$1:$G$1001,,0)</f>
        <v>United States</v>
      </c>
      <c r="I16" s="4" t="str">
        <f>INDEX(products!$A$1:$G$49,MATCH(orders!$D16,products!$A$1:$A$49,0),MATCH(orders!I$1,products!$A$1:$G$1,0))</f>
        <v>Lib</v>
      </c>
      <c r="J16" s="4" t="str">
        <f>INDEX(products!$A$1:$G$49,MATCH(orders!$D16,products!$A$1:$A$49,0),MATCH(orders!J$1,products!$A$1:$G$1,0))</f>
        <v>D</v>
      </c>
      <c r="K16" s="6">
        <f>INDEX(products!$A$1:$G$49,MATCH(orders!$D16,products!$A$1:$A$49,0),MATCH(orders!K$1,products!$A$1:$G$1,0))</f>
        <v>0.2</v>
      </c>
      <c r="L16" s="7">
        <f>INDEX(products!$A$1:$G$49,MATCH(orders!$D16,products!$A$1:$A$49,0),MATCH(orders!L$1,products!$A$1:$G$1,0))</f>
        <v>3.8849999999999998</v>
      </c>
      <c r="M16" s="7">
        <f t="shared" si="0"/>
        <v>11.654999999999999</v>
      </c>
      <c r="N16" s="4" t="str" cm="1">
        <f t="array" ref="N16">_xlfn.IFS(I16="Rob","Robusta",I16="Exc","Excelsa",I16="Ara","Arabica",I16="Lib","Liberica")</f>
        <v>Liberica</v>
      </c>
      <c r="O16" s="4" t="str" cm="1">
        <f t="array" ref="O16">_xlfn.IFS(J16="M","Medium",J16="L","Light",J16="D","Dark")</f>
        <v>Dark</v>
      </c>
      <c r="P16" s="4" t="str">
        <f>_xlfn.XLOOKUP(CoffeeOrderstable[[#This Row],[Customer ID]],customers!$A$1:$A$1001,customers!$I$1:$I$1001,,0)</f>
        <v>Yes</v>
      </c>
    </row>
    <row r="17" spans="1:16" x14ac:dyDescent="0.3">
      <c r="A17" s="3" t="s">
        <v>576</v>
      </c>
      <c r="B17" s="5">
        <v>44719</v>
      </c>
      <c r="C17" s="3" t="s">
        <v>577</v>
      </c>
      <c r="D17" s="4" t="s">
        <v>6151</v>
      </c>
      <c r="E17" s="3">
        <v>5</v>
      </c>
      <c r="F17" s="3" t="str">
        <f>_xlfn.XLOOKUP(C17,customers!$A$1:$A$1001,customers!$B$1:$B$1001,,0)</f>
        <v>Llywellyn Oscroft</v>
      </c>
      <c r="G17" s="3" t="str">
        <f>IF(_xlfn.XLOOKUP(C17,customers!$A$1:$A$1001,customers!$C$1:$C$1001,,0)=0,"", _xlfn.XLOOKUP(C17,customers!$A$1:$A$1001,customers!$C$1:$C$1001,,0))</f>
        <v>loscroftf@ebay.co.uk</v>
      </c>
      <c r="H17" s="3" t="str">
        <f>_xlfn.XLOOKUP(C17,customers!$A$1:$A$1001,customers!$G$1:$G$1001,,0)</f>
        <v>United States</v>
      </c>
      <c r="I17" s="4" t="str">
        <f>INDEX(products!$A$1:$G$49,MATCH(orders!$D17,products!$A$1:$A$49,0),MATCH(orders!I$1,products!$A$1:$G$1,0))</f>
        <v>Rob</v>
      </c>
      <c r="J17" s="4" t="str">
        <f>INDEX(products!$A$1:$G$49,MATCH(orders!$D17,products!$A$1:$A$49,0),MATCH(orders!J$1,products!$A$1:$G$1,0))</f>
        <v>M</v>
      </c>
      <c r="K17" s="6">
        <f>INDEX(products!$A$1:$G$49,MATCH(orders!$D17,products!$A$1:$A$49,0),MATCH(orders!K$1,products!$A$1:$G$1,0))</f>
        <v>2.5</v>
      </c>
      <c r="L17" s="7">
        <f>INDEX(products!$A$1:$G$49,MATCH(orders!$D17,products!$A$1:$A$49,0),MATCH(orders!L$1,products!$A$1:$G$1,0))</f>
        <v>22.884999999999998</v>
      </c>
      <c r="M17" s="7">
        <f t="shared" si="0"/>
        <v>114.42499999999998</v>
      </c>
      <c r="N17" s="4" t="str" cm="1">
        <f t="array" ref="N17">_xlfn.IFS(I17="Rob","Robusta",I17="Exc","Excelsa",I17="Ara","Arabica",I17="Lib","Liberica")</f>
        <v>Robusta</v>
      </c>
      <c r="O17" s="4" t="str" cm="1">
        <f t="array" ref="O17">_xlfn.IFS(J17="M","Medium",J17="L","Light",J17="D","Dark")</f>
        <v>Medium</v>
      </c>
      <c r="P17" s="4" t="str">
        <f>_xlfn.XLOOKUP(CoffeeOrderstable[[#This Row],[Customer ID]],customers!$A$1:$A$1001,customers!$I$1:$I$1001,,0)</f>
        <v>No</v>
      </c>
    </row>
    <row r="18" spans="1:16" x14ac:dyDescent="0.3">
      <c r="A18" s="3" t="s">
        <v>581</v>
      </c>
      <c r="B18" s="5">
        <v>43544</v>
      </c>
      <c r="C18" s="3" t="s">
        <v>582</v>
      </c>
      <c r="D18" s="4" t="s">
        <v>6152</v>
      </c>
      <c r="E18" s="3">
        <v>6</v>
      </c>
      <c r="F18" s="3" t="str">
        <f>_xlfn.XLOOKUP(C18,customers!$A$1:$A$1001,customers!$B$1:$B$1001,,0)</f>
        <v>Minni Alabaster</v>
      </c>
      <c r="G18" s="3" t="str">
        <f>IF(_xlfn.XLOOKUP(C18,customers!$A$1:$A$1001,customers!$C$1:$C$1001,,0)=0,"", _xlfn.XLOOKUP(C18,customers!$A$1:$A$1001,customers!$C$1:$C$1001,,0))</f>
        <v>malabasterg@hexun.com</v>
      </c>
      <c r="H18" s="3" t="str">
        <f>_xlfn.XLOOKUP(C18,customers!$A$1:$A$1001,customers!$G$1:$G$1001,,0)</f>
        <v>United States</v>
      </c>
      <c r="I18" s="4" t="str">
        <f>INDEX(products!$A$1:$G$49,MATCH(orders!$D18,products!$A$1:$A$49,0),MATCH(orders!I$1,products!$A$1:$G$1,0))</f>
        <v>Ara</v>
      </c>
      <c r="J18" s="4" t="str">
        <f>INDEX(products!$A$1:$G$49,MATCH(orders!$D18,products!$A$1:$A$49,0),MATCH(orders!J$1,products!$A$1:$G$1,0))</f>
        <v>M</v>
      </c>
      <c r="K18" s="6">
        <f>INDEX(products!$A$1:$G$49,MATCH(orders!$D18,products!$A$1:$A$49,0),MATCH(orders!K$1,products!$A$1:$G$1,0))</f>
        <v>0.2</v>
      </c>
      <c r="L18" s="7">
        <f>INDEX(products!$A$1:$G$49,MATCH(orders!$D18,products!$A$1:$A$49,0),MATCH(orders!L$1,products!$A$1:$G$1,0))</f>
        <v>3.375</v>
      </c>
      <c r="M18" s="7">
        <f t="shared" si="0"/>
        <v>20.25</v>
      </c>
      <c r="N18" s="4" t="str" cm="1">
        <f t="array" ref="N18">_xlfn.IFS(I18="Rob","Robusta",I18="Exc","Excelsa",I18="Ara","Arabica",I18="Lib","Liberica")</f>
        <v>Arabica</v>
      </c>
      <c r="O18" s="4" t="str" cm="1">
        <f t="array" ref="O18">_xlfn.IFS(J18="M","Medium",J18="L","Light",J18="D","Dark")</f>
        <v>Medium</v>
      </c>
      <c r="P18" s="4" t="str">
        <f>_xlfn.XLOOKUP(CoffeeOrderstable[[#This Row],[Customer ID]],customers!$A$1:$A$1001,customers!$I$1:$I$1001,,0)</f>
        <v>No</v>
      </c>
    </row>
    <row r="19" spans="1:16" x14ac:dyDescent="0.3">
      <c r="A19" s="3" t="s">
        <v>587</v>
      </c>
      <c r="B19" s="5">
        <v>43757</v>
      </c>
      <c r="C19" s="3" t="s">
        <v>588</v>
      </c>
      <c r="D19" s="4" t="s">
        <v>6140</v>
      </c>
      <c r="E19" s="3">
        <v>6</v>
      </c>
      <c r="F19" s="3" t="str">
        <f>_xlfn.XLOOKUP(C19,customers!$A$1:$A$1001,customers!$B$1:$B$1001,,0)</f>
        <v>Rhianon Broxup</v>
      </c>
      <c r="G19" s="3" t="str">
        <f>IF(_xlfn.XLOOKUP(C19,customers!$A$1:$A$1001,customers!$C$1:$C$1001,,0)=0,"", _xlfn.XLOOKUP(C19,customers!$A$1:$A$1001,customers!$C$1:$C$1001,,0))</f>
        <v>rbroxuph@jimdo.com</v>
      </c>
      <c r="H19" s="3" t="str">
        <f>_xlfn.XLOOKUP(C19,customers!$A$1:$A$1001,customers!$G$1:$G$1001,,0)</f>
        <v>United States</v>
      </c>
      <c r="I19" s="4" t="str">
        <f>INDEX(products!$A$1:$G$49,MATCH(orders!$D19,products!$A$1:$A$49,0),MATCH(orders!I$1,products!$A$1:$G$1,0))</f>
        <v>Ara</v>
      </c>
      <c r="J19" s="4" t="str">
        <f>INDEX(products!$A$1:$G$49,MATCH(orders!$D19,products!$A$1:$A$49,0),MATCH(orders!J$1,products!$A$1:$G$1,0))</f>
        <v>L</v>
      </c>
      <c r="K19" s="6">
        <f>INDEX(products!$A$1:$G$49,MATCH(orders!$D19,products!$A$1:$A$49,0),MATCH(orders!K$1,products!$A$1:$G$1,0))</f>
        <v>1</v>
      </c>
      <c r="L19" s="7">
        <f>INDEX(products!$A$1:$G$49,MATCH(orders!$D19,products!$A$1:$A$49,0),MATCH(orders!L$1,products!$A$1:$G$1,0))</f>
        <v>12.95</v>
      </c>
      <c r="M19" s="7">
        <f t="shared" si="0"/>
        <v>77.699999999999989</v>
      </c>
      <c r="N19" s="4" t="str" cm="1">
        <f t="array" ref="N19">_xlfn.IFS(I19="Rob","Robusta",I19="Exc","Excelsa",I19="Ara","Arabica",I19="Lib","Liberica")</f>
        <v>Arabica</v>
      </c>
      <c r="O19" s="4" t="str" cm="1">
        <f t="array" ref="O19">_xlfn.IFS(J19="M","Medium",J19="L","Light",J19="D","Dark")</f>
        <v>Light</v>
      </c>
      <c r="P19" s="4" t="str">
        <f>_xlfn.XLOOKUP(CoffeeOrderstable[[#This Row],[Customer ID]],customers!$A$1:$A$1001,customers!$I$1:$I$1001,,0)</f>
        <v>No</v>
      </c>
    </row>
    <row r="20" spans="1:16" x14ac:dyDescent="0.3">
      <c r="A20" s="3" t="s">
        <v>593</v>
      </c>
      <c r="B20" s="5">
        <v>43629</v>
      </c>
      <c r="C20" s="3" t="s">
        <v>594</v>
      </c>
      <c r="D20" s="4" t="s">
        <v>6149</v>
      </c>
      <c r="E20" s="3">
        <v>4</v>
      </c>
      <c r="F20" s="3" t="str">
        <f>_xlfn.XLOOKUP(C20,customers!$A$1:$A$1001,customers!$B$1:$B$1001,,0)</f>
        <v>Pall Redford</v>
      </c>
      <c r="G20" s="3" t="str">
        <f>IF(_xlfn.XLOOKUP(C20,customers!$A$1:$A$1001,customers!$C$1:$C$1001,,0)=0,"", _xlfn.XLOOKUP(C20,customers!$A$1:$A$1001,customers!$C$1:$C$1001,,0))</f>
        <v>predfordi@ow.ly</v>
      </c>
      <c r="H20" s="3" t="str">
        <f>_xlfn.XLOOKUP(C20,customers!$A$1:$A$1001,customers!$G$1:$G$1001,,0)</f>
        <v>Ireland</v>
      </c>
      <c r="I20" s="4" t="str">
        <f>INDEX(products!$A$1:$G$49,MATCH(orders!$D20,products!$A$1:$A$49,0),MATCH(orders!I$1,products!$A$1:$G$1,0))</f>
        <v>Rob</v>
      </c>
      <c r="J20" s="4" t="str">
        <f>INDEX(products!$A$1:$G$49,MATCH(orders!$D20,products!$A$1:$A$49,0),MATCH(orders!J$1,products!$A$1:$G$1,0))</f>
        <v>D</v>
      </c>
      <c r="K20" s="6">
        <f>INDEX(products!$A$1:$G$49,MATCH(orders!$D20,products!$A$1:$A$49,0),MATCH(orders!K$1,products!$A$1:$G$1,0))</f>
        <v>2.5</v>
      </c>
      <c r="L20" s="7">
        <f>INDEX(products!$A$1:$G$49,MATCH(orders!$D20,products!$A$1:$A$49,0),MATCH(orders!L$1,products!$A$1:$G$1,0))</f>
        <v>20.584999999999997</v>
      </c>
      <c r="M20" s="7">
        <f t="shared" si="0"/>
        <v>82.339999999999989</v>
      </c>
      <c r="N20" s="4" t="str" cm="1">
        <f t="array" ref="N20">_xlfn.IFS(I20="Rob","Robusta",I20="Exc","Excelsa",I20="Ara","Arabica",I20="Lib","Liberica")</f>
        <v>Robusta</v>
      </c>
      <c r="O20" s="4" t="str" cm="1">
        <f t="array" ref="O20">_xlfn.IFS(J20="M","Medium",J20="L","Light",J20="D","Dark")</f>
        <v>Dark</v>
      </c>
      <c r="P20" s="4" t="str">
        <f>_xlfn.XLOOKUP(CoffeeOrderstable[[#This Row],[Customer ID]],customers!$A$1:$A$1001,customers!$I$1:$I$1001,,0)</f>
        <v>Yes</v>
      </c>
    </row>
    <row r="21" spans="1:16" x14ac:dyDescent="0.3">
      <c r="A21" s="3" t="s">
        <v>598</v>
      </c>
      <c r="B21" s="5">
        <v>44169</v>
      </c>
      <c r="C21" s="3" t="s">
        <v>599</v>
      </c>
      <c r="D21" s="4" t="s">
        <v>6152</v>
      </c>
      <c r="E21" s="3">
        <v>5</v>
      </c>
      <c r="F21" s="3" t="str">
        <f>_xlfn.XLOOKUP(C21,customers!$A$1:$A$1001,customers!$B$1:$B$1001,,0)</f>
        <v>Aurea Corradino</v>
      </c>
      <c r="G21" s="3" t="str">
        <f>IF(_xlfn.XLOOKUP(C21,customers!$A$1:$A$1001,customers!$C$1:$C$1001,,0)=0,"", _xlfn.XLOOKUP(C21,customers!$A$1:$A$1001,customers!$C$1:$C$1001,,0))</f>
        <v>acorradinoj@harvard.edu</v>
      </c>
      <c r="H21" s="3" t="str">
        <f>_xlfn.XLOOKUP(C21,customers!$A$1:$A$1001,customers!$G$1:$G$1001,,0)</f>
        <v>United States</v>
      </c>
      <c r="I21" s="4" t="str">
        <f>INDEX(products!$A$1:$G$49,MATCH(orders!$D21,products!$A$1:$A$49,0),MATCH(orders!I$1,products!$A$1:$G$1,0))</f>
        <v>Ara</v>
      </c>
      <c r="J21" s="4" t="str">
        <f>INDEX(products!$A$1:$G$49,MATCH(orders!$D21,products!$A$1:$A$49,0),MATCH(orders!J$1,products!$A$1:$G$1,0))</f>
        <v>M</v>
      </c>
      <c r="K21" s="6">
        <f>INDEX(products!$A$1:$G$49,MATCH(orders!$D21,products!$A$1:$A$49,0),MATCH(orders!K$1,products!$A$1:$G$1,0))</f>
        <v>0.2</v>
      </c>
      <c r="L21" s="7">
        <f>INDEX(products!$A$1:$G$49,MATCH(orders!$D21,products!$A$1:$A$49,0),MATCH(orders!L$1,products!$A$1:$G$1,0))</f>
        <v>3.375</v>
      </c>
      <c r="M21" s="7">
        <f t="shared" si="0"/>
        <v>16.875</v>
      </c>
      <c r="N21" s="4" t="str" cm="1">
        <f t="array" ref="N21">_xlfn.IFS(I21="Rob","Robusta",I21="Exc","Excelsa",I21="Ara","Arabica",I21="Lib","Liberica")</f>
        <v>Arabica</v>
      </c>
      <c r="O21" s="4" t="str" cm="1">
        <f t="array" ref="O21">_xlfn.IFS(J21="M","Medium",J21="L","Light",J21="D","Dark")</f>
        <v>Medium</v>
      </c>
      <c r="P21" s="4" t="str">
        <f>_xlfn.XLOOKUP(CoffeeOrderstable[[#This Row],[Customer ID]],customers!$A$1:$A$1001,customers!$I$1:$I$1001,,0)</f>
        <v>Yes</v>
      </c>
    </row>
    <row r="22" spans="1:16" x14ac:dyDescent="0.3">
      <c r="A22" s="3" t="s">
        <v>598</v>
      </c>
      <c r="B22" s="5">
        <v>44169</v>
      </c>
      <c r="C22" s="3" t="s">
        <v>599</v>
      </c>
      <c r="D22" s="4" t="s">
        <v>6153</v>
      </c>
      <c r="E22" s="3">
        <v>4</v>
      </c>
      <c r="F22" s="3" t="str">
        <f>_xlfn.XLOOKUP(C22,customers!$A$1:$A$1001,customers!$B$1:$B$1001,,0)</f>
        <v>Aurea Corradino</v>
      </c>
      <c r="G22" s="3" t="str">
        <f>IF(_xlfn.XLOOKUP(C22,customers!$A$1:$A$1001,customers!$C$1:$C$1001,,0)=0,"", _xlfn.XLOOKUP(C22,customers!$A$1:$A$1001,customers!$C$1:$C$1001,,0))</f>
        <v>acorradinoj@harvard.edu</v>
      </c>
      <c r="H22" s="3" t="str">
        <f>_xlfn.XLOOKUP(C22,customers!$A$1:$A$1001,customers!$G$1:$G$1001,,0)</f>
        <v>United States</v>
      </c>
      <c r="I22" s="4" t="str">
        <f>INDEX(products!$A$1:$G$49,MATCH(orders!$D22,products!$A$1:$A$49,0),MATCH(orders!I$1,products!$A$1:$G$1,0))</f>
        <v>Exc</v>
      </c>
      <c r="J22" s="4" t="str">
        <f>INDEX(products!$A$1:$G$49,MATCH(orders!$D22,products!$A$1:$A$49,0),MATCH(orders!J$1,products!$A$1:$G$1,0))</f>
        <v>D</v>
      </c>
      <c r="K22" s="6">
        <f>INDEX(products!$A$1:$G$49,MATCH(orders!$D22,products!$A$1:$A$49,0),MATCH(orders!K$1,products!$A$1:$G$1,0))</f>
        <v>0.2</v>
      </c>
      <c r="L22" s="7">
        <f>INDEX(products!$A$1:$G$49,MATCH(orders!$D22,products!$A$1:$A$49,0),MATCH(orders!L$1,products!$A$1:$G$1,0))</f>
        <v>3.645</v>
      </c>
      <c r="M22" s="7">
        <f t="shared" si="0"/>
        <v>14.58</v>
      </c>
      <c r="N22" s="4" t="str" cm="1">
        <f t="array" ref="N22">_xlfn.IFS(I22="Rob","Robusta",I22="Exc","Excelsa",I22="Ara","Arabica",I22="Lib","Liberica")</f>
        <v>Excelsa</v>
      </c>
      <c r="O22" s="4" t="str" cm="1">
        <f t="array" ref="O22">_xlfn.IFS(J22="M","Medium",J22="L","Light",J22="D","Dark")</f>
        <v>Dark</v>
      </c>
      <c r="P22" s="4" t="str">
        <f>_xlfn.XLOOKUP(CoffeeOrderstable[[#This Row],[Customer ID]],customers!$A$1:$A$1001,customers!$I$1:$I$1001,,0)</f>
        <v>Yes</v>
      </c>
    </row>
    <row r="23" spans="1:16" x14ac:dyDescent="0.3">
      <c r="A23" s="3" t="s">
        <v>608</v>
      </c>
      <c r="B23" s="5">
        <v>44169</v>
      </c>
      <c r="C23" s="3" t="s">
        <v>609</v>
      </c>
      <c r="D23" s="4" t="s">
        <v>6154</v>
      </c>
      <c r="E23" s="3">
        <v>6</v>
      </c>
      <c r="F23" s="3" t="str">
        <f>_xlfn.XLOOKUP(C23,customers!$A$1:$A$1001,customers!$B$1:$B$1001,,0)</f>
        <v>Avrit Davidowsky</v>
      </c>
      <c r="G23" s="3" t="str">
        <f>IF(_xlfn.XLOOKUP(C23,customers!$A$1:$A$1001,customers!$C$1:$C$1001,,0)=0,"", _xlfn.XLOOKUP(C23,customers!$A$1:$A$1001,customers!$C$1:$C$1001,,0))</f>
        <v>adavidowskyl@netvibes.com</v>
      </c>
      <c r="H23" s="3" t="str">
        <f>_xlfn.XLOOKUP(C23,customers!$A$1:$A$1001,customers!$G$1:$G$1001,,0)</f>
        <v>United States</v>
      </c>
      <c r="I23" s="4" t="str">
        <f>INDEX(products!$A$1:$G$49,MATCH(orders!$D23,products!$A$1:$A$49,0),MATCH(orders!I$1,products!$A$1:$G$1,0))</f>
        <v>Ara</v>
      </c>
      <c r="J23" s="4" t="str">
        <f>INDEX(products!$A$1:$G$49,MATCH(orders!$D23,products!$A$1:$A$49,0),MATCH(orders!J$1,products!$A$1:$G$1,0))</f>
        <v>D</v>
      </c>
      <c r="K23" s="6">
        <f>INDEX(products!$A$1:$G$49,MATCH(orders!$D23,products!$A$1:$A$49,0),MATCH(orders!K$1,products!$A$1:$G$1,0))</f>
        <v>0.2</v>
      </c>
      <c r="L23" s="7">
        <f>INDEX(products!$A$1:$G$49,MATCH(orders!$D23,products!$A$1:$A$49,0),MATCH(orders!L$1,products!$A$1:$G$1,0))</f>
        <v>2.9849999999999999</v>
      </c>
      <c r="M23" s="7">
        <f t="shared" si="0"/>
        <v>17.91</v>
      </c>
      <c r="N23" s="4" t="str" cm="1">
        <f t="array" ref="N23">_xlfn.IFS(I23="Rob","Robusta",I23="Exc","Excelsa",I23="Ara","Arabica",I23="Lib","Liberica")</f>
        <v>Arabica</v>
      </c>
      <c r="O23" s="4" t="str" cm="1">
        <f t="array" ref="O23">_xlfn.IFS(J23="M","Medium",J23="L","Light",J23="D","Dark")</f>
        <v>Dark</v>
      </c>
      <c r="P23" s="4" t="str">
        <f>_xlfn.XLOOKUP(CoffeeOrderstable[[#This Row],[Customer ID]],customers!$A$1:$A$1001,customers!$I$1:$I$1001,,0)</f>
        <v>No</v>
      </c>
    </row>
    <row r="24" spans="1:16" x14ac:dyDescent="0.3">
      <c r="A24" s="3" t="s">
        <v>614</v>
      </c>
      <c r="B24" s="5">
        <v>44218</v>
      </c>
      <c r="C24" s="3" t="s">
        <v>615</v>
      </c>
      <c r="D24" s="4" t="s">
        <v>6151</v>
      </c>
      <c r="E24" s="3">
        <v>4</v>
      </c>
      <c r="F24" s="3" t="str">
        <f>_xlfn.XLOOKUP(C24,customers!$A$1:$A$1001,customers!$B$1:$B$1001,,0)</f>
        <v>Annabel Antuk</v>
      </c>
      <c r="G24" s="3" t="str">
        <f>IF(_xlfn.XLOOKUP(C24,customers!$A$1:$A$1001,customers!$C$1:$C$1001,,0)=0,"", _xlfn.XLOOKUP(C24,customers!$A$1:$A$1001,customers!$C$1:$C$1001,,0))</f>
        <v>aantukm@kickstarter.com</v>
      </c>
      <c r="H24" s="3" t="str">
        <f>_xlfn.XLOOKUP(C24,customers!$A$1:$A$1001,customers!$G$1:$G$1001,,0)</f>
        <v>United States</v>
      </c>
      <c r="I24" s="4" t="str">
        <f>INDEX(products!$A$1:$G$49,MATCH(orders!$D24,products!$A$1:$A$49,0),MATCH(orders!I$1,products!$A$1:$G$1,0))</f>
        <v>Rob</v>
      </c>
      <c r="J24" s="4" t="str">
        <f>INDEX(products!$A$1:$G$49,MATCH(orders!$D24,products!$A$1:$A$49,0),MATCH(orders!J$1,products!$A$1:$G$1,0))</f>
        <v>M</v>
      </c>
      <c r="K24" s="6">
        <f>INDEX(products!$A$1:$G$49,MATCH(orders!$D24,products!$A$1:$A$49,0),MATCH(orders!K$1,products!$A$1:$G$1,0))</f>
        <v>2.5</v>
      </c>
      <c r="L24" s="7">
        <f>INDEX(products!$A$1:$G$49,MATCH(orders!$D24,products!$A$1:$A$49,0),MATCH(orders!L$1,products!$A$1:$G$1,0))</f>
        <v>22.884999999999998</v>
      </c>
      <c r="M24" s="7">
        <f t="shared" si="0"/>
        <v>91.539999999999992</v>
      </c>
      <c r="N24" s="4" t="str" cm="1">
        <f t="array" ref="N24">_xlfn.IFS(I24="Rob","Robusta",I24="Exc","Excelsa",I24="Ara","Arabica",I24="Lib","Liberica")</f>
        <v>Robusta</v>
      </c>
      <c r="O24" s="4" t="str" cm="1">
        <f t="array" ref="O24">_xlfn.IFS(J24="M","Medium",J24="L","Light",J24="D","Dark")</f>
        <v>Medium</v>
      </c>
      <c r="P24" s="4" t="str">
        <f>_xlfn.XLOOKUP(CoffeeOrderstable[[#This Row],[Customer ID]],customers!$A$1:$A$1001,customers!$I$1:$I$1001,,0)</f>
        <v>Yes</v>
      </c>
    </row>
    <row r="25" spans="1:16" x14ac:dyDescent="0.3">
      <c r="A25" s="3" t="s">
        <v>620</v>
      </c>
      <c r="B25" s="5">
        <v>44603</v>
      </c>
      <c r="C25" s="3" t="s">
        <v>621</v>
      </c>
      <c r="D25" s="4" t="s">
        <v>6154</v>
      </c>
      <c r="E25" s="3">
        <v>4</v>
      </c>
      <c r="F25" s="3" t="str">
        <f>_xlfn.XLOOKUP(C25,customers!$A$1:$A$1001,customers!$B$1:$B$1001,,0)</f>
        <v>Iorgo Kleinert</v>
      </c>
      <c r="G25" s="3" t="str">
        <f>IF(_xlfn.XLOOKUP(C25,customers!$A$1:$A$1001,customers!$C$1:$C$1001,,0)=0,"", _xlfn.XLOOKUP(C25,customers!$A$1:$A$1001,customers!$C$1:$C$1001,,0))</f>
        <v>ikleinertn@timesonline.co.uk</v>
      </c>
      <c r="H25" s="3" t="str">
        <f>_xlfn.XLOOKUP(C25,customers!$A$1:$A$1001,customers!$G$1:$G$1001,,0)</f>
        <v>United States</v>
      </c>
      <c r="I25" s="4" t="str">
        <f>INDEX(products!$A$1:$G$49,MATCH(orders!$D25,products!$A$1:$A$49,0),MATCH(orders!I$1,products!$A$1:$G$1,0))</f>
        <v>Ara</v>
      </c>
      <c r="J25" s="4" t="str">
        <f>INDEX(products!$A$1:$G$49,MATCH(orders!$D25,products!$A$1:$A$49,0),MATCH(orders!J$1,products!$A$1:$G$1,0))</f>
        <v>D</v>
      </c>
      <c r="K25" s="6">
        <f>INDEX(products!$A$1:$G$49,MATCH(orders!$D25,products!$A$1:$A$49,0),MATCH(orders!K$1,products!$A$1:$G$1,0))</f>
        <v>0.2</v>
      </c>
      <c r="L25" s="7">
        <f>INDEX(products!$A$1:$G$49,MATCH(orders!$D25,products!$A$1:$A$49,0),MATCH(orders!L$1,products!$A$1:$G$1,0))</f>
        <v>2.9849999999999999</v>
      </c>
      <c r="M25" s="7">
        <f t="shared" si="0"/>
        <v>11.94</v>
      </c>
      <c r="N25" s="4" t="str" cm="1">
        <f t="array" ref="N25">_xlfn.IFS(I25="Rob","Robusta",I25="Exc","Excelsa",I25="Ara","Arabica",I25="Lib","Liberica")</f>
        <v>Arabica</v>
      </c>
      <c r="O25" s="4" t="str" cm="1">
        <f t="array" ref="O25">_xlfn.IFS(J25="M","Medium",J25="L","Light",J25="D","Dark")</f>
        <v>Dark</v>
      </c>
      <c r="P25" s="4" t="str">
        <f>_xlfn.XLOOKUP(CoffeeOrderstable[[#This Row],[Customer ID]],customers!$A$1:$A$1001,customers!$I$1:$I$1001,,0)</f>
        <v>Yes</v>
      </c>
    </row>
    <row r="26" spans="1:16" x14ac:dyDescent="0.3">
      <c r="A26" s="3" t="s">
        <v>626</v>
      </c>
      <c r="B26" s="5">
        <v>44454</v>
      </c>
      <c r="C26" s="3" t="s">
        <v>627</v>
      </c>
      <c r="D26" s="4" t="s">
        <v>6155</v>
      </c>
      <c r="E26" s="3">
        <v>1</v>
      </c>
      <c r="F26" s="3" t="str">
        <f>_xlfn.XLOOKUP(C26,customers!$A$1:$A$1001,customers!$B$1:$B$1001,,0)</f>
        <v>Chrisy Blofeld</v>
      </c>
      <c r="G26" s="3" t="str">
        <f>IF(_xlfn.XLOOKUP(C26,customers!$A$1:$A$1001,customers!$C$1:$C$1001,,0)=0,"", _xlfn.XLOOKUP(C26,customers!$A$1:$A$1001,customers!$C$1:$C$1001,,0))</f>
        <v>cblofeldo@amazon.co.uk</v>
      </c>
      <c r="H26" s="3" t="str">
        <f>_xlfn.XLOOKUP(C26,customers!$A$1:$A$1001,customers!$G$1:$G$1001,,0)</f>
        <v>United States</v>
      </c>
      <c r="I26" s="4" t="str">
        <f>INDEX(products!$A$1:$G$49,MATCH(orders!$D26,products!$A$1:$A$49,0),MATCH(orders!I$1,products!$A$1:$G$1,0))</f>
        <v>Ara</v>
      </c>
      <c r="J26" s="4" t="str">
        <f>INDEX(products!$A$1:$G$49,MATCH(orders!$D26,products!$A$1:$A$49,0),MATCH(orders!J$1,products!$A$1:$G$1,0))</f>
        <v>M</v>
      </c>
      <c r="K26" s="6">
        <f>INDEX(products!$A$1:$G$49,MATCH(orders!$D26,products!$A$1:$A$49,0),MATCH(orders!K$1,products!$A$1:$G$1,0))</f>
        <v>1</v>
      </c>
      <c r="L26" s="7">
        <f>INDEX(products!$A$1:$G$49,MATCH(orders!$D26,products!$A$1:$A$49,0),MATCH(orders!L$1,products!$A$1:$G$1,0))</f>
        <v>11.25</v>
      </c>
      <c r="M26" s="7">
        <f t="shared" si="0"/>
        <v>11.25</v>
      </c>
      <c r="N26" s="4" t="str" cm="1">
        <f t="array" ref="N26">_xlfn.IFS(I26="Rob","Robusta",I26="Exc","Excelsa",I26="Ara","Arabica",I26="Lib","Liberica")</f>
        <v>Arabica</v>
      </c>
      <c r="O26" s="4" t="str" cm="1">
        <f t="array" ref="O26">_xlfn.IFS(J26="M","Medium",J26="L","Light",J26="D","Dark")</f>
        <v>Medium</v>
      </c>
      <c r="P26" s="4" t="str">
        <f>_xlfn.XLOOKUP(CoffeeOrderstable[[#This Row],[Customer ID]],customers!$A$1:$A$1001,customers!$I$1:$I$1001,,0)</f>
        <v>No</v>
      </c>
    </row>
    <row r="27" spans="1:16" x14ac:dyDescent="0.3">
      <c r="A27" s="3" t="s">
        <v>632</v>
      </c>
      <c r="B27" s="5">
        <v>44128</v>
      </c>
      <c r="C27" s="3" t="s">
        <v>633</v>
      </c>
      <c r="D27" s="4" t="s">
        <v>6156</v>
      </c>
      <c r="E27" s="3">
        <v>3</v>
      </c>
      <c r="F27" s="3" t="str">
        <f>_xlfn.XLOOKUP(C27,customers!$A$1:$A$1001,customers!$B$1:$B$1001,,0)</f>
        <v>Culley Farris</v>
      </c>
      <c r="G27" s="3" t="str">
        <f>IF(_xlfn.XLOOKUP(C27,customers!$A$1:$A$1001,customers!$C$1:$C$1001,,0)=0,"", _xlfn.XLOOKUP(C27,customers!$A$1:$A$1001,customers!$C$1:$C$1001,,0))</f>
        <v/>
      </c>
      <c r="H27" s="3" t="str">
        <f>_xlfn.XLOOKUP(C27,customers!$A$1:$A$1001,customers!$G$1:$G$1001,,0)</f>
        <v>United States</v>
      </c>
      <c r="I27" s="4" t="str">
        <f>INDEX(products!$A$1:$G$49,MATCH(orders!$D27,products!$A$1:$A$49,0),MATCH(orders!I$1,products!$A$1:$G$1,0))</f>
        <v>Exc</v>
      </c>
      <c r="J27" s="4" t="str">
        <f>INDEX(products!$A$1:$G$49,MATCH(orders!$D27,products!$A$1:$A$49,0),MATCH(orders!J$1,products!$A$1:$G$1,0))</f>
        <v>M</v>
      </c>
      <c r="K27" s="6">
        <f>INDEX(products!$A$1:$G$49,MATCH(orders!$D27,products!$A$1:$A$49,0),MATCH(orders!K$1,products!$A$1:$G$1,0))</f>
        <v>0.2</v>
      </c>
      <c r="L27" s="7">
        <f>INDEX(products!$A$1:$G$49,MATCH(orders!$D27,products!$A$1:$A$49,0),MATCH(orders!L$1,products!$A$1:$G$1,0))</f>
        <v>4.125</v>
      </c>
      <c r="M27" s="7">
        <f t="shared" si="0"/>
        <v>12.375</v>
      </c>
      <c r="N27" s="4" t="str" cm="1">
        <f t="array" ref="N27">_xlfn.IFS(I27="Rob","Robusta",I27="Exc","Excelsa",I27="Ara","Arabica",I27="Lib","Liberica")</f>
        <v>Excelsa</v>
      </c>
      <c r="O27" s="4" t="str" cm="1">
        <f t="array" ref="O27">_xlfn.IFS(J27="M","Medium",J27="L","Light",J27="D","Dark")</f>
        <v>Medium</v>
      </c>
      <c r="P27" s="4" t="str">
        <f>_xlfn.XLOOKUP(CoffeeOrderstable[[#This Row],[Customer ID]],customers!$A$1:$A$1001,customers!$I$1:$I$1001,,0)</f>
        <v>Yes</v>
      </c>
    </row>
    <row r="28" spans="1:16" x14ac:dyDescent="0.3">
      <c r="A28" s="3" t="s">
        <v>637</v>
      </c>
      <c r="B28" s="5">
        <v>43516</v>
      </c>
      <c r="C28" s="3" t="s">
        <v>638</v>
      </c>
      <c r="D28" s="4" t="s">
        <v>6157</v>
      </c>
      <c r="E28" s="3">
        <v>4</v>
      </c>
      <c r="F28" s="3" t="str">
        <f>_xlfn.XLOOKUP(C28,customers!$A$1:$A$1001,customers!$B$1:$B$1001,,0)</f>
        <v>Selene Shales</v>
      </c>
      <c r="G28" s="3" t="str">
        <f>IF(_xlfn.XLOOKUP(C28,customers!$A$1:$A$1001,customers!$C$1:$C$1001,,0)=0,"", _xlfn.XLOOKUP(C28,customers!$A$1:$A$1001,customers!$C$1:$C$1001,,0))</f>
        <v>sshalesq@umich.edu</v>
      </c>
      <c r="H28" s="3" t="str">
        <f>_xlfn.XLOOKUP(C28,customers!$A$1:$A$1001,customers!$G$1:$G$1001,,0)</f>
        <v>United States</v>
      </c>
      <c r="I28" s="4" t="str">
        <f>INDEX(products!$A$1:$G$49,MATCH(orders!$D28,products!$A$1:$A$49,0),MATCH(orders!I$1,products!$A$1:$G$1,0))</f>
        <v>Ara</v>
      </c>
      <c r="J28" s="4" t="str">
        <f>INDEX(products!$A$1:$G$49,MATCH(orders!$D28,products!$A$1:$A$49,0),MATCH(orders!J$1,products!$A$1:$G$1,0))</f>
        <v>M</v>
      </c>
      <c r="K28" s="6">
        <f>INDEX(products!$A$1:$G$49,MATCH(orders!$D28,products!$A$1:$A$49,0),MATCH(orders!K$1,products!$A$1:$G$1,0))</f>
        <v>0.5</v>
      </c>
      <c r="L28" s="7">
        <f>INDEX(products!$A$1:$G$49,MATCH(orders!$D28,products!$A$1:$A$49,0),MATCH(orders!L$1,products!$A$1:$G$1,0))</f>
        <v>6.75</v>
      </c>
      <c r="M28" s="7">
        <f t="shared" si="0"/>
        <v>27</v>
      </c>
      <c r="N28" s="4" t="str" cm="1">
        <f t="array" ref="N28">_xlfn.IFS(I28="Rob","Robusta",I28="Exc","Excelsa",I28="Ara","Arabica",I28="Lib","Liberica")</f>
        <v>Arabica</v>
      </c>
      <c r="O28" s="4" t="str" cm="1">
        <f t="array" ref="O28">_xlfn.IFS(J28="M","Medium",J28="L","Light",J28="D","Dark")</f>
        <v>Medium</v>
      </c>
      <c r="P28" s="4" t="str">
        <f>_xlfn.XLOOKUP(CoffeeOrderstable[[#This Row],[Customer ID]],customers!$A$1:$A$1001,customers!$I$1:$I$1001,,0)</f>
        <v>Yes</v>
      </c>
    </row>
    <row r="29" spans="1:16" x14ac:dyDescent="0.3">
      <c r="A29" s="3" t="s">
        <v>643</v>
      </c>
      <c r="B29" s="5">
        <v>43746</v>
      </c>
      <c r="C29" s="3" t="s">
        <v>644</v>
      </c>
      <c r="D29" s="4" t="s">
        <v>6152</v>
      </c>
      <c r="E29" s="3">
        <v>5</v>
      </c>
      <c r="F29" s="3" t="str">
        <f>_xlfn.XLOOKUP(C29,customers!$A$1:$A$1001,customers!$B$1:$B$1001,,0)</f>
        <v>Vivie Danneil</v>
      </c>
      <c r="G29" s="3" t="str">
        <f>IF(_xlfn.XLOOKUP(C29,customers!$A$1:$A$1001,customers!$C$1:$C$1001,,0)=0,"", _xlfn.XLOOKUP(C29,customers!$A$1:$A$1001,customers!$C$1:$C$1001,,0))</f>
        <v>vdanneilr@mtv.com</v>
      </c>
      <c r="H29" s="3" t="str">
        <f>_xlfn.XLOOKUP(C29,customers!$A$1:$A$1001,customers!$G$1:$G$1001,,0)</f>
        <v>Ireland</v>
      </c>
      <c r="I29" s="4" t="str">
        <f>INDEX(products!$A$1:$G$49,MATCH(orders!$D29,products!$A$1:$A$49,0),MATCH(orders!I$1,products!$A$1:$G$1,0))</f>
        <v>Ara</v>
      </c>
      <c r="J29" s="4" t="str">
        <f>INDEX(products!$A$1:$G$49,MATCH(orders!$D29,products!$A$1:$A$49,0),MATCH(orders!J$1,products!$A$1:$G$1,0))</f>
        <v>M</v>
      </c>
      <c r="K29" s="6">
        <f>INDEX(products!$A$1:$G$49,MATCH(orders!$D29,products!$A$1:$A$49,0),MATCH(orders!K$1,products!$A$1:$G$1,0))</f>
        <v>0.2</v>
      </c>
      <c r="L29" s="7">
        <f>INDEX(products!$A$1:$G$49,MATCH(orders!$D29,products!$A$1:$A$49,0),MATCH(orders!L$1,products!$A$1:$G$1,0))</f>
        <v>3.375</v>
      </c>
      <c r="M29" s="7">
        <f t="shared" si="0"/>
        <v>16.875</v>
      </c>
      <c r="N29" s="4" t="str" cm="1">
        <f t="array" ref="N29">_xlfn.IFS(I29="Rob","Robusta",I29="Exc","Excelsa",I29="Ara","Arabica",I29="Lib","Liberica")</f>
        <v>Arabica</v>
      </c>
      <c r="O29" s="4" t="str" cm="1">
        <f t="array" ref="O29">_xlfn.IFS(J29="M","Medium",J29="L","Light",J29="D","Dark")</f>
        <v>Medium</v>
      </c>
      <c r="P29" s="4" t="str">
        <f>_xlfn.XLOOKUP(CoffeeOrderstable[[#This Row],[Customer ID]],customers!$A$1:$A$1001,customers!$I$1:$I$1001,,0)</f>
        <v>No</v>
      </c>
    </row>
    <row r="30" spans="1:16" x14ac:dyDescent="0.3">
      <c r="A30" s="3" t="s">
        <v>649</v>
      </c>
      <c r="B30" s="5">
        <v>44775</v>
      </c>
      <c r="C30" s="3" t="s">
        <v>650</v>
      </c>
      <c r="D30" s="4" t="s">
        <v>6158</v>
      </c>
      <c r="E30" s="3">
        <v>3</v>
      </c>
      <c r="F30" s="3" t="str">
        <f>_xlfn.XLOOKUP(C30,customers!$A$1:$A$1001,customers!$B$1:$B$1001,,0)</f>
        <v>Theresita Newbury</v>
      </c>
      <c r="G30" s="3" t="str">
        <f>IF(_xlfn.XLOOKUP(C30,customers!$A$1:$A$1001,customers!$C$1:$C$1001,,0)=0,"", _xlfn.XLOOKUP(C30,customers!$A$1:$A$1001,customers!$C$1:$C$1001,,0))</f>
        <v>tnewburys@usda.gov</v>
      </c>
      <c r="H30" s="3" t="str">
        <f>_xlfn.XLOOKUP(C30,customers!$A$1:$A$1001,customers!$G$1:$G$1001,,0)</f>
        <v>Ireland</v>
      </c>
      <c r="I30" s="4" t="str">
        <f>INDEX(products!$A$1:$G$49,MATCH(orders!$D30,products!$A$1:$A$49,0),MATCH(orders!I$1,products!$A$1:$G$1,0))</f>
        <v>Ara</v>
      </c>
      <c r="J30" s="4" t="str">
        <f>INDEX(products!$A$1:$G$49,MATCH(orders!$D30,products!$A$1:$A$49,0),MATCH(orders!J$1,products!$A$1:$G$1,0))</f>
        <v>D</v>
      </c>
      <c r="K30" s="6">
        <f>INDEX(products!$A$1:$G$49,MATCH(orders!$D30,products!$A$1:$A$49,0),MATCH(orders!K$1,products!$A$1:$G$1,0))</f>
        <v>0.5</v>
      </c>
      <c r="L30" s="7">
        <f>INDEX(products!$A$1:$G$49,MATCH(orders!$D30,products!$A$1:$A$49,0),MATCH(orders!L$1,products!$A$1:$G$1,0))</f>
        <v>5.97</v>
      </c>
      <c r="M30" s="7">
        <f t="shared" si="0"/>
        <v>17.91</v>
      </c>
      <c r="N30" s="4" t="str" cm="1">
        <f t="array" ref="N30">_xlfn.IFS(I30="Rob","Robusta",I30="Exc","Excelsa",I30="Ara","Arabica",I30="Lib","Liberica")</f>
        <v>Arabica</v>
      </c>
      <c r="O30" s="4" t="str" cm="1">
        <f t="array" ref="O30">_xlfn.IFS(J30="M","Medium",J30="L","Light",J30="D","Dark")</f>
        <v>Dark</v>
      </c>
      <c r="P30" s="4" t="str">
        <f>_xlfn.XLOOKUP(CoffeeOrderstable[[#This Row],[Customer ID]],customers!$A$1:$A$1001,customers!$I$1:$I$1001,,0)</f>
        <v>No</v>
      </c>
    </row>
    <row r="31" spans="1:16" x14ac:dyDescent="0.3">
      <c r="A31" s="3" t="s">
        <v>655</v>
      </c>
      <c r="B31" s="5">
        <v>43516</v>
      </c>
      <c r="C31" s="3" t="s">
        <v>656</v>
      </c>
      <c r="D31" s="4" t="s">
        <v>6147</v>
      </c>
      <c r="E31" s="3">
        <v>4</v>
      </c>
      <c r="F31" s="3" t="str">
        <f>_xlfn.XLOOKUP(C31,customers!$A$1:$A$1001,customers!$B$1:$B$1001,,0)</f>
        <v>Mozelle Calcutt</v>
      </c>
      <c r="G31" s="3" t="str">
        <f>IF(_xlfn.XLOOKUP(C31,customers!$A$1:$A$1001,customers!$C$1:$C$1001,,0)=0,"", _xlfn.XLOOKUP(C31,customers!$A$1:$A$1001,customers!$C$1:$C$1001,,0))</f>
        <v>mcalcuttt@baidu.com</v>
      </c>
      <c r="H31" s="3" t="str">
        <f>_xlfn.XLOOKUP(C31,customers!$A$1:$A$1001,customers!$G$1:$G$1001,,0)</f>
        <v>Ireland</v>
      </c>
      <c r="I31" s="4" t="str">
        <f>INDEX(products!$A$1:$G$49,MATCH(orders!$D31,products!$A$1:$A$49,0),MATCH(orders!I$1,products!$A$1:$G$1,0))</f>
        <v>Ara</v>
      </c>
      <c r="J31" s="4" t="str">
        <f>INDEX(products!$A$1:$G$49,MATCH(orders!$D31,products!$A$1:$A$49,0),MATCH(orders!J$1,products!$A$1:$G$1,0))</f>
        <v>D</v>
      </c>
      <c r="K31" s="6">
        <f>INDEX(products!$A$1:$G$49,MATCH(orders!$D31,products!$A$1:$A$49,0),MATCH(orders!K$1,products!$A$1:$G$1,0))</f>
        <v>1</v>
      </c>
      <c r="L31" s="7">
        <f>INDEX(products!$A$1:$G$49,MATCH(orders!$D31,products!$A$1:$A$49,0),MATCH(orders!L$1,products!$A$1:$G$1,0))</f>
        <v>9.9499999999999993</v>
      </c>
      <c r="M31" s="7">
        <f t="shared" si="0"/>
        <v>39.799999999999997</v>
      </c>
      <c r="N31" s="4" t="str" cm="1">
        <f t="array" ref="N31">_xlfn.IFS(I31="Rob","Robusta",I31="Exc","Excelsa",I31="Ara","Arabica",I31="Lib","Liberica")</f>
        <v>Arabica</v>
      </c>
      <c r="O31" s="4" t="str" cm="1">
        <f t="array" ref="O31">_xlfn.IFS(J31="M","Medium",J31="L","Light",J31="D","Dark")</f>
        <v>Dark</v>
      </c>
      <c r="P31" s="4" t="str">
        <f>_xlfn.XLOOKUP(CoffeeOrderstable[[#This Row],[Customer ID]],customers!$A$1:$A$1001,customers!$I$1:$I$1001,,0)</f>
        <v>Yes</v>
      </c>
    </row>
    <row r="32" spans="1:16" x14ac:dyDescent="0.3">
      <c r="A32" s="3" t="s">
        <v>661</v>
      </c>
      <c r="B32" s="5">
        <v>44464</v>
      </c>
      <c r="C32" s="3" t="s">
        <v>662</v>
      </c>
      <c r="D32" s="4" t="s">
        <v>6159</v>
      </c>
      <c r="E32" s="3">
        <v>5</v>
      </c>
      <c r="F32" s="3" t="str">
        <f>_xlfn.XLOOKUP(C32,customers!$A$1:$A$1001,customers!$B$1:$B$1001,,0)</f>
        <v>Adrian Swaine</v>
      </c>
      <c r="G32" s="3" t="str">
        <f>IF(_xlfn.XLOOKUP(C32,customers!$A$1:$A$1001,customers!$C$1:$C$1001,,0)=0,"", _xlfn.XLOOKUP(C32,customers!$A$1:$A$1001,customers!$C$1:$C$1001,,0))</f>
        <v/>
      </c>
      <c r="H32" s="3" t="str">
        <f>_xlfn.XLOOKUP(C32,customers!$A$1:$A$1001,customers!$G$1:$G$1001,,0)</f>
        <v>United States</v>
      </c>
      <c r="I32" s="4" t="str">
        <f>INDEX(products!$A$1:$G$49,MATCH(orders!$D32,products!$A$1:$A$49,0),MATCH(orders!I$1,products!$A$1:$G$1,0))</f>
        <v>Lib</v>
      </c>
      <c r="J32" s="4" t="str">
        <f>INDEX(products!$A$1:$G$49,MATCH(orders!$D32,products!$A$1:$A$49,0),MATCH(orders!J$1,products!$A$1:$G$1,0))</f>
        <v>M</v>
      </c>
      <c r="K32" s="6">
        <f>INDEX(products!$A$1:$G$49,MATCH(orders!$D32,products!$A$1:$A$49,0),MATCH(orders!K$1,products!$A$1:$G$1,0))</f>
        <v>0.2</v>
      </c>
      <c r="L32" s="7">
        <f>INDEX(products!$A$1:$G$49,MATCH(orders!$D32,products!$A$1:$A$49,0),MATCH(orders!L$1,products!$A$1:$G$1,0))</f>
        <v>4.3650000000000002</v>
      </c>
      <c r="M32" s="7">
        <f t="shared" si="0"/>
        <v>21.825000000000003</v>
      </c>
      <c r="N32" s="4" t="str" cm="1">
        <f t="array" ref="N32">_xlfn.IFS(I32="Rob","Robusta",I32="Exc","Excelsa",I32="Ara","Arabica",I32="Lib","Liberica")</f>
        <v>Liberica</v>
      </c>
      <c r="O32" s="4" t="str" cm="1">
        <f t="array" ref="O32">_xlfn.IFS(J32="M","Medium",J32="L","Light",J32="D","Dark")</f>
        <v>Medium</v>
      </c>
      <c r="P32" s="4" t="str">
        <f>_xlfn.XLOOKUP(CoffeeOrderstable[[#This Row],[Customer ID]],customers!$A$1:$A$1001,customers!$I$1:$I$1001,,0)</f>
        <v>No</v>
      </c>
    </row>
    <row r="33" spans="1:16" x14ac:dyDescent="0.3">
      <c r="A33" s="3" t="s">
        <v>661</v>
      </c>
      <c r="B33" s="5">
        <v>44464</v>
      </c>
      <c r="C33" s="3" t="s">
        <v>662</v>
      </c>
      <c r="D33" s="4" t="s">
        <v>6158</v>
      </c>
      <c r="E33" s="3">
        <v>6</v>
      </c>
      <c r="F33" s="3" t="str">
        <f>_xlfn.XLOOKUP(C33,customers!$A$1:$A$1001,customers!$B$1:$B$1001,,0)</f>
        <v>Adrian Swaine</v>
      </c>
      <c r="G33" s="3" t="str">
        <f>IF(_xlfn.XLOOKUP(C33,customers!$A$1:$A$1001,customers!$C$1:$C$1001,,0)=0,"", _xlfn.XLOOKUP(C33,customers!$A$1:$A$1001,customers!$C$1:$C$1001,,0))</f>
        <v/>
      </c>
      <c r="H33" s="3" t="str">
        <f>_xlfn.XLOOKUP(C33,customers!$A$1:$A$1001,customers!$G$1:$G$1001,,0)</f>
        <v>United States</v>
      </c>
      <c r="I33" s="4" t="str">
        <f>INDEX(products!$A$1:$G$49,MATCH(orders!$D33,products!$A$1:$A$49,0),MATCH(orders!I$1,products!$A$1:$G$1,0))</f>
        <v>Ara</v>
      </c>
      <c r="J33" s="4" t="str">
        <f>INDEX(products!$A$1:$G$49,MATCH(orders!$D33,products!$A$1:$A$49,0),MATCH(orders!J$1,products!$A$1:$G$1,0))</f>
        <v>D</v>
      </c>
      <c r="K33" s="6">
        <f>INDEX(products!$A$1:$G$49,MATCH(orders!$D33,products!$A$1:$A$49,0),MATCH(orders!K$1,products!$A$1:$G$1,0))</f>
        <v>0.5</v>
      </c>
      <c r="L33" s="7">
        <f>INDEX(products!$A$1:$G$49,MATCH(orders!$D33,products!$A$1:$A$49,0),MATCH(orders!L$1,products!$A$1:$G$1,0))</f>
        <v>5.97</v>
      </c>
      <c r="M33" s="7">
        <f t="shared" si="0"/>
        <v>35.82</v>
      </c>
      <c r="N33" s="4" t="str" cm="1">
        <f t="array" ref="N33">_xlfn.IFS(I33="Rob","Robusta",I33="Exc","Excelsa",I33="Ara","Arabica",I33="Lib","Liberica")</f>
        <v>Arabica</v>
      </c>
      <c r="O33" s="4" t="str" cm="1">
        <f t="array" ref="O33">_xlfn.IFS(J33="M","Medium",J33="L","Light",J33="D","Dark")</f>
        <v>Dark</v>
      </c>
      <c r="P33" s="4" t="str">
        <f>_xlfn.XLOOKUP(CoffeeOrderstable[[#This Row],[Customer ID]],customers!$A$1:$A$1001,customers!$I$1:$I$1001,,0)</f>
        <v>No</v>
      </c>
    </row>
    <row r="34" spans="1:16" x14ac:dyDescent="0.3">
      <c r="A34" s="3" t="s">
        <v>661</v>
      </c>
      <c r="B34" s="5">
        <v>44464</v>
      </c>
      <c r="C34" s="3" t="s">
        <v>662</v>
      </c>
      <c r="D34" s="4" t="s">
        <v>6160</v>
      </c>
      <c r="E34" s="3">
        <v>6</v>
      </c>
      <c r="F34" s="3" t="str">
        <f>_xlfn.XLOOKUP(C34,customers!$A$1:$A$1001,customers!$B$1:$B$1001,,0)</f>
        <v>Adrian Swaine</v>
      </c>
      <c r="G34" s="3" t="str">
        <f>IF(_xlfn.XLOOKUP(C34,customers!$A$1:$A$1001,customers!$C$1:$C$1001,,0)=0,"", _xlfn.XLOOKUP(C34,customers!$A$1:$A$1001,customers!$C$1:$C$1001,,0))</f>
        <v/>
      </c>
      <c r="H34" s="3" t="str">
        <f>_xlfn.XLOOKUP(C34,customers!$A$1:$A$1001,customers!$G$1:$G$1001,,0)</f>
        <v>United States</v>
      </c>
      <c r="I34" s="4" t="str">
        <f>INDEX(products!$A$1:$G$49,MATCH(orders!$D34,products!$A$1:$A$49,0),MATCH(orders!I$1,products!$A$1:$G$1,0))</f>
        <v>Lib</v>
      </c>
      <c r="J34" s="4" t="str">
        <f>INDEX(products!$A$1:$G$49,MATCH(orders!$D34,products!$A$1:$A$49,0),MATCH(orders!J$1,products!$A$1:$G$1,0))</f>
        <v>M</v>
      </c>
      <c r="K34" s="6">
        <f>INDEX(products!$A$1:$G$49,MATCH(orders!$D34,products!$A$1:$A$49,0),MATCH(orders!K$1,products!$A$1:$G$1,0))</f>
        <v>0.5</v>
      </c>
      <c r="L34" s="7">
        <f>INDEX(products!$A$1:$G$49,MATCH(orders!$D34,products!$A$1:$A$49,0),MATCH(orders!L$1,products!$A$1:$G$1,0))</f>
        <v>8.73</v>
      </c>
      <c r="M34" s="7">
        <f t="shared" si="0"/>
        <v>52.38</v>
      </c>
      <c r="N34" s="4" t="str" cm="1">
        <f t="array" ref="N34">_xlfn.IFS(I34="Rob","Robusta",I34="Exc","Excelsa",I34="Ara","Arabica",I34="Lib","Liberica")</f>
        <v>Liberica</v>
      </c>
      <c r="O34" s="4" t="str" cm="1">
        <f t="array" ref="O34">_xlfn.IFS(J34="M","Medium",J34="L","Light",J34="D","Dark")</f>
        <v>Medium</v>
      </c>
      <c r="P34" s="4" t="str">
        <f>_xlfn.XLOOKUP(CoffeeOrderstable[[#This Row],[Customer ID]],customers!$A$1:$A$1001,customers!$I$1:$I$1001,,0)</f>
        <v>No</v>
      </c>
    </row>
    <row r="35" spans="1:16" x14ac:dyDescent="0.3">
      <c r="A35" s="3" t="s">
        <v>676</v>
      </c>
      <c r="B35" s="5">
        <v>44394</v>
      </c>
      <c r="C35" s="3" t="s">
        <v>677</v>
      </c>
      <c r="D35" s="4" t="s">
        <v>6145</v>
      </c>
      <c r="E35" s="3">
        <v>5</v>
      </c>
      <c r="F35" s="3" t="str">
        <f>_xlfn.XLOOKUP(C35,customers!$A$1:$A$1001,customers!$B$1:$B$1001,,0)</f>
        <v>Gallard Gatheral</v>
      </c>
      <c r="G35" s="3" t="str">
        <f>IF(_xlfn.XLOOKUP(C35,customers!$A$1:$A$1001,customers!$C$1:$C$1001,,0)=0,"", _xlfn.XLOOKUP(C35,customers!$A$1:$A$1001,customers!$C$1:$C$1001,,0))</f>
        <v>ggatheralx@123-reg.co.uk</v>
      </c>
      <c r="H35" s="3" t="str">
        <f>_xlfn.XLOOKUP(C35,customers!$A$1:$A$1001,customers!$G$1:$G$1001,,0)</f>
        <v>United States</v>
      </c>
      <c r="I35" s="4" t="str">
        <f>INDEX(products!$A$1:$G$49,MATCH(orders!$D35,products!$A$1:$A$49,0),MATCH(orders!I$1,products!$A$1:$G$1,0))</f>
        <v>Lib</v>
      </c>
      <c r="J35" s="4" t="str">
        <f>INDEX(products!$A$1:$G$49,MATCH(orders!$D35,products!$A$1:$A$49,0),MATCH(orders!J$1,products!$A$1:$G$1,0))</f>
        <v>L</v>
      </c>
      <c r="K35" s="6">
        <f>INDEX(products!$A$1:$G$49,MATCH(orders!$D35,products!$A$1:$A$49,0),MATCH(orders!K$1,products!$A$1:$G$1,0))</f>
        <v>0.2</v>
      </c>
      <c r="L35" s="7">
        <f>INDEX(products!$A$1:$G$49,MATCH(orders!$D35,products!$A$1:$A$49,0),MATCH(orders!L$1,products!$A$1:$G$1,0))</f>
        <v>4.7549999999999999</v>
      </c>
      <c r="M35" s="7">
        <f t="shared" si="0"/>
        <v>23.774999999999999</v>
      </c>
      <c r="N35" s="4" t="str" cm="1">
        <f t="array" ref="N35">_xlfn.IFS(I35="Rob","Robusta",I35="Exc","Excelsa",I35="Ara","Arabica",I35="Lib","Liberica")</f>
        <v>Liberica</v>
      </c>
      <c r="O35" s="4" t="str" cm="1">
        <f t="array" ref="O35">_xlfn.IFS(J35="M","Medium",J35="L","Light",J35="D","Dark")</f>
        <v>Light</v>
      </c>
      <c r="P35" s="4" t="str">
        <f>_xlfn.XLOOKUP(CoffeeOrderstable[[#This Row],[Customer ID]],customers!$A$1:$A$1001,customers!$I$1:$I$1001,,0)</f>
        <v>No</v>
      </c>
    </row>
    <row r="36" spans="1:16" x14ac:dyDescent="0.3">
      <c r="A36" s="3" t="s">
        <v>681</v>
      </c>
      <c r="B36" s="5">
        <v>44011</v>
      </c>
      <c r="C36" s="3" t="s">
        <v>682</v>
      </c>
      <c r="D36" s="4" t="s">
        <v>6161</v>
      </c>
      <c r="E36" s="3">
        <v>6</v>
      </c>
      <c r="F36" s="3" t="str">
        <f>_xlfn.XLOOKUP(C36,customers!$A$1:$A$1001,customers!$B$1:$B$1001,,0)</f>
        <v>Una Welberry</v>
      </c>
      <c r="G36" s="3" t="str">
        <f>IF(_xlfn.XLOOKUP(C36,customers!$A$1:$A$1001,customers!$C$1:$C$1001,,0)=0,"", _xlfn.XLOOKUP(C36,customers!$A$1:$A$1001,customers!$C$1:$C$1001,,0))</f>
        <v>uwelberryy@ebay.co.uk</v>
      </c>
      <c r="H36" s="3" t="str">
        <f>_xlfn.XLOOKUP(C36,customers!$A$1:$A$1001,customers!$G$1:$G$1001,,0)</f>
        <v>United Kingdom</v>
      </c>
      <c r="I36" s="4" t="str">
        <f>INDEX(products!$A$1:$G$49,MATCH(orders!$D36,products!$A$1:$A$49,0),MATCH(orders!I$1,products!$A$1:$G$1,0))</f>
        <v>Lib</v>
      </c>
      <c r="J36" s="4" t="str">
        <f>INDEX(products!$A$1:$G$49,MATCH(orders!$D36,products!$A$1:$A$49,0),MATCH(orders!J$1,products!$A$1:$G$1,0))</f>
        <v>L</v>
      </c>
      <c r="K36" s="6">
        <f>INDEX(products!$A$1:$G$49,MATCH(orders!$D36,products!$A$1:$A$49,0),MATCH(orders!K$1,products!$A$1:$G$1,0))</f>
        <v>0.5</v>
      </c>
      <c r="L36" s="7">
        <f>INDEX(products!$A$1:$G$49,MATCH(orders!$D36,products!$A$1:$A$49,0),MATCH(orders!L$1,products!$A$1:$G$1,0))</f>
        <v>9.51</v>
      </c>
      <c r="M36" s="7">
        <f t="shared" si="0"/>
        <v>57.06</v>
      </c>
      <c r="N36" s="4" t="str" cm="1">
        <f t="array" ref="N36">_xlfn.IFS(I36="Rob","Robusta",I36="Exc","Excelsa",I36="Ara","Arabica",I36="Lib","Liberica")</f>
        <v>Liberica</v>
      </c>
      <c r="O36" s="4" t="str" cm="1">
        <f t="array" ref="O36">_xlfn.IFS(J36="M","Medium",J36="L","Light",J36="D","Dark")</f>
        <v>Light</v>
      </c>
      <c r="P36" s="4" t="str">
        <f>_xlfn.XLOOKUP(CoffeeOrderstable[[#This Row],[Customer ID]],customers!$A$1:$A$1001,customers!$I$1:$I$1001,,0)</f>
        <v>Yes</v>
      </c>
    </row>
    <row r="37" spans="1:16" x14ac:dyDescent="0.3">
      <c r="A37" s="3" t="s">
        <v>687</v>
      </c>
      <c r="B37" s="5">
        <v>44348</v>
      </c>
      <c r="C37" s="3" t="s">
        <v>688</v>
      </c>
      <c r="D37" s="4" t="s">
        <v>6158</v>
      </c>
      <c r="E37" s="3">
        <v>6</v>
      </c>
      <c r="F37" s="3" t="str">
        <f>_xlfn.XLOOKUP(C37,customers!$A$1:$A$1001,customers!$B$1:$B$1001,,0)</f>
        <v>Faber Eilhart</v>
      </c>
      <c r="G37" s="3" t="str">
        <f>IF(_xlfn.XLOOKUP(C37,customers!$A$1:$A$1001,customers!$C$1:$C$1001,,0)=0,"", _xlfn.XLOOKUP(C37,customers!$A$1:$A$1001,customers!$C$1:$C$1001,,0))</f>
        <v>feilhartz@who.int</v>
      </c>
      <c r="H37" s="3" t="str">
        <f>_xlfn.XLOOKUP(C37,customers!$A$1:$A$1001,customers!$G$1:$G$1001,,0)</f>
        <v>United States</v>
      </c>
      <c r="I37" s="4" t="str">
        <f>INDEX(products!$A$1:$G$49,MATCH(orders!$D37,products!$A$1:$A$49,0),MATCH(orders!I$1,products!$A$1:$G$1,0))</f>
        <v>Ara</v>
      </c>
      <c r="J37" s="4" t="str">
        <f>INDEX(products!$A$1:$G$49,MATCH(orders!$D37,products!$A$1:$A$49,0),MATCH(orders!J$1,products!$A$1:$G$1,0))</f>
        <v>D</v>
      </c>
      <c r="K37" s="6">
        <f>INDEX(products!$A$1:$G$49,MATCH(orders!$D37,products!$A$1:$A$49,0),MATCH(orders!K$1,products!$A$1:$G$1,0))</f>
        <v>0.5</v>
      </c>
      <c r="L37" s="7">
        <f>INDEX(products!$A$1:$G$49,MATCH(orders!$D37,products!$A$1:$A$49,0),MATCH(orders!L$1,products!$A$1:$G$1,0))</f>
        <v>5.97</v>
      </c>
      <c r="M37" s="7">
        <f t="shared" si="0"/>
        <v>35.82</v>
      </c>
      <c r="N37" s="4" t="str" cm="1">
        <f t="array" ref="N37">_xlfn.IFS(I37="Rob","Robusta",I37="Exc","Excelsa",I37="Ara","Arabica",I37="Lib","Liberica")</f>
        <v>Arabica</v>
      </c>
      <c r="O37" s="4" t="str" cm="1">
        <f t="array" ref="O37">_xlfn.IFS(J37="M","Medium",J37="L","Light",J37="D","Dark")</f>
        <v>Dark</v>
      </c>
      <c r="P37" s="4" t="str">
        <f>_xlfn.XLOOKUP(CoffeeOrderstable[[#This Row],[Customer ID]],customers!$A$1:$A$1001,customers!$I$1:$I$1001,,0)</f>
        <v>No</v>
      </c>
    </row>
    <row r="38" spans="1:16" x14ac:dyDescent="0.3">
      <c r="A38" s="3" t="s">
        <v>693</v>
      </c>
      <c r="B38" s="5">
        <v>44233</v>
      </c>
      <c r="C38" s="3" t="s">
        <v>694</v>
      </c>
      <c r="D38" s="4" t="s">
        <v>6159</v>
      </c>
      <c r="E38" s="3">
        <v>2</v>
      </c>
      <c r="F38" s="3" t="str">
        <f>_xlfn.XLOOKUP(C38,customers!$A$1:$A$1001,customers!$B$1:$B$1001,,0)</f>
        <v>Zorina Ponting</v>
      </c>
      <c r="G38" s="3" t="str">
        <f>IF(_xlfn.XLOOKUP(C38,customers!$A$1:$A$1001,customers!$C$1:$C$1001,,0)=0,"", _xlfn.XLOOKUP(C38,customers!$A$1:$A$1001,customers!$C$1:$C$1001,,0))</f>
        <v>zponting10@altervista.org</v>
      </c>
      <c r="H38" s="3" t="str">
        <f>_xlfn.XLOOKUP(C38,customers!$A$1:$A$1001,customers!$G$1:$G$1001,,0)</f>
        <v>United States</v>
      </c>
      <c r="I38" s="4" t="str">
        <f>INDEX(products!$A$1:$G$49,MATCH(orders!$D38,products!$A$1:$A$49,0),MATCH(orders!I$1,products!$A$1:$G$1,0))</f>
        <v>Lib</v>
      </c>
      <c r="J38" s="4" t="str">
        <f>INDEX(products!$A$1:$G$49,MATCH(orders!$D38,products!$A$1:$A$49,0),MATCH(orders!J$1,products!$A$1:$G$1,0))</f>
        <v>M</v>
      </c>
      <c r="K38" s="6">
        <f>INDEX(products!$A$1:$G$49,MATCH(orders!$D38,products!$A$1:$A$49,0),MATCH(orders!K$1,products!$A$1:$G$1,0))</f>
        <v>0.2</v>
      </c>
      <c r="L38" s="7">
        <f>INDEX(products!$A$1:$G$49,MATCH(orders!$D38,products!$A$1:$A$49,0),MATCH(orders!L$1,products!$A$1:$G$1,0))</f>
        <v>4.3650000000000002</v>
      </c>
      <c r="M38" s="7">
        <f t="shared" si="0"/>
        <v>8.73</v>
      </c>
      <c r="N38" s="4" t="str" cm="1">
        <f t="array" ref="N38">_xlfn.IFS(I38="Rob","Robusta",I38="Exc","Excelsa",I38="Ara","Arabica",I38="Lib","Liberica")</f>
        <v>Liberica</v>
      </c>
      <c r="O38" s="4" t="str" cm="1">
        <f t="array" ref="O38">_xlfn.IFS(J38="M","Medium",J38="L","Light",J38="D","Dark")</f>
        <v>Medium</v>
      </c>
      <c r="P38" s="4" t="str">
        <f>_xlfn.XLOOKUP(CoffeeOrderstable[[#This Row],[Customer ID]],customers!$A$1:$A$1001,customers!$I$1:$I$1001,,0)</f>
        <v>No</v>
      </c>
    </row>
    <row r="39" spans="1:16" x14ac:dyDescent="0.3">
      <c r="A39" s="3" t="s">
        <v>699</v>
      </c>
      <c r="B39" s="5">
        <v>43580</v>
      </c>
      <c r="C39" s="3" t="s">
        <v>700</v>
      </c>
      <c r="D39" s="4" t="s">
        <v>6161</v>
      </c>
      <c r="E39" s="3">
        <v>3</v>
      </c>
      <c r="F39" s="3" t="str">
        <f>_xlfn.XLOOKUP(C39,customers!$A$1:$A$1001,customers!$B$1:$B$1001,,0)</f>
        <v>Silvio Strase</v>
      </c>
      <c r="G39" s="3" t="str">
        <f>IF(_xlfn.XLOOKUP(C39,customers!$A$1:$A$1001,customers!$C$1:$C$1001,,0)=0,"", _xlfn.XLOOKUP(C39,customers!$A$1:$A$1001,customers!$C$1:$C$1001,,0))</f>
        <v>sstrase11@booking.com</v>
      </c>
      <c r="H39" s="3" t="str">
        <f>_xlfn.XLOOKUP(C39,customers!$A$1:$A$1001,customers!$G$1:$G$1001,,0)</f>
        <v>United States</v>
      </c>
      <c r="I39" s="4" t="str">
        <f>INDEX(products!$A$1:$G$49,MATCH(orders!$D39,products!$A$1:$A$49,0),MATCH(orders!I$1,products!$A$1:$G$1,0))</f>
        <v>Lib</v>
      </c>
      <c r="J39" s="4" t="str">
        <f>INDEX(products!$A$1:$G$49,MATCH(orders!$D39,products!$A$1:$A$49,0),MATCH(orders!J$1,products!$A$1:$G$1,0))</f>
        <v>L</v>
      </c>
      <c r="K39" s="6">
        <f>INDEX(products!$A$1:$G$49,MATCH(orders!$D39,products!$A$1:$A$49,0),MATCH(orders!K$1,products!$A$1:$G$1,0))</f>
        <v>0.5</v>
      </c>
      <c r="L39" s="7">
        <f>INDEX(products!$A$1:$G$49,MATCH(orders!$D39,products!$A$1:$A$49,0),MATCH(orders!L$1,products!$A$1:$G$1,0))</f>
        <v>9.51</v>
      </c>
      <c r="M39" s="7">
        <f t="shared" si="0"/>
        <v>28.53</v>
      </c>
      <c r="N39" s="4" t="str" cm="1">
        <f t="array" ref="N39">_xlfn.IFS(I39="Rob","Robusta",I39="Exc","Excelsa",I39="Ara","Arabica",I39="Lib","Liberica")</f>
        <v>Liberica</v>
      </c>
      <c r="O39" s="4" t="str" cm="1">
        <f t="array" ref="O39">_xlfn.IFS(J39="M","Medium",J39="L","Light",J39="D","Dark")</f>
        <v>Light</v>
      </c>
      <c r="P39" s="4" t="str">
        <f>_xlfn.XLOOKUP(CoffeeOrderstable[[#This Row],[Customer ID]],customers!$A$1:$A$1001,customers!$I$1:$I$1001,,0)</f>
        <v>No</v>
      </c>
    </row>
    <row r="40" spans="1:16" x14ac:dyDescent="0.3">
      <c r="A40" s="3" t="s">
        <v>705</v>
      </c>
      <c r="B40" s="5">
        <v>43946</v>
      </c>
      <c r="C40" s="3" t="s">
        <v>706</v>
      </c>
      <c r="D40" s="4" t="s">
        <v>6151</v>
      </c>
      <c r="E40" s="3">
        <v>5</v>
      </c>
      <c r="F40" s="3" t="str">
        <f>_xlfn.XLOOKUP(C40,customers!$A$1:$A$1001,customers!$B$1:$B$1001,,0)</f>
        <v>Dorie de la Tremoille</v>
      </c>
      <c r="G40" s="3" t="str">
        <f>IF(_xlfn.XLOOKUP(C40,customers!$A$1:$A$1001,customers!$C$1:$C$1001,,0)=0,"", _xlfn.XLOOKUP(C40,customers!$A$1:$A$1001,customers!$C$1:$C$1001,,0))</f>
        <v>dde12@unesco.org</v>
      </c>
      <c r="H40" s="3" t="str">
        <f>_xlfn.XLOOKUP(C40,customers!$A$1:$A$1001,customers!$G$1:$G$1001,,0)</f>
        <v>United States</v>
      </c>
      <c r="I40" s="4" t="str">
        <f>INDEX(products!$A$1:$G$49,MATCH(orders!$D40,products!$A$1:$A$49,0),MATCH(orders!I$1,products!$A$1:$G$1,0))</f>
        <v>Rob</v>
      </c>
      <c r="J40" s="4" t="str">
        <f>INDEX(products!$A$1:$G$49,MATCH(orders!$D40,products!$A$1:$A$49,0),MATCH(orders!J$1,products!$A$1:$G$1,0))</f>
        <v>M</v>
      </c>
      <c r="K40" s="6">
        <f>INDEX(products!$A$1:$G$49,MATCH(orders!$D40,products!$A$1:$A$49,0),MATCH(orders!K$1,products!$A$1:$G$1,0))</f>
        <v>2.5</v>
      </c>
      <c r="L40" s="7">
        <f>INDEX(products!$A$1:$G$49,MATCH(orders!$D40,products!$A$1:$A$49,0),MATCH(orders!L$1,products!$A$1:$G$1,0))</f>
        <v>22.884999999999998</v>
      </c>
      <c r="M40" s="7">
        <f t="shared" si="0"/>
        <v>114.42499999999998</v>
      </c>
      <c r="N40" s="4" t="str" cm="1">
        <f t="array" ref="N40">_xlfn.IFS(I40="Rob","Robusta",I40="Exc","Excelsa",I40="Ara","Arabica",I40="Lib","Liberica")</f>
        <v>Robusta</v>
      </c>
      <c r="O40" s="4" t="str" cm="1">
        <f t="array" ref="O40">_xlfn.IFS(J40="M","Medium",J40="L","Light",J40="D","Dark")</f>
        <v>Medium</v>
      </c>
      <c r="P40" s="4" t="str">
        <f>_xlfn.XLOOKUP(CoffeeOrderstable[[#This Row],[Customer ID]],customers!$A$1:$A$1001,customers!$I$1:$I$1001,,0)</f>
        <v>No</v>
      </c>
    </row>
    <row r="41" spans="1:16" x14ac:dyDescent="0.3">
      <c r="A41" s="3" t="s">
        <v>711</v>
      </c>
      <c r="B41" s="5">
        <v>44524</v>
      </c>
      <c r="C41" s="3" t="s">
        <v>712</v>
      </c>
      <c r="D41" s="4" t="s">
        <v>6138</v>
      </c>
      <c r="E41" s="3">
        <v>6</v>
      </c>
      <c r="F41" s="3" t="str">
        <f>_xlfn.XLOOKUP(C41,customers!$A$1:$A$1001,customers!$B$1:$B$1001,,0)</f>
        <v>Hy Zanetto</v>
      </c>
      <c r="G41" s="3" t="str">
        <f>IF(_xlfn.XLOOKUP(C41,customers!$A$1:$A$1001,customers!$C$1:$C$1001,,0)=0,"", _xlfn.XLOOKUP(C41,customers!$A$1:$A$1001,customers!$C$1:$C$1001,,0))</f>
        <v/>
      </c>
      <c r="H41" s="3" t="str">
        <f>_xlfn.XLOOKUP(C41,customers!$A$1:$A$1001,customers!$G$1:$G$1001,,0)</f>
        <v>United States</v>
      </c>
      <c r="I41" s="4" t="str">
        <f>INDEX(products!$A$1:$G$49,MATCH(orders!$D41,products!$A$1:$A$49,0),MATCH(orders!I$1,products!$A$1:$G$1,0))</f>
        <v>Rob</v>
      </c>
      <c r="J41" s="4" t="str">
        <f>INDEX(products!$A$1:$G$49,MATCH(orders!$D41,products!$A$1:$A$49,0),MATCH(orders!J$1,products!$A$1:$G$1,0))</f>
        <v>M</v>
      </c>
      <c r="K41" s="6">
        <f>INDEX(products!$A$1:$G$49,MATCH(orders!$D41,products!$A$1:$A$49,0),MATCH(orders!K$1,products!$A$1:$G$1,0))</f>
        <v>1</v>
      </c>
      <c r="L41" s="7">
        <f>INDEX(products!$A$1:$G$49,MATCH(orders!$D41,products!$A$1:$A$49,0),MATCH(orders!L$1,products!$A$1:$G$1,0))</f>
        <v>9.9499999999999993</v>
      </c>
      <c r="M41" s="7">
        <f t="shared" si="0"/>
        <v>59.699999999999996</v>
      </c>
      <c r="N41" s="4" t="str" cm="1">
        <f t="array" ref="N41">_xlfn.IFS(I41="Rob","Robusta",I41="Exc","Excelsa",I41="Ara","Arabica",I41="Lib","Liberica")</f>
        <v>Robusta</v>
      </c>
      <c r="O41" s="4" t="str" cm="1">
        <f t="array" ref="O41">_xlfn.IFS(J41="M","Medium",J41="L","Light",J41="D","Dark")</f>
        <v>Medium</v>
      </c>
      <c r="P41" s="4" t="str">
        <f>_xlfn.XLOOKUP(CoffeeOrderstable[[#This Row],[Customer ID]],customers!$A$1:$A$1001,customers!$I$1:$I$1001,,0)</f>
        <v>Yes</v>
      </c>
    </row>
    <row r="42" spans="1:16" x14ac:dyDescent="0.3">
      <c r="A42" s="3" t="s">
        <v>715</v>
      </c>
      <c r="B42" s="5">
        <v>44305</v>
      </c>
      <c r="C42" s="3" t="s">
        <v>716</v>
      </c>
      <c r="D42" s="4" t="s">
        <v>6162</v>
      </c>
      <c r="E42" s="3">
        <v>3</v>
      </c>
      <c r="F42" s="3" t="str">
        <f>_xlfn.XLOOKUP(C42,customers!$A$1:$A$1001,customers!$B$1:$B$1001,,0)</f>
        <v>Jessica McNess</v>
      </c>
      <c r="G42" s="3" t="str">
        <f>IF(_xlfn.XLOOKUP(C42,customers!$A$1:$A$1001,customers!$C$1:$C$1001,,0)=0,"", _xlfn.XLOOKUP(C42,customers!$A$1:$A$1001,customers!$C$1:$C$1001,,0))</f>
        <v/>
      </c>
      <c r="H42" s="3" t="str">
        <f>_xlfn.XLOOKUP(C42,customers!$A$1:$A$1001,customers!$G$1:$G$1001,,0)</f>
        <v>United States</v>
      </c>
      <c r="I42" s="4" t="str">
        <f>INDEX(products!$A$1:$G$49,MATCH(orders!$D42,products!$A$1:$A$49,0),MATCH(orders!I$1,products!$A$1:$G$1,0))</f>
        <v>Lib</v>
      </c>
      <c r="J42" s="4" t="str">
        <f>INDEX(products!$A$1:$G$49,MATCH(orders!$D42,products!$A$1:$A$49,0),MATCH(orders!J$1,products!$A$1:$G$1,0))</f>
        <v>M</v>
      </c>
      <c r="K42" s="6">
        <f>INDEX(products!$A$1:$G$49,MATCH(orders!$D42,products!$A$1:$A$49,0),MATCH(orders!K$1,products!$A$1:$G$1,0))</f>
        <v>1</v>
      </c>
      <c r="L42" s="7">
        <f>INDEX(products!$A$1:$G$49,MATCH(orders!$D42,products!$A$1:$A$49,0),MATCH(orders!L$1,products!$A$1:$G$1,0))</f>
        <v>14.55</v>
      </c>
      <c r="M42" s="7">
        <f t="shared" si="0"/>
        <v>43.650000000000006</v>
      </c>
      <c r="N42" s="4" t="str" cm="1">
        <f t="array" ref="N42">_xlfn.IFS(I42="Rob","Robusta",I42="Exc","Excelsa",I42="Ara","Arabica",I42="Lib","Liberica")</f>
        <v>Liberica</v>
      </c>
      <c r="O42" s="4" t="str" cm="1">
        <f t="array" ref="O42">_xlfn.IFS(J42="M","Medium",J42="L","Light",J42="D","Dark")</f>
        <v>Medium</v>
      </c>
      <c r="P42" s="4" t="str">
        <f>_xlfn.XLOOKUP(CoffeeOrderstable[[#This Row],[Customer ID]],customers!$A$1:$A$1001,customers!$I$1:$I$1001,,0)</f>
        <v>No</v>
      </c>
    </row>
    <row r="43" spans="1:16" x14ac:dyDescent="0.3">
      <c r="A43" s="3" t="s">
        <v>720</v>
      </c>
      <c r="B43" s="5">
        <v>44749</v>
      </c>
      <c r="C43" s="3" t="s">
        <v>721</v>
      </c>
      <c r="D43" s="4" t="s">
        <v>6153</v>
      </c>
      <c r="E43" s="3">
        <v>2</v>
      </c>
      <c r="F43" s="3" t="str">
        <f>_xlfn.XLOOKUP(C43,customers!$A$1:$A$1001,customers!$B$1:$B$1001,,0)</f>
        <v>Lorenzo Yeoland</v>
      </c>
      <c r="G43" s="3" t="str">
        <f>IF(_xlfn.XLOOKUP(C43,customers!$A$1:$A$1001,customers!$C$1:$C$1001,,0)=0,"", _xlfn.XLOOKUP(C43,customers!$A$1:$A$1001,customers!$C$1:$C$1001,,0))</f>
        <v>lyeoland15@pbs.org</v>
      </c>
      <c r="H43" s="3" t="str">
        <f>_xlfn.XLOOKUP(C43,customers!$A$1:$A$1001,customers!$G$1:$G$1001,,0)</f>
        <v>United States</v>
      </c>
      <c r="I43" s="4" t="str">
        <f>INDEX(products!$A$1:$G$49,MATCH(orders!$D43,products!$A$1:$A$49,0),MATCH(orders!I$1,products!$A$1:$G$1,0))</f>
        <v>Exc</v>
      </c>
      <c r="J43" s="4" t="str">
        <f>INDEX(products!$A$1:$G$49,MATCH(orders!$D43,products!$A$1:$A$49,0),MATCH(orders!J$1,products!$A$1:$G$1,0))</f>
        <v>D</v>
      </c>
      <c r="K43" s="6">
        <f>INDEX(products!$A$1:$G$49,MATCH(orders!$D43,products!$A$1:$A$49,0),MATCH(orders!K$1,products!$A$1:$G$1,0))</f>
        <v>0.2</v>
      </c>
      <c r="L43" s="7">
        <f>INDEX(products!$A$1:$G$49,MATCH(orders!$D43,products!$A$1:$A$49,0),MATCH(orders!L$1,products!$A$1:$G$1,0))</f>
        <v>3.645</v>
      </c>
      <c r="M43" s="7">
        <f t="shared" si="0"/>
        <v>7.29</v>
      </c>
      <c r="N43" s="4" t="str" cm="1">
        <f t="array" ref="N43">_xlfn.IFS(I43="Rob","Robusta",I43="Exc","Excelsa",I43="Ara","Arabica",I43="Lib","Liberica")</f>
        <v>Excelsa</v>
      </c>
      <c r="O43" s="4" t="str" cm="1">
        <f t="array" ref="O43">_xlfn.IFS(J43="M","Medium",J43="L","Light",J43="D","Dark")</f>
        <v>Dark</v>
      </c>
      <c r="P43" s="4" t="str">
        <f>_xlfn.XLOOKUP(CoffeeOrderstable[[#This Row],[Customer ID]],customers!$A$1:$A$1001,customers!$I$1:$I$1001,,0)</f>
        <v>Yes</v>
      </c>
    </row>
    <row r="44" spans="1:16" x14ac:dyDescent="0.3">
      <c r="A44" s="3" t="s">
        <v>726</v>
      </c>
      <c r="B44" s="5">
        <v>43607</v>
      </c>
      <c r="C44" s="3" t="s">
        <v>727</v>
      </c>
      <c r="D44" s="4" t="s">
        <v>6163</v>
      </c>
      <c r="E44" s="3">
        <v>3</v>
      </c>
      <c r="F44" s="3" t="str">
        <f>_xlfn.XLOOKUP(C44,customers!$A$1:$A$1001,customers!$B$1:$B$1001,,0)</f>
        <v>Abigail Tolworthy</v>
      </c>
      <c r="G44" s="3" t="str">
        <f>IF(_xlfn.XLOOKUP(C44,customers!$A$1:$A$1001,customers!$C$1:$C$1001,,0)=0,"", _xlfn.XLOOKUP(C44,customers!$A$1:$A$1001,customers!$C$1:$C$1001,,0))</f>
        <v>atolworthy16@toplist.cz</v>
      </c>
      <c r="H44" s="3" t="str">
        <f>_xlfn.XLOOKUP(C44,customers!$A$1:$A$1001,customers!$G$1:$G$1001,,0)</f>
        <v>United States</v>
      </c>
      <c r="I44" s="4" t="str">
        <f>INDEX(products!$A$1:$G$49,MATCH(orders!$D44,products!$A$1:$A$49,0),MATCH(orders!I$1,products!$A$1:$G$1,0))</f>
        <v>Rob</v>
      </c>
      <c r="J44" s="4" t="str">
        <f>INDEX(products!$A$1:$G$49,MATCH(orders!$D44,products!$A$1:$A$49,0),MATCH(orders!J$1,products!$A$1:$G$1,0))</f>
        <v>D</v>
      </c>
      <c r="K44" s="6">
        <f>INDEX(products!$A$1:$G$49,MATCH(orders!$D44,products!$A$1:$A$49,0),MATCH(orders!K$1,products!$A$1:$G$1,0))</f>
        <v>0.2</v>
      </c>
      <c r="L44" s="7">
        <f>INDEX(products!$A$1:$G$49,MATCH(orders!$D44,products!$A$1:$A$49,0),MATCH(orders!L$1,products!$A$1:$G$1,0))</f>
        <v>2.6849999999999996</v>
      </c>
      <c r="M44" s="7">
        <f t="shared" si="0"/>
        <v>8.0549999999999997</v>
      </c>
      <c r="N44" s="4" t="str" cm="1">
        <f t="array" ref="N44">_xlfn.IFS(I44="Rob","Robusta",I44="Exc","Excelsa",I44="Ara","Arabica",I44="Lib","Liberica")</f>
        <v>Robusta</v>
      </c>
      <c r="O44" s="4" t="str" cm="1">
        <f t="array" ref="O44">_xlfn.IFS(J44="M","Medium",J44="L","Light",J44="D","Dark")</f>
        <v>Dark</v>
      </c>
      <c r="P44" s="4" t="str">
        <f>_xlfn.XLOOKUP(CoffeeOrderstable[[#This Row],[Customer ID]],customers!$A$1:$A$1001,customers!$I$1:$I$1001,,0)</f>
        <v>Yes</v>
      </c>
    </row>
    <row r="45" spans="1:16" x14ac:dyDescent="0.3">
      <c r="A45" s="3" t="s">
        <v>733</v>
      </c>
      <c r="B45" s="5">
        <v>44473</v>
      </c>
      <c r="C45" s="3" t="s">
        <v>734</v>
      </c>
      <c r="D45" s="4" t="s">
        <v>6164</v>
      </c>
      <c r="E45" s="3">
        <v>2</v>
      </c>
      <c r="F45" s="3" t="str">
        <f>_xlfn.XLOOKUP(C45,customers!$A$1:$A$1001,customers!$B$1:$B$1001,,0)</f>
        <v>Maurie Bartol</v>
      </c>
      <c r="G45" s="3" t="str">
        <f>IF(_xlfn.XLOOKUP(C45,customers!$A$1:$A$1001,customers!$C$1:$C$1001,,0)=0,"", _xlfn.XLOOKUP(C45,customers!$A$1:$A$1001,customers!$C$1:$C$1001,,0))</f>
        <v/>
      </c>
      <c r="H45" s="3" t="str">
        <f>_xlfn.XLOOKUP(C45,customers!$A$1:$A$1001,customers!$G$1:$G$1001,,0)</f>
        <v>United States</v>
      </c>
      <c r="I45" s="4" t="str">
        <f>INDEX(products!$A$1:$G$49,MATCH(orders!$D45,products!$A$1:$A$49,0),MATCH(orders!I$1,products!$A$1:$G$1,0))</f>
        <v>Lib</v>
      </c>
      <c r="J45" s="4" t="str">
        <f>INDEX(products!$A$1:$G$49,MATCH(orders!$D45,products!$A$1:$A$49,0),MATCH(orders!J$1,products!$A$1:$G$1,0))</f>
        <v>L</v>
      </c>
      <c r="K45" s="6">
        <f>INDEX(products!$A$1:$G$49,MATCH(orders!$D45,products!$A$1:$A$49,0),MATCH(orders!K$1,products!$A$1:$G$1,0))</f>
        <v>2.5</v>
      </c>
      <c r="L45" s="7">
        <f>INDEX(products!$A$1:$G$49,MATCH(orders!$D45,products!$A$1:$A$49,0),MATCH(orders!L$1,products!$A$1:$G$1,0))</f>
        <v>36.454999999999998</v>
      </c>
      <c r="M45" s="7">
        <f t="shared" si="0"/>
        <v>72.91</v>
      </c>
      <c r="N45" s="4" t="str" cm="1">
        <f t="array" ref="N45">_xlfn.IFS(I45="Rob","Robusta",I45="Exc","Excelsa",I45="Ara","Arabica",I45="Lib","Liberica")</f>
        <v>Liberica</v>
      </c>
      <c r="O45" s="4" t="str" cm="1">
        <f t="array" ref="O45">_xlfn.IFS(J45="M","Medium",J45="L","Light",J45="D","Dark")</f>
        <v>Light</v>
      </c>
      <c r="P45" s="4" t="str">
        <f>_xlfn.XLOOKUP(CoffeeOrderstable[[#This Row],[Customer ID]],customers!$A$1:$A$1001,customers!$I$1:$I$1001,,0)</f>
        <v>No</v>
      </c>
    </row>
    <row r="46" spans="1:16" x14ac:dyDescent="0.3">
      <c r="A46" s="3" t="s">
        <v>738</v>
      </c>
      <c r="B46" s="5">
        <v>43932</v>
      </c>
      <c r="C46" s="3" t="s">
        <v>739</v>
      </c>
      <c r="D46" s="4" t="s">
        <v>6139</v>
      </c>
      <c r="E46" s="3">
        <v>2</v>
      </c>
      <c r="F46" s="3" t="str">
        <f>_xlfn.XLOOKUP(C46,customers!$A$1:$A$1001,customers!$B$1:$B$1001,,0)</f>
        <v>Olag Baudassi</v>
      </c>
      <c r="G46" s="3" t="str">
        <f>IF(_xlfn.XLOOKUP(C46,customers!$A$1:$A$1001,customers!$C$1:$C$1001,,0)=0,"", _xlfn.XLOOKUP(C46,customers!$A$1:$A$1001,customers!$C$1:$C$1001,,0))</f>
        <v>obaudassi18@seesaa.net</v>
      </c>
      <c r="H46" s="3" t="str">
        <f>_xlfn.XLOOKUP(C46,customers!$A$1:$A$1001,customers!$G$1:$G$1001,,0)</f>
        <v>United States</v>
      </c>
      <c r="I46" s="4" t="str">
        <f>INDEX(products!$A$1:$G$49,MATCH(orders!$D46,products!$A$1:$A$49,0),MATCH(orders!I$1,products!$A$1:$G$1,0))</f>
        <v>Exc</v>
      </c>
      <c r="J46" s="4" t="str">
        <f>INDEX(products!$A$1:$G$49,MATCH(orders!$D46,products!$A$1:$A$49,0),MATCH(orders!J$1,products!$A$1:$G$1,0))</f>
        <v>M</v>
      </c>
      <c r="K46" s="6">
        <f>INDEX(products!$A$1:$G$49,MATCH(orders!$D46,products!$A$1:$A$49,0),MATCH(orders!K$1,products!$A$1:$G$1,0))</f>
        <v>0.5</v>
      </c>
      <c r="L46" s="7">
        <f>INDEX(products!$A$1:$G$49,MATCH(orders!$D46,products!$A$1:$A$49,0),MATCH(orders!L$1,products!$A$1:$G$1,0))</f>
        <v>8.25</v>
      </c>
      <c r="M46" s="7">
        <f t="shared" si="0"/>
        <v>16.5</v>
      </c>
      <c r="N46" s="4" t="str" cm="1">
        <f t="array" ref="N46">_xlfn.IFS(I46="Rob","Robusta",I46="Exc","Excelsa",I46="Ara","Arabica",I46="Lib","Liberica")</f>
        <v>Excelsa</v>
      </c>
      <c r="O46" s="4" t="str" cm="1">
        <f t="array" ref="O46">_xlfn.IFS(J46="M","Medium",J46="L","Light",J46="D","Dark")</f>
        <v>Medium</v>
      </c>
      <c r="P46" s="4" t="str">
        <f>_xlfn.XLOOKUP(CoffeeOrderstable[[#This Row],[Customer ID]],customers!$A$1:$A$1001,customers!$I$1:$I$1001,,0)</f>
        <v>Yes</v>
      </c>
    </row>
    <row r="47" spans="1:16" x14ac:dyDescent="0.3">
      <c r="A47" s="3" t="s">
        <v>744</v>
      </c>
      <c r="B47" s="5">
        <v>44592</v>
      </c>
      <c r="C47" s="3" t="s">
        <v>745</v>
      </c>
      <c r="D47" s="4" t="s">
        <v>6165</v>
      </c>
      <c r="E47" s="3">
        <v>6</v>
      </c>
      <c r="F47" s="3" t="str">
        <f>_xlfn.XLOOKUP(C47,customers!$A$1:$A$1001,customers!$B$1:$B$1001,,0)</f>
        <v>Petey Kingsbury</v>
      </c>
      <c r="G47" s="3" t="str">
        <f>IF(_xlfn.XLOOKUP(C47,customers!$A$1:$A$1001,customers!$C$1:$C$1001,,0)=0,"", _xlfn.XLOOKUP(C47,customers!$A$1:$A$1001,customers!$C$1:$C$1001,,0))</f>
        <v>pkingsbury19@comcast.net</v>
      </c>
      <c r="H47" s="3" t="str">
        <f>_xlfn.XLOOKUP(C47,customers!$A$1:$A$1001,customers!$G$1:$G$1001,,0)</f>
        <v>United States</v>
      </c>
      <c r="I47" s="4" t="str">
        <f>INDEX(products!$A$1:$G$49,MATCH(orders!$D47,products!$A$1:$A$49,0),MATCH(orders!I$1,products!$A$1:$G$1,0))</f>
        <v>Lib</v>
      </c>
      <c r="J47" s="4" t="str">
        <f>INDEX(products!$A$1:$G$49,MATCH(orders!$D47,products!$A$1:$A$49,0),MATCH(orders!J$1,products!$A$1:$G$1,0))</f>
        <v>D</v>
      </c>
      <c r="K47" s="6">
        <f>INDEX(products!$A$1:$G$49,MATCH(orders!$D47,products!$A$1:$A$49,0),MATCH(orders!K$1,products!$A$1:$G$1,0))</f>
        <v>2.5</v>
      </c>
      <c r="L47" s="7">
        <f>INDEX(products!$A$1:$G$49,MATCH(orders!$D47,products!$A$1:$A$49,0),MATCH(orders!L$1,products!$A$1:$G$1,0))</f>
        <v>29.784999999999997</v>
      </c>
      <c r="M47" s="7">
        <f t="shared" si="0"/>
        <v>178.70999999999998</v>
      </c>
      <c r="N47" s="4" t="str" cm="1">
        <f t="array" ref="N47">_xlfn.IFS(I47="Rob","Robusta",I47="Exc","Excelsa",I47="Ara","Arabica",I47="Lib","Liberica")</f>
        <v>Liberica</v>
      </c>
      <c r="O47" s="4" t="str" cm="1">
        <f t="array" ref="O47">_xlfn.IFS(J47="M","Medium",J47="L","Light",J47="D","Dark")</f>
        <v>Dark</v>
      </c>
      <c r="P47" s="4" t="str">
        <f>_xlfn.XLOOKUP(CoffeeOrderstable[[#This Row],[Customer ID]],customers!$A$1:$A$1001,customers!$I$1:$I$1001,,0)</f>
        <v>No</v>
      </c>
    </row>
    <row r="48" spans="1:16" x14ac:dyDescent="0.3">
      <c r="A48" s="3" t="s">
        <v>750</v>
      </c>
      <c r="B48" s="5">
        <v>43776</v>
      </c>
      <c r="C48" s="3" t="s">
        <v>751</v>
      </c>
      <c r="D48" s="4" t="s">
        <v>6166</v>
      </c>
      <c r="E48" s="3">
        <v>2</v>
      </c>
      <c r="F48" s="3" t="str">
        <f>_xlfn.XLOOKUP(C48,customers!$A$1:$A$1001,customers!$B$1:$B$1001,,0)</f>
        <v>Donna Baskeyfied</v>
      </c>
      <c r="G48" s="3" t="str">
        <f>IF(_xlfn.XLOOKUP(C48,customers!$A$1:$A$1001,customers!$C$1:$C$1001,,0)=0,"", _xlfn.XLOOKUP(C48,customers!$A$1:$A$1001,customers!$C$1:$C$1001,,0))</f>
        <v/>
      </c>
      <c r="H48" s="3" t="str">
        <f>_xlfn.XLOOKUP(C48,customers!$A$1:$A$1001,customers!$G$1:$G$1001,,0)</f>
        <v>United States</v>
      </c>
      <c r="I48" s="4" t="str">
        <f>INDEX(products!$A$1:$G$49,MATCH(orders!$D48,products!$A$1:$A$49,0),MATCH(orders!I$1,products!$A$1:$G$1,0))</f>
        <v>Exc</v>
      </c>
      <c r="J48" s="4" t="str">
        <f>INDEX(products!$A$1:$G$49,MATCH(orders!$D48,products!$A$1:$A$49,0),MATCH(orders!J$1,products!$A$1:$G$1,0))</f>
        <v>M</v>
      </c>
      <c r="K48" s="6">
        <f>INDEX(products!$A$1:$G$49,MATCH(orders!$D48,products!$A$1:$A$49,0),MATCH(orders!K$1,products!$A$1:$G$1,0))</f>
        <v>2.5</v>
      </c>
      <c r="L48" s="7">
        <f>INDEX(products!$A$1:$G$49,MATCH(orders!$D48,products!$A$1:$A$49,0),MATCH(orders!L$1,products!$A$1:$G$1,0))</f>
        <v>31.624999999999996</v>
      </c>
      <c r="M48" s="7">
        <f t="shared" si="0"/>
        <v>63.249999999999993</v>
      </c>
      <c r="N48" s="4" t="str" cm="1">
        <f t="array" ref="N48">_xlfn.IFS(I48="Rob","Robusta",I48="Exc","Excelsa",I48="Ara","Arabica",I48="Lib","Liberica")</f>
        <v>Excelsa</v>
      </c>
      <c r="O48" s="4" t="str" cm="1">
        <f t="array" ref="O48">_xlfn.IFS(J48="M","Medium",J48="L","Light",J48="D","Dark")</f>
        <v>Medium</v>
      </c>
      <c r="P48" s="4" t="str">
        <f>_xlfn.XLOOKUP(CoffeeOrderstable[[#This Row],[Customer ID]],customers!$A$1:$A$1001,customers!$I$1:$I$1001,,0)</f>
        <v>Yes</v>
      </c>
    </row>
    <row r="49" spans="1:16" x14ac:dyDescent="0.3">
      <c r="A49" s="3" t="s">
        <v>755</v>
      </c>
      <c r="B49" s="5">
        <v>43644</v>
      </c>
      <c r="C49" s="3" t="s">
        <v>756</v>
      </c>
      <c r="D49" s="4" t="s">
        <v>6167</v>
      </c>
      <c r="E49" s="3">
        <v>2</v>
      </c>
      <c r="F49" s="3" t="str">
        <f>_xlfn.XLOOKUP(C49,customers!$A$1:$A$1001,customers!$B$1:$B$1001,,0)</f>
        <v>Arda Curley</v>
      </c>
      <c r="G49" s="3" t="str">
        <f>IF(_xlfn.XLOOKUP(C49,customers!$A$1:$A$1001,customers!$C$1:$C$1001,,0)=0,"", _xlfn.XLOOKUP(C49,customers!$A$1:$A$1001,customers!$C$1:$C$1001,,0))</f>
        <v>acurley1b@hao123.com</v>
      </c>
      <c r="H49" s="3" t="str">
        <f>_xlfn.XLOOKUP(C49,customers!$A$1:$A$1001,customers!$G$1:$G$1001,,0)</f>
        <v>United States</v>
      </c>
      <c r="I49" s="4" t="str">
        <f>INDEX(products!$A$1:$G$49,MATCH(orders!$D49,products!$A$1:$A$49,0),MATCH(orders!I$1,products!$A$1:$G$1,0))</f>
        <v>Ara</v>
      </c>
      <c r="J49" s="4" t="str">
        <f>INDEX(products!$A$1:$G$49,MATCH(orders!$D49,products!$A$1:$A$49,0),MATCH(orders!J$1,products!$A$1:$G$1,0))</f>
        <v>L</v>
      </c>
      <c r="K49" s="6">
        <f>INDEX(products!$A$1:$G$49,MATCH(orders!$D49,products!$A$1:$A$49,0),MATCH(orders!K$1,products!$A$1:$G$1,0))</f>
        <v>0.2</v>
      </c>
      <c r="L49" s="7">
        <f>INDEX(products!$A$1:$G$49,MATCH(orders!$D49,products!$A$1:$A$49,0),MATCH(orders!L$1,products!$A$1:$G$1,0))</f>
        <v>3.8849999999999998</v>
      </c>
      <c r="M49" s="7">
        <f t="shared" si="0"/>
        <v>7.77</v>
      </c>
      <c r="N49" s="4" t="str" cm="1">
        <f t="array" ref="N49">_xlfn.IFS(I49="Rob","Robusta",I49="Exc","Excelsa",I49="Ara","Arabica",I49="Lib","Liberica")</f>
        <v>Arabica</v>
      </c>
      <c r="O49" s="4" t="str" cm="1">
        <f t="array" ref="O49">_xlfn.IFS(J49="M","Medium",J49="L","Light",J49="D","Dark")</f>
        <v>Light</v>
      </c>
      <c r="P49" s="4" t="str">
        <f>_xlfn.XLOOKUP(CoffeeOrderstable[[#This Row],[Customer ID]],customers!$A$1:$A$1001,customers!$I$1:$I$1001,,0)</f>
        <v>Yes</v>
      </c>
    </row>
    <row r="50" spans="1:16" x14ac:dyDescent="0.3">
      <c r="A50" s="3" t="s">
        <v>761</v>
      </c>
      <c r="B50" s="5">
        <v>44085</v>
      </c>
      <c r="C50" s="3" t="s">
        <v>762</v>
      </c>
      <c r="D50" s="4" t="s">
        <v>6168</v>
      </c>
      <c r="E50" s="3">
        <v>4</v>
      </c>
      <c r="F50" s="3" t="str">
        <f>_xlfn.XLOOKUP(C50,customers!$A$1:$A$1001,customers!$B$1:$B$1001,,0)</f>
        <v>Raynor McGilvary</v>
      </c>
      <c r="G50" s="3" t="str">
        <f>IF(_xlfn.XLOOKUP(C50,customers!$A$1:$A$1001,customers!$C$1:$C$1001,,0)=0,"", _xlfn.XLOOKUP(C50,customers!$A$1:$A$1001,customers!$C$1:$C$1001,,0))</f>
        <v>rmcgilvary1c@tamu.edu</v>
      </c>
      <c r="H50" s="3" t="str">
        <f>_xlfn.XLOOKUP(C50,customers!$A$1:$A$1001,customers!$G$1:$G$1001,,0)</f>
        <v>United States</v>
      </c>
      <c r="I50" s="4" t="str">
        <f>INDEX(products!$A$1:$G$49,MATCH(orders!$D50,products!$A$1:$A$49,0),MATCH(orders!I$1,products!$A$1:$G$1,0))</f>
        <v>Ara</v>
      </c>
      <c r="J50" s="4" t="str">
        <f>INDEX(products!$A$1:$G$49,MATCH(orders!$D50,products!$A$1:$A$49,0),MATCH(orders!J$1,products!$A$1:$G$1,0))</f>
        <v>D</v>
      </c>
      <c r="K50" s="6">
        <f>INDEX(products!$A$1:$G$49,MATCH(orders!$D50,products!$A$1:$A$49,0),MATCH(orders!K$1,products!$A$1:$G$1,0))</f>
        <v>2.5</v>
      </c>
      <c r="L50" s="7">
        <f>INDEX(products!$A$1:$G$49,MATCH(orders!$D50,products!$A$1:$A$49,0),MATCH(orders!L$1,products!$A$1:$G$1,0))</f>
        <v>22.884999999999998</v>
      </c>
      <c r="M50" s="7">
        <f t="shared" si="0"/>
        <v>91.539999999999992</v>
      </c>
      <c r="N50" s="4" t="str" cm="1">
        <f t="array" ref="N50">_xlfn.IFS(I50="Rob","Robusta",I50="Exc","Excelsa",I50="Ara","Arabica",I50="Lib","Liberica")</f>
        <v>Arabica</v>
      </c>
      <c r="O50" s="4" t="str" cm="1">
        <f t="array" ref="O50">_xlfn.IFS(J50="M","Medium",J50="L","Light",J50="D","Dark")</f>
        <v>Dark</v>
      </c>
      <c r="P50" s="4" t="str">
        <f>_xlfn.XLOOKUP(CoffeeOrderstable[[#This Row],[Customer ID]],customers!$A$1:$A$1001,customers!$I$1:$I$1001,,0)</f>
        <v>No</v>
      </c>
    </row>
    <row r="51" spans="1:16" x14ac:dyDescent="0.3">
      <c r="A51" s="3" t="s">
        <v>766</v>
      </c>
      <c r="B51" s="5">
        <v>44790</v>
      </c>
      <c r="C51" s="3" t="s">
        <v>767</v>
      </c>
      <c r="D51" s="4" t="s">
        <v>6140</v>
      </c>
      <c r="E51" s="3">
        <v>3</v>
      </c>
      <c r="F51" s="3" t="str">
        <f>_xlfn.XLOOKUP(C51,customers!$A$1:$A$1001,customers!$B$1:$B$1001,,0)</f>
        <v>Isis Pikett</v>
      </c>
      <c r="G51" s="3" t="str">
        <f>IF(_xlfn.XLOOKUP(C51,customers!$A$1:$A$1001,customers!$C$1:$C$1001,,0)=0,"", _xlfn.XLOOKUP(C51,customers!$A$1:$A$1001,customers!$C$1:$C$1001,,0))</f>
        <v>ipikett1d@xinhuanet.com</v>
      </c>
      <c r="H51" s="3" t="str">
        <f>_xlfn.XLOOKUP(C51,customers!$A$1:$A$1001,customers!$G$1:$G$1001,,0)</f>
        <v>United States</v>
      </c>
      <c r="I51" s="4" t="str">
        <f>INDEX(products!$A$1:$G$49,MATCH(orders!$D51,products!$A$1:$A$49,0),MATCH(orders!I$1,products!$A$1:$G$1,0))</f>
        <v>Ara</v>
      </c>
      <c r="J51" s="4" t="str">
        <f>INDEX(products!$A$1:$G$49,MATCH(orders!$D51,products!$A$1:$A$49,0),MATCH(orders!J$1,products!$A$1:$G$1,0))</f>
        <v>L</v>
      </c>
      <c r="K51" s="6">
        <f>INDEX(products!$A$1:$G$49,MATCH(orders!$D51,products!$A$1:$A$49,0),MATCH(orders!K$1,products!$A$1:$G$1,0))</f>
        <v>1</v>
      </c>
      <c r="L51" s="7">
        <f>INDEX(products!$A$1:$G$49,MATCH(orders!$D51,products!$A$1:$A$49,0),MATCH(orders!L$1,products!$A$1:$G$1,0))</f>
        <v>12.95</v>
      </c>
      <c r="M51" s="7">
        <f t="shared" si="0"/>
        <v>38.849999999999994</v>
      </c>
      <c r="N51" s="4" t="str" cm="1">
        <f t="array" ref="N51">_xlfn.IFS(I51="Rob","Robusta",I51="Exc","Excelsa",I51="Ara","Arabica",I51="Lib","Liberica")</f>
        <v>Arabica</v>
      </c>
      <c r="O51" s="4" t="str" cm="1">
        <f t="array" ref="O51">_xlfn.IFS(J51="M","Medium",J51="L","Light",J51="D","Dark")</f>
        <v>Light</v>
      </c>
      <c r="P51" s="4" t="str">
        <f>_xlfn.XLOOKUP(CoffeeOrderstable[[#This Row],[Customer ID]],customers!$A$1:$A$1001,customers!$I$1:$I$1001,,0)</f>
        <v>No</v>
      </c>
    </row>
    <row r="52" spans="1:16" x14ac:dyDescent="0.3">
      <c r="A52" s="3" t="s">
        <v>772</v>
      </c>
      <c r="B52" s="5">
        <v>44792</v>
      </c>
      <c r="C52" s="3" t="s">
        <v>773</v>
      </c>
      <c r="D52" s="4" t="s">
        <v>6169</v>
      </c>
      <c r="E52" s="3">
        <v>2</v>
      </c>
      <c r="F52" s="3" t="str">
        <f>_xlfn.XLOOKUP(C52,customers!$A$1:$A$1001,customers!$B$1:$B$1001,,0)</f>
        <v>Inger Bouldon</v>
      </c>
      <c r="G52" s="3" t="str">
        <f>IF(_xlfn.XLOOKUP(C52,customers!$A$1:$A$1001,customers!$C$1:$C$1001,,0)=0,"", _xlfn.XLOOKUP(C52,customers!$A$1:$A$1001,customers!$C$1:$C$1001,,0))</f>
        <v>ibouldon1e@gizmodo.com</v>
      </c>
      <c r="H52" s="3" t="str">
        <f>_xlfn.XLOOKUP(C52,customers!$A$1:$A$1001,customers!$G$1:$G$1001,,0)</f>
        <v>United States</v>
      </c>
      <c r="I52" s="4" t="str">
        <f>INDEX(products!$A$1:$G$49,MATCH(orders!$D52,products!$A$1:$A$49,0),MATCH(orders!I$1,products!$A$1:$G$1,0))</f>
        <v>Lib</v>
      </c>
      <c r="J52" s="4" t="str">
        <f>INDEX(products!$A$1:$G$49,MATCH(orders!$D52,products!$A$1:$A$49,0),MATCH(orders!J$1,products!$A$1:$G$1,0))</f>
        <v>D</v>
      </c>
      <c r="K52" s="6">
        <f>INDEX(products!$A$1:$G$49,MATCH(orders!$D52,products!$A$1:$A$49,0),MATCH(orders!K$1,products!$A$1:$G$1,0))</f>
        <v>0.5</v>
      </c>
      <c r="L52" s="7">
        <f>INDEX(products!$A$1:$G$49,MATCH(orders!$D52,products!$A$1:$A$49,0),MATCH(orders!L$1,products!$A$1:$G$1,0))</f>
        <v>7.77</v>
      </c>
      <c r="M52" s="7">
        <f t="shared" si="0"/>
        <v>15.54</v>
      </c>
      <c r="N52" s="4" t="str" cm="1">
        <f t="array" ref="N52">_xlfn.IFS(I52="Rob","Robusta",I52="Exc","Excelsa",I52="Ara","Arabica",I52="Lib","Liberica")</f>
        <v>Liberica</v>
      </c>
      <c r="O52" s="4" t="str" cm="1">
        <f t="array" ref="O52">_xlfn.IFS(J52="M","Medium",J52="L","Light",J52="D","Dark")</f>
        <v>Dark</v>
      </c>
      <c r="P52" s="4" t="str">
        <f>_xlfn.XLOOKUP(CoffeeOrderstable[[#This Row],[Customer ID]],customers!$A$1:$A$1001,customers!$I$1:$I$1001,,0)</f>
        <v>No</v>
      </c>
    </row>
    <row r="53" spans="1:16" x14ac:dyDescent="0.3">
      <c r="A53" s="3" t="s">
        <v>778</v>
      </c>
      <c r="B53" s="5">
        <v>43600</v>
      </c>
      <c r="C53" s="3" t="s">
        <v>779</v>
      </c>
      <c r="D53" s="4" t="s">
        <v>6164</v>
      </c>
      <c r="E53" s="3">
        <v>4</v>
      </c>
      <c r="F53" s="3" t="str">
        <f>_xlfn.XLOOKUP(C53,customers!$A$1:$A$1001,customers!$B$1:$B$1001,,0)</f>
        <v>Karry Flanders</v>
      </c>
      <c r="G53" s="3" t="str">
        <f>IF(_xlfn.XLOOKUP(C53,customers!$A$1:$A$1001,customers!$C$1:$C$1001,,0)=0,"", _xlfn.XLOOKUP(C53,customers!$A$1:$A$1001,customers!$C$1:$C$1001,,0))</f>
        <v>kflanders1f@over-blog.com</v>
      </c>
      <c r="H53" s="3" t="str">
        <f>_xlfn.XLOOKUP(C53,customers!$A$1:$A$1001,customers!$G$1:$G$1001,,0)</f>
        <v>Ireland</v>
      </c>
      <c r="I53" s="4" t="str">
        <f>INDEX(products!$A$1:$G$49,MATCH(orders!$D53,products!$A$1:$A$49,0),MATCH(orders!I$1,products!$A$1:$G$1,0))</f>
        <v>Lib</v>
      </c>
      <c r="J53" s="4" t="str">
        <f>INDEX(products!$A$1:$G$49,MATCH(orders!$D53,products!$A$1:$A$49,0),MATCH(orders!J$1,products!$A$1:$G$1,0))</f>
        <v>L</v>
      </c>
      <c r="K53" s="6">
        <f>INDEX(products!$A$1:$G$49,MATCH(orders!$D53,products!$A$1:$A$49,0),MATCH(orders!K$1,products!$A$1:$G$1,0))</f>
        <v>2.5</v>
      </c>
      <c r="L53" s="7">
        <f>INDEX(products!$A$1:$G$49,MATCH(orders!$D53,products!$A$1:$A$49,0),MATCH(orders!L$1,products!$A$1:$G$1,0))</f>
        <v>36.454999999999998</v>
      </c>
      <c r="M53" s="7">
        <f t="shared" si="0"/>
        <v>145.82</v>
      </c>
      <c r="N53" s="4" t="str" cm="1">
        <f t="array" ref="N53">_xlfn.IFS(I53="Rob","Robusta",I53="Exc","Excelsa",I53="Ara","Arabica",I53="Lib","Liberica")</f>
        <v>Liberica</v>
      </c>
      <c r="O53" s="4" t="str" cm="1">
        <f t="array" ref="O53">_xlfn.IFS(J53="M","Medium",J53="L","Light",J53="D","Dark")</f>
        <v>Light</v>
      </c>
      <c r="P53" s="4" t="str">
        <f>_xlfn.XLOOKUP(CoffeeOrderstable[[#This Row],[Customer ID]],customers!$A$1:$A$1001,customers!$I$1:$I$1001,,0)</f>
        <v>Yes</v>
      </c>
    </row>
    <row r="54" spans="1:16" x14ac:dyDescent="0.3">
      <c r="A54" s="3" t="s">
        <v>784</v>
      </c>
      <c r="B54" s="5">
        <v>43719</v>
      </c>
      <c r="C54" s="3" t="s">
        <v>785</v>
      </c>
      <c r="D54" s="4" t="s">
        <v>6146</v>
      </c>
      <c r="E54" s="3">
        <v>5</v>
      </c>
      <c r="F54" s="3" t="str">
        <f>_xlfn.XLOOKUP(C54,customers!$A$1:$A$1001,customers!$B$1:$B$1001,,0)</f>
        <v>Hartley Mattioli</v>
      </c>
      <c r="G54" s="3" t="str">
        <f>IF(_xlfn.XLOOKUP(C54,customers!$A$1:$A$1001,customers!$C$1:$C$1001,,0)=0,"", _xlfn.XLOOKUP(C54,customers!$A$1:$A$1001,customers!$C$1:$C$1001,,0))</f>
        <v>hmattioli1g@webmd.com</v>
      </c>
      <c r="H54" s="3" t="str">
        <f>_xlfn.XLOOKUP(C54,customers!$A$1:$A$1001,customers!$G$1:$G$1001,,0)</f>
        <v>United Kingdom</v>
      </c>
      <c r="I54" s="4" t="str">
        <f>INDEX(products!$A$1:$G$49,MATCH(orders!$D54,products!$A$1:$A$49,0),MATCH(orders!I$1,products!$A$1:$G$1,0))</f>
        <v>Rob</v>
      </c>
      <c r="J54" s="4" t="str">
        <f>INDEX(products!$A$1:$G$49,MATCH(orders!$D54,products!$A$1:$A$49,0),MATCH(orders!J$1,products!$A$1:$G$1,0))</f>
        <v>M</v>
      </c>
      <c r="K54" s="6">
        <f>INDEX(products!$A$1:$G$49,MATCH(orders!$D54,products!$A$1:$A$49,0),MATCH(orders!K$1,products!$A$1:$G$1,0))</f>
        <v>0.5</v>
      </c>
      <c r="L54" s="7">
        <f>INDEX(products!$A$1:$G$49,MATCH(orders!$D54,products!$A$1:$A$49,0),MATCH(orders!L$1,products!$A$1:$G$1,0))</f>
        <v>5.97</v>
      </c>
      <c r="M54" s="7">
        <f t="shared" si="0"/>
        <v>29.849999999999998</v>
      </c>
      <c r="N54" s="4" t="str" cm="1">
        <f t="array" ref="N54">_xlfn.IFS(I54="Rob","Robusta",I54="Exc","Excelsa",I54="Ara","Arabica",I54="Lib","Liberica")</f>
        <v>Robusta</v>
      </c>
      <c r="O54" s="4" t="str" cm="1">
        <f t="array" ref="O54">_xlfn.IFS(J54="M","Medium",J54="L","Light",J54="D","Dark")</f>
        <v>Medium</v>
      </c>
      <c r="P54" s="4" t="str">
        <f>_xlfn.XLOOKUP(CoffeeOrderstable[[#This Row],[Customer ID]],customers!$A$1:$A$1001,customers!$I$1:$I$1001,,0)</f>
        <v>No</v>
      </c>
    </row>
    <row r="55" spans="1:16" x14ac:dyDescent="0.3">
      <c r="A55" s="3" t="s">
        <v>784</v>
      </c>
      <c r="B55" s="5">
        <v>43719</v>
      </c>
      <c r="C55" s="3" t="s">
        <v>785</v>
      </c>
      <c r="D55" s="4" t="s">
        <v>6164</v>
      </c>
      <c r="E55" s="3">
        <v>2</v>
      </c>
      <c r="F55" s="3" t="str">
        <f>_xlfn.XLOOKUP(C55,customers!$A$1:$A$1001,customers!$B$1:$B$1001,,0)</f>
        <v>Hartley Mattioli</v>
      </c>
      <c r="G55" s="3" t="str">
        <f>IF(_xlfn.XLOOKUP(C55,customers!$A$1:$A$1001,customers!$C$1:$C$1001,,0)=0,"", _xlfn.XLOOKUP(C55,customers!$A$1:$A$1001,customers!$C$1:$C$1001,,0))</f>
        <v>hmattioli1g@webmd.com</v>
      </c>
      <c r="H55" s="3" t="str">
        <f>_xlfn.XLOOKUP(C55,customers!$A$1:$A$1001,customers!$G$1:$G$1001,,0)</f>
        <v>United Kingdom</v>
      </c>
      <c r="I55" s="4" t="str">
        <f>INDEX(products!$A$1:$G$49,MATCH(orders!$D55,products!$A$1:$A$49,0),MATCH(orders!I$1,products!$A$1:$G$1,0))</f>
        <v>Lib</v>
      </c>
      <c r="J55" s="4" t="str">
        <f>INDEX(products!$A$1:$G$49,MATCH(orders!$D55,products!$A$1:$A$49,0),MATCH(orders!J$1,products!$A$1:$G$1,0))</f>
        <v>L</v>
      </c>
      <c r="K55" s="6">
        <f>INDEX(products!$A$1:$G$49,MATCH(orders!$D55,products!$A$1:$A$49,0),MATCH(orders!K$1,products!$A$1:$G$1,0))</f>
        <v>2.5</v>
      </c>
      <c r="L55" s="7">
        <f>INDEX(products!$A$1:$G$49,MATCH(orders!$D55,products!$A$1:$A$49,0),MATCH(orders!L$1,products!$A$1:$G$1,0))</f>
        <v>36.454999999999998</v>
      </c>
      <c r="M55" s="7">
        <f t="shared" si="0"/>
        <v>72.91</v>
      </c>
      <c r="N55" s="4" t="str" cm="1">
        <f t="array" ref="N55">_xlfn.IFS(I55="Rob","Robusta",I55="Exc","Excelsa",I55="Ara","Arabica",I55="Lib","Liberica")</f>
        <v>Liberica</v>
      </c>
      <c r="O55" s="4" t="str" cm="1">
        <f t="array" ref="O55">_xlfn.IFS(J55="M","Medium",J55="L","Light",J55="D","Dark")</f>
        <v>Light</v>
      </c>
      <c r="P55" s="4" t="str">
        <f>_xlfn.XLOOKUP(CoffeeOrderstable[[#This Row],[Customer ID]],customers!$A$1:$A$1001,customers!$I$1:$I$1001,,0)</f>
        <v>No</v>
      </c>
    </row>
    <row r="56" spans="1:16" x14ac:dyDescent="0.3">
      <c r="A56" s="3" t="s">
        <v>794</v>
      </c>
      <c r="B56" s="5">
        <v>44271</v>
      </c>
      <c r="C56" s="3" t="s">
        <v>795</v>
      </c>
      <c r="D56" s="4" t="s">
        <v>6162</v>
      </c>
      <c r="E56" s="3">
        <v>5</v>
      </c>
      <c r="F56" s="3" t="str">
        <f>_xlfn.XLOOKUP(C56,customers!$A$1:$A$1001,customers!$B$1:$B$1001,,0)</f>
        <v>Archambault Gillard</v>
      </c>
      <c r="G56" s="3" t="str">
        <f>IF(_xlfn.XLOOKUP(C56,customers!$A$1:$A$1001,customers!$C$1:$C$1001,,0)=0,"", _xlfn.XLOOKUP(C56,customers!$A$1:$A$1001,customers!$C$1:$C$1001,,0))</f>
        <v>agillard1i@issuu.com</v>
      </c>
      <c r="H56" s="3" t="str">
        <f>_xlfn.XLOOKUP(C56,customers!$A$1:$A$1001,customers!$G$1:$G$1001,,0)</f>
        <v>United States</v>
      </c>
      <c r="I56" s="4" t="str">
        <f>INDEX(products!$A$1:$G$49,MATCH(orders!$D56,products!$A$1:$A$49,0),MATCH(orders!I$1,products!$A$1:$G$1,0))</f>
        <v>Lib</v>
      </c>
      <c r="J56" s="4" t="str">
        <f>INDEX(products!$A$1:$G$49,MATCH(orders!$D56,products!$A$1:$A$49,0),MATCH(orders!J$1,products!$A$1:$G$1,0))</f>
        <v>M</v>
      </c>
      <c r="K56" s="6">
        <f>INDEX(products!$A$1:$G$49,MATCH(orders!$D56,products!$A$1:$A$49,0),MATCH(orders!K$1,products!$A$1:$G$1,0))</f>
        <v>1</v>
      </c>
      <c r="L56" s="7">
        <f>INDEX(products!$A$1:$G$49,MATCH(orders!$D56,products!$A$1:$A$49,0),MATCH(orders!L$1,products!$A$1:$G$1,0))</f>
        <v>14.55</v>
      </c>
      <c r="M56" s="7">
        <f t="shared" si="0"/>
        <v>72.75</v>
      </c>
      <c r="N56" s="4" t="str" cm="1">
        <f t="array" ref="N56">_xlfn.IFS(I56="Rob","Robusta",I56="Exc","Excelsa",I56="Ara","Arabica",I56="Lib","Liberica")</f>
        <v>Liberica</v>
      </c>
      <c r="O56" s="4" t="str" cm="1">
        <f t="array" ref="O56">_xlfn.IFS(J56="M","Medium",J56="L","Light",J56="D","Dark")</f>
        <v>Medium</v>
      </c>
      <c r="P56" s="4" t="str">
        <f>_xlfn.XLOOKUP(CoffeeOrderstable[[#This Row],[Customer ID]],customers!$A$1:$A$1001,customers!$I$1:$I$1001,,0)</f>
        <v>No</v>
      </c>
    </row>
    <row r="57" spans="1:16" x14ac:dyDescent="0.3">
      <c r="A57" s="3" t="s">
        <v>800</v>
      </c>
      <c r="B57" s="5">
        <v>44168</v>
      </c>
      <c r="C57" s="3" t="s">
        <v>801</v>
      </c>
      <c r="D57" s="4" t="s">
        <v>6170</v>
      </c>
      <c r="E57" s="3">
        <v>3</v>
      </c>
      <c r="F57" s="3" t="str">
        <f>_xlfn.XLOOKUP(C57,customers!$A$1:$A$1001,customers!$B$1:$B$1001,,0)</f>
        <v>Salomo Cushworth</v>
      </c>
      <c r="G57" s="3" t="str">
        <f>IF(_xlfn.XLOOKUP(C57,customers!$A$1:$A$1001,customers!$C$1:$C$1001,,0)=0,"", _xlfn.XLOOKUP(C57,customers!$A$1:$A$1001,customers!$C$1:$C$1001,,0))</f>
        <v/>
      </c>
      <c r="H57" s="3" t="str">
        <f>_xlfn.XLOOKUP(C57,customers!$A$1:$A$1001,customers!$G$1:$G$1001,,0)</f>
        <v>United States</v>
      </c>
      <c r="I57" s="4" t="str">
        <f>INDEX(products!$A$1:$G$49,MATCH(orders!$D57,products!$A$1:$A$49,0),MATCH(orders!I$1,products!$A$1:$G$1,0))</f>
        <v>Lib</v>
      </c>
      <c r="J57" s="4" t="str">
        <f>INDEX(products!$A$1:$G$49,MATCH(orders!$D57,products!$A$1:$A$49,0),MATCH(orders!J$1,products!$A$1:$G$1,0))</f>
        <v>L</v>
      </c>
      <c r="K57" s="6">
        <f>INDEX(products!$A$1:$G$49,MATCH(orders!$D57,products!$A$1:$A$49,0),MATCH(orders!K$1,products!$A$1:$G$1,0))</f>
        <v>1</v>
      </c>
      <c r="L57" s="7">
        <f>INDEX(products!$A$1:$G$49,MATCH(orders!$D57,products!$A$1:$A$49,0),MATCH(orders!L$1,products!$A$1:$G$1,0))</f>
        <v>15.85</v>
      </c>
      <c r="M57" s="7">
        <f t="shared" si="0"/>
        <v>47.55</v>
      </c>
      <c r="N57" s="4" t="str" cm="1">
        <f t="array" ref="N57">_xlfn.IFS(I57="Rob","Robusta",I57="Exc","Excelsa",I57="Ara","Arabica",I57="Lib","Liberica")</f>
        <v>Liberica</v>
      </c>
      <c r="O57" s="4" t="str" cm="1">
        <f t="array" ref="O57">_xlfn.IFS(J57="M","Medium",J57="L","Light",J57="D","Dark")</f>
        <v>Light</v>
      </c>
      <c r="P57" s="4" t="str">
        <f>_xlfn.XLOOKUP(CoffeeOrderstable[[#This Row],[Customer ID]],customers!$A$1:$A$1001,customers!$I$1:$I$1001,,0)</f>
        <v>No</v>
      </c>
    </row>
    <row r="58" spans="1:16" x14ac:dyDescent="0.3">
      <c r="A58" s="3" t="s">
        <v>805</v>
      </c>
      <c r="B58" s="5">
        <v>43857</v>
      </c>
      <c r="C58" s="3" t="s">
        <v>806</v>
      </c>
      <c r="D58" s="4" t="s">
        <v>6153</v>
      </c>
      <c r="E58" s="3">
        <v>3</v>
      </c>
      <c r="F58" s="3" t="str">
        <f>_xlfn.XLOOKUP(C58,customers!$A$1:$A$1001,customers!$B$1:$B$1001,,0)</f>
        <v>Theda Grizard</v>
      </c>
      <c r="G58" s="3" t="str">
        <f>IF(_xlfn.XLOOKUP(C58,customers!$A$1:$A$1001,customers!$C$1:$C$1001,,0)=0,"", _xlfn.XLOOKUP(C58,customers!$A$1:$A$1001,customers!$C$1:$C$1001,,0))</f>
        <v>tgrizard1k@odnoklassniki.ru</v>
      </c>
      <c r="H58" s="3" t="str">
        <f>_xlfn.XLOOKUP(C58,customers!$A$1:$A$1001,customers!$G$1:$G$1001,,0)</f>
        <v>United States</v>
      </c>
      <c r="I58" s="4" t="str">
        <f>INDEX(products!$A$1:$G$49,MATCH(orders!$D58,products!$A$1:$A$49,0),MATCH(orders!I$1,products!$A$1:$G$1,0))</f>
        <v>Exc</v>
      </c>
      <c r="J58" s="4" t="str">
        <f>INDEX(products!$A$1:$G$49,MATCH(orders!$D58,products!$A$1:$A$49,0),MATCH(orders!J$1,products!$A$1:$G$1,0))</f>
        <v>D</v>
      </c>
      <c r="K58" s="6">
        <f>INDEX(products!$A$1:$G$49,MATCH(orders!$D58,products!$A$1:$A$49,0),MATCH(orders!K$1,products!$A$1:$G$1,0))</f>
        <v>0.2</v>
      </c>
      <c r="L58" s="7">
        <f>INDEX(products!$A$1:$G$49,MATCH(orders!$D58,products!$A$1:$A$49,0),MATCH(orders!L$1,products!$A$1:$G$1,0))</f>
        <v>3.645</v>
      </c>
      <c r="M58" s="7">
        <f t="shared" si="0"/>
        <v>10.935</v>
      </c>
      <c r="N58" s="4" t="str" cm="1">
        <f t="array" ref="N58">_xlfn.IFS(I58="Rob","Robusta",I58="Exc","Excelsa",I58="Ara","Arabica",I58="Lib","Liberica")</f>
        <v>Excelsa</v>
      </c>
      <c r="O58" s="4" t="str" cm="1">
        <f t="array" ref="O58">_xlfn.IFS(J58="M","Medium",J58="L","Light",J58="D","Dark")</f>
        <v>Dark</v>
      </c>
      <c r="P58" s="4" t="str">
        <f>_xlfn.XLOOKUP(CoffeeOrderstable[[#This Row],[Customer ID]],customers!$A$1:$A$1001,customers!$I$1:$I$1001,,0)</f>
        <v>Yes</v>
      </c>
    </row>
    <row r="59" spans="1:16" x14ac:dyDescent="0.3">
      <c r="A59" s="3" t="s">
        <v>811</v>
      </c>
      <c r="B59" s="5">
        <v>44759</v>
      </c>
      <c r="C59" s="3" t="s">
        <v>812</v>
      </c>
      <c r="D59" s="4" t="s">
        <v>6171</v>
      </c>
      <c r="E59" s="3">
        <v>4</v>
      </c>
      <c r="F59" s="3" t="str">
        <f>_xlfn.XLOOKUP(C59,customers!$A$1:$A$1001,customers!$B$1:$B$1001,,0)</f>
        <v>Rozele Relton</v>
      </c>
      <c r="G59" s="3" t="str">
        <f>IF(_xlfn.XLOOKUP(C59,customers!$A$1:$A$1001,customers!$C$1:$C$1001,,0)=0,"", _xlfn.XLOOKUP(C59,customers!$A$1:$A$1001,customers!$C$1:$C$1001,,0))</f>
        <v>rrelton1l@stanford.edu</v>
      </c>
      <c r="H59" s="3" t="str">
        <f>_xlfn.XLOOKUP(C59,customers!$A$1:$A$1001,customers!$G$1:$G$1001,,0)</f>
        <v>United States</v>
      </c>
      <c r="I59" s="4" t="str">
        <f>INDEX(products!$A$1:$G$49,MATCH(orders!$D59,products!$A$1:$A$49,0),MATCH(orders!I$1,products!$A$1:$G$1,0))</f>
        <v>Exc</v>
      </c>
      <c r="J59" s="4" t="str">
        <f>INDEX(products!$A$1:$G$49,MATCH(orders!$D59,products!$A$1:$A$49,0),MATCH(orders!J$1,products!$A$1:$G$1,0))</f>
        <v>L</v>
      </c>
      <c r="K59" s="6">
        <f>INDEX(products!$A$1:$G$49,MATCH(orders!$D59,products!$A$1:$A$49,0),MATCH(orders!K$1,products!$A$1:$G$1,0))</f>
        <v>1</v>
      </c>
      <c r="L59" s="7">
        <f>INDEX(products!$A$1:$G$49,MATCH(orders!$D59,products!$A$1:$A$49,0),MATCH(orders!L$1,products!$A$1:$G$1,0))</f>
        <v>14.85</v>
      </c>
      <c r="M59" s="7">
        <f t="shared" si="0"/>
        <v>59.4</v>
      </c>
      <c r="N59" s="4" t="str" cm="1">
        <f t="array" ref="N59">_xlfn.IFS(I59="Rob","Robusta",I59="Exc","Excelsa",I59="Ara","Arabica",I59="Lib","Liberica")</f>
        <v>Excelsa</v>
      </c>
      <c r="O59" s="4" t="str" cm="1">
        <f t="array" ref="O59">_xlfn.IFS(J59="M","Medium",J59="L","Light",J59="D","Dark")</f>
        <v>Light</v>
      </c>
      <c r="P59" s="4" t="str">
        <f>_xlfn.XLOOKUP(CoffeeOrderstable[[#This Row],[Customer ID]],customers!$A$1:$A$1001,customers!$I$1:$I$1001,,0)</f>
        <v>No</v>
      </c>
    </row>
    <row r="60" spans="1:16" x14ac:dyDescent="0.3">
      <c r="A60" s="3" t="s">
        <v>817</v>
      </c>
      <c r="B60" s="5">
        <v>44624</v>
      </c>
      <c r="C60" s="3" t="s">
        <v>818</v>
      </c>
      <c r="D60" s="4" t="s">
        <v>6165</v>
      </c>
      <c r="E60" s="3">
        <v>3</v>
      </c>
      <c r="F60" s="3" t="str">
        <f>_xlfn.XLOOKUP(C60,customers!$A$1:$A$1001,customers!$B$1:$B$1001,,0)</f>
        <v>Willa Rolling</v>
      </c>
      <c r="G60" s="3" t="str">
        <f>IF(_xlfn.XLOOKUP(C60,customers!$A$1:$A$1001,customers!$C$1:$C$1001,,0)=0,"", _xlfn.XLOOKUP(C60,customers!$A$1:$A$1001,customers!$C$1:$C$1001,,0))</f>
        <v/>
      </c>
      <c r="H60" s="3" t="str">
        <f>_xlfn.XLOOKUP(C60,customers!$A$1:$A$1001,customers!$G$1:$G$1001,,0)</f>
        <v>United States</v>
      </c>
      <c r="I60" s="4" t="str">
        <f>INDEX(products!$A$1:$G$49,MATCH(orders!$D60,products!$A$1:$A$49,0),MATCH(orders!I$1,products!$A$1:$G$1,0))</f>
        <v>Lib</v>
      </c>
      <c r="J60" s="4" t="str">
        <f>INDEX(products!$A$1:$G$49,MATCH(orders!$D60,products!$A$1:$A$49,0),MATCH(orders!J$1,products!$A$1:$G$1,0))</f>
        <v>D</v>
      </c>
      <c r="K60" s="6">
        <f>INDEX(products!$A$1:$G$49,MATCH(orders!$D60,products!$A$1:$A$49,0),MATCH(orders!K$1,products!$A$1:$G$1,0))</f>
        <v>2.5</v>
      </c>
      <c r="L60" s="7">
        <f>INDEX(products!$A$1:$G$49,MATCH(orders!$D60,products!$A$1:$A$49,0),MATCH(orders!L$1,products!$A$1:$G$1,0))</f>
        <v>29.784999999999997</v>
      </c>
      <c r="M60" s="7">
        <f t="shared" si="0"/>
        <v>89.35499999999999</v>
      </c>
      <c r="N60" s="4" t="str" cm="1">
        <f t="array" ref="N60">_xlfn.IFS(I60="Rob","Robusta",I60="Exc","Excelsa",I60="Ara","Arabica",I60="Lib","Liberica")</f>
        <v>Liberica</v>
      </c>
      <c r="O60" s="4" t="str" cm="1">
        <f t="array" ref="O60">_xlfn.IFS(J60="M","Medium",J60="L","Light",J60="D","Dark")</f>
        <v>Dark</v>
      </c>
      <c r="P60" s="4" t="str">
        <f>_xlfn.XLOOKUP(CoffeeOrderstable[[#This Row],[Customer ID]],customers!$A$1:$A$1001,customers!$I$1:$I$1001,,0)</f>
        <v>Yes</v>
      </c>
    </row>
    <row r="61" spans="1:16" x14ac:dyDescent="0.3">
      <c r="A61" s="3" t="s">
        <v>822</v>
      </c>
      <c r="B61" s="5">
        <v>44537</v>
      </c>
      <c r="C61" s="3" t="s">
        <v>823</v>
      </c>
      <c r="D61" s="4" t="s">
        <v>6160</v>
      </c>
      <c r="E61" s="3">
        <v>3</v>
      </c>
      <c r="F61" s="3" t="str">
        <f>_xlfn.XLOOKUP(C61,customers!$A$1:$A$1001,customers!$B$1:$B$1001,,0)</f>
        <v>Stanislaus Gilroy</v>
      </c>
      <c r="G61" s="3" t="str">
        <f>IF(_xlfn.XLOOKUP(C61,customers!$A$1:$A$1001,customers!$C$1:$C$1001,,0)=0,"", _xlfn.XLOOKUP(C61,customers!$A$1:$A$1001,customers!$C$1:$C$1001,,0))</f>
        <v>sgilroy1n@eepurl.com</v>
      </c>
      <c r="H61" s="3" t="str">
        <f>_xlfn.XLOOKUP(C61,customers!$A$1:$A$1001,customers!$G$1:$G$1001,,0)</f>
        <v>United States</v>
      </c>
      <c r="I61" s="4" t="str">
        <f>INDEX(products!$A$1:$G$49,MATCH(orders!$D61,products!$A$1:$A$49,0),MATCH(orders!I$1,products!$A$1:$G$1,0))</f>
        <v>Lib</v>
      </c>
      <c r="J61" s="4" t="str">
        <f>INDEX(products!$A$1:$G$49,MATCH(orders!$D61,products!$A$1:$A$49,0),MATCH(orders!J$1,products!$A$1:$G$1,0))</f>
        <v>M</v>
      </c>
      <c r="K61" s="6">
        <f>INDEX(products!$A$1:$G$49,MATCH(orders!$D61,products!$A$1:$A$49,0),MATCH(orders!K$1,products!$A$1:$G$1,0))</f>
        <v>0.5</v>
      </c>
      <c r="L61" s="7">
        <f>INDEX(products!$A$1:$G$49,MATCH(orders!$D61,products!$A$1:$A$49,0),MATCH(orders!L$1,products!$A$1:$G$1,0))</f>
        <v>8.73</v>
      </c>
      <c r="M61" s="7">
        <f t="shared" si="0"/>
        <v>26.19</v>
      </c>
      <c r="N61" s="4" t="str" cm="1">
        <f t="array" ref="N61">_xlfn.IFS(I61="Rob","Robusta",I61="Exc","Excelsa",I61="Ara","Arabica",I61="Lib","Liberica")</f>
        <v>Liberica</v>
      </c>
      <c r="O61" s="4" t="str" cm="1">
        <f t="array" ref="O61">_xlfn.IFS(J61="M","Medium",J61="L","Light",J61="D","Dark")</f>
        <v>Medium</v>
      </c>
      <c r="P61" s="4" t="str">
        <f>_xlfn.XLOOKUP(CoffeeOrderstable[[#This Row],[Customer ID]],customers!$A$1:$A$1001,customers!$I$1:$I$1001,,0)</f>
        <v>Yes</v>
      </c>
    </row>
    <row r="62" spans="1:16" x14ac:dyDescent="0.3">
      <c r="A62" s="3" t="s">
        <v>827</v>
      </c>
      <c r="B62" s="5">
        <v>44252</v>
      </c>
      <c r="C62" s="3" t="s">
        <v>828</v>
      </c>
      <c r="D62" s="4" t="s">
        <v>6168</v>
      </c>
      <c r="E62" s="3">
        <v>5</v>
      </c>
      <c r="F62" s="3" t="str">
        <f>_xlfn.XLOOKUP(C62,customers!$A$1:$A$1001,customers!$B$1:$B$1001,,0)</f>
        <v>Correy Cottingham</v>
      </c>
      <c r="G62" s="3" t="str">
        <f>IF(_xlfn.XLOOKUP(C62,customers!$A$1:$A$1001,customers!$C$1:$C$1001,,0)=0,"", _xlfn.XLOOKUP(C62,customers!$A$1:$A$1001,customers!$C$1:$C$1001,,0))</f>
        <v>ccottingham1o@wikipedia.org</v>
      </c>
      <c r="H62" s="3" t="str">
        <f>_xlfn.XLOOKUP(C62,customers!$A$1:$A$1001,customers!$G$1:$G$1001,,0)</f>
        <v>United States</v>
      </c>
      <c r="I62" s="4" t="str">
        <f>INDEX(products!$A$1:$G$49,MATCH(orders!$D62,products!$A$1:$A$49,0),MATCH(orders!I$1,products!$A$1:$G$1,0))</f>
        <v>Ara</v>
      </c>
      <c r="J62" s="4" t="str">
        <f>INDEX(products!$A$1:$G$49,MATCH(orders!$D62,products!$A$1:$A$49,0),MATCH(orders!J$1,products!$A$1:$G$1,0))</f>
        <v>D</v>
      </c>
      <c r="K62" s="6">
        <f>INDEX(products!$A$1:$G$49,MATCH(orders!$D62,products!$A$1:$A$49,0),MATCH(orders!K$1,products!$A$1:$G$1,0))</f>
        <v>2.5</v>
      </c>
      <c r="L62" s="7">
        <f>INDEX(products!$A$1:$G$49,MATCH(orders!$D62,products!$A$1:$A$49,0),MATCH(orders!L$1,products!$A$1:$G$1,0))</f>
        <v>22.884999999999998</v>
      </c>
      <c r="M62" s="7">
        <f t="shared" si="0"/>
        <v>114.42499999999998</v>
      </c>
      <c r="N62" s="4" t="str" cm="1">
        <f t="array" ref="N62">_xlfn.IFS(I62="Rob","Robusta",I62="Exc","Excelsa",I62="Ara","Arabica",I62="Lib","Liberica")</f>
        <v>Arabica</v>
      </c>
      <c r="O62" s="4" t="str" cm="1">
        <f t="array" ref="O62">_xlfn.IFS(J62="M","Medium",J62="L","Light",J62="D","Dark")</f>
        <v>Dark</v>
      </c>
      <c r="P62" s="4" t="str">
        <f>_xlfn.XLOOKUP(CoffeeOrderstable[[#This Row],[Customer ID]],customers!$A$1:$A$1001,customers!$I$1:$I$1001,,0)</f>
        <v>No</v>
      </c>
    </row>
    <row r="63" spans="1:16" x14ac:dyDescent="0.3">
      <c r="A63" s="3" t="s">
        <v>833</v>
      </c>
      <c r="B63" s="5">
        <v>43521</v>
      </c>
      <c r="C63" s="3" t="s">
        <v>834</v>
      </c>
      <c r="D63" s="4" t="s">
        <v>6172</v>
      </c>
      <c r="E63" s="3">
        <v>5</v>
      </c>
      <c r="F63" s="3" t="str">
        <f>_xlfn.XLOOKUP(C63,customers!$A$1:$A$1001,customers!$B$1:$B$1001,,0)</f>
        <v>Pammi Endacott</v>
      </c>
      <c r="G63" s="3" t="str">
        <f>IF(_xlfn.XLOOKUP(C63,customers!$A$1:$A$1001,customers!$C$1:$C$1001,,0)=0,"", _xlfn.XLOOKUP(C63,customers!$A$1:$A$1001,customers!$C$1:$C$1001,,0))</f>
        <v/>
      </c>
      <c r="H63" s="3" t="str">
        <f>_xlfn.XLOOKUP(C63,customers!$A$1:$A$1001,customers!$G$1:$G$1001,,0)</f>
        <v>United Kingdom</v>
      </c>
      <c r="I63" s="4" t="str">
        <f>INDEX(products!$A$1:$G$49,MATCH(orders!$D63,products!$A$1:$A$49,0),MATCH(orders!I$1,products!$A$1:$G$1,0))</f>
        <v>Rob</v>
      </c>
      <c r="J63" s="4" t="str">
        <f>INDEX(products!$A$1:$G$49,MATCH(orders!$D63,products!$A$1:$A$49,0),MATCH(orders!J$1,products!$A$1:$G$1,0))</f>
        <v>D</v>
      </c>
      <c r="K63" s="6">
        <f>INDEX(products!$A$1:$G$49,MATCH(orders!$D63,products!$A$1:$A$49,0),MATCH(orders!K$1,products!$A$1:$G$1,0))</f>
        <v>0.5</v>
      </c>
      <c r="L63" s="7">
        <f>INDEX(products!$A$1:$G$49,MATCH(orders!$D63,products!$A$1:$A$49,0),MATCH(orders!L$1,products!$A$1:$G$1,0))</f>
        <v>5.3699999999999992</v>
      </c>
      <c r="M63" s="7">
        <f t="shared" si="0"/>
        <v>26.849999999999994</v>
      </c>
      <c r="N63" s="4" t="str" cm="1">
        <f t="array" ref="N63">_xlfn.IFS(I63="Rob","Robusta",I63="Exc","Excelsa",I63="Ara","Arabica",I63="Lib","Liberica")</f>
        <v>Robusta</v>
      </c>
      <c r="O63" s="4" t="str" cm="1">
        <f t="array" ref="O63">_xlfn.IFS(J63="M","Medium",J63="L","Light",J63="D","Dark")</f>
        <v>Dark</v>
      </c>
      <c r="P63" s="4" t="str">
        <f>_xlfn.XLOOKUP(CoffeeOrderstable[[#This Row],[Customer ID]],customers!$A$1:$A$1001,customers!$I$1:$I$1001,,0)</f>
        <v>Yes</v>
      </c>
    </row>
    <row r="64" spans="1:16" x14ac:dyDescent="0.3">
      <c r="A64" s="3" t="s">
        <v>838</v>
      </c>
      <c r="B64" s="5">
        <v>43505</v>
      </c>
      <c r="C64" s="3" t="s">
        <v>839</v>
      </c>
      <c r="D64" s="4" t="s">
        <v>6145</v>
      </c>
      <c r="E64" s="3">
        <v>5</v>
      </c>
      <c r="F64" s="3" t="str">
        <f>_xlfn.XLOOKUP(C64,customers!$A$1:$A$1001,customers!$B$1:$B$1001,,0)</f>
        <v>Nona Linklater</v>
      </c>
      <c r="G64" s="3" t="str">
        <f>IF(_xlfn.XLOOKUP(C64,customers!$A$1:$A$1001,customers!$C$1:$C$1001,,0)=0,"", _xlfn.XLOOKUP(C64,customers!$A$1:$A$1001,customers!$C$1:$C$1001,,0))</f>
        <v/>
      </c>
      <c r="H64" s="3" t="str">
        <f>_xlfn.XLOOKUP(C64,customers!$A$1:$A$1001,customers!$G$1:$G$1001,,0)</f>
        <v>United States</v>
      </c>
      <c r="I64" s="4" t="str">
        <f>INDEX(products!$A$1:$G$49,MATCH(orders!$D64,products!$A$1:$A$49,0),MATCH(orders!I$1,products!$A$1:$G$1,0))</f>
        <v>Lib</v>
      </c>
      <c r="J64" s="4" t="str">
        <f>INDEX(products!$A$1:$G$49,MATCH(orders!$D64,products!$A$1:$A$49,0),MATCH(orders!J$1,products!$A$1:$G$1,0))</f>
        <v>L</v>
      </c>
      <c r="K64" s="6">
        <f>INDEX(products!$A$1:$G$49,MATCH(orders!$D64,products!$A$1:$A$49,0),MATCH(orders!K$1,products!$A$1:$G$1,0))</f>
        <v>0.2</v>
      </c>
      <c r="L64" s="7">
        <f>INDEX(products!$A$1:$G$49,MATCH(orders!$D64,products!$A$1:$A$49,0),MATCH(orders!L$1,products!$A$1:$G$1,0))</f>
        <v>4.7549999999999999</v>
      </c>
      <c r="M64" s="7">
        <f t="shared" si="0"/>
        <v>23.774999999999999</v>
      </c>
      <c r="N64" s="4" t="str" cm="1">
        <f t="array" ref="N64">_xlfn.IFS(I64="Rob","Robusta",I64="Exc","Excelsa",I64="Ara","Arabica",I64="Lib","Liberica")</f>
        <v>Liberica</v>
      </c>
      <c r="O64" s="4" t="str" cm="1">
        <f t="array" ref="O64">_xlfn.IFS(J64="M","Medium",J64="L","Light",J64="D","Dark")</f>
        <v>Light</v>
      </c>
      <c r="P64" s="4" t="str">
        <f>_xlfn.XLOOKUP(CoffeeOrderstable[[#This Row],[Customer ID]],customers!$A$1:$A$1001,customers!$I$1:$I$1001,,0)</f>
        <v>Yes</v>
      </c>
    </row>
    <row r="65" spans="1:16" x14ac:dyDescent="0.3">
      <c r="A65" s="3" t="s">
        <v>843</v>
      </c>
      <c r="B65" s="5">
        <v>43868</v>
      </c>
      <c r="C65" s="3" t="s">
        <v>844</v>
      </c>
      <c r="D65" s="4" t="s">
        <v>6157</v>
      </c>
      <c r="E65" s="3">
        <v>1</v>
      </c>
      <c r="F65" s="3" t="str">
        <f>_xlfn.XLOOKUP(C65,customers!$A$1:$A$1001,customers!$B$1:$B$1001,,0)</f>
        <v>Annadiane Dykes</v>
      </c>
      <c r="G65" s="3" t="str">
        <f>IF(_xlfn.XLOOKUP(C65,customers!$A$1:$A$1001,customers!$C$1:$C$1001,,0)=0,"", _xlfn.XLOOKUP(C65,customers!$A$1:$A$1001,customers!$C$1:$C$1001,,0))</f>
        <v>adykes1r@eventbrite.com</v>
      </c>
      <c r="H65" s="3" t="str">
        <f>_xlfn.XLOOKUP(C65,customers!$A$1:$A$1001,customers!$G$1:$G$1001,,0)</f>
        <v>United States</v>
      </c>
      <c r="I65" s="4" t="str">
        <f>INDEX(products!$A$1:$G$49,MATCH(orders!$D65,products!$A$1:$A$49,0),MATCH(orders!I$1,products!$A$1:$G$1,0))</f>
        <v>Ara</v>
      </c>
      <c r="J65" s="4" t="str">
        <f>INDEX(products!$A$1:$G$49,MATCH(orders!$D65,products!$A$1:$A$49,0),MATCH(orders!J$1,products!$A$1:$G$1,0))</f>
        <v>M</v>
      </c>
      <c r="K65" s="6">
        <f>INDEX(products!$A$1:$G$49,MATCH(orders!$D65,products!$A$1:$A$49,0),MATCH(orders!K$1,products!$A$1:$G$1,0))</f>
        <v>0.5</v>
      </c>
      <c r="L65" s="7">
        <f>INDEX(products!$A$1:$G$49,MATCH(orders!$D65,products!$A$1:$A$49,0),MATCH(orders!L$1,products!$A$1:$G$1,0))</f>
        <v>6.75</v>
      </c>
      <c r="M65" s="7">
        <f t="shared" si="0"/>
        <v>6.75</v>
      </c>
      <c r="N65" s="4" t="str" cm="1">
        <f t="array" ref="N65">_xlfn.IFS(I65="Rob","Robusta",I65="Exc","Excelsa",I65="Ara","Arabica",I65="Lib","Liberica")</f>
        <v>Arabica</v>
      </c>
      <c r="O65" s="4" t="str" cm="1">
        <f t="array" ref="O65">_xlfn.IFS(J65="M","Medium",J65="L","Light",J65="D","Dark")</f>
        <v>Medium</v>
      </c>
      <c r="P65" s="4" t="str">
        <f>_xlfn.XLOOKUP(CoffeeOrderstable[[#This Row],[Customer ID]],customers!$A$1:$A$1001,customers!$I$1:$I$1001,,0)</f>
        <v>No</v>
      </c>
    </row>
    <row r="66" spans="1:16" x14ac:dyDescent="0.3">
      <c r="A66" s="3" t="s">
        <v>849</v>
      </c>
      <c r="B66" s="5">
        <v>43913</v>
      </c>
      <c r="C66" s="3" t="s">
        <v>850</v>
      </c>
      <c r="D66" s="4" t="s">
        <v>6146</v>
      </c>
      <c r="E66" s="3">
        <v>6</v>
      </c>
      <c r="F66" s="3" t="str">
        <f>_xlfn.XLOOKUP(C66,customers!$A$1:$A$1001,customers!$B$1:$B$1001,,0)</f>
        <v>Felecia Dodgson</v>
      </c>
      <c r="G66" s="3" t="str">
        <f>IF(_xlfn.XLOOKUP(C66,customers!$A$1:$A$1001,customers!$C$1:$C$1001,,0)=0,"", _xlfn.XLOOKUP(C66,customers!$A$1:$A$1001,customers!$C$1:$C$1001,,0))</f>
        <v/>
      </c>
      <c r="H66" s="3" t="str">
        <f>_xlfn.XLOOKUP(C66,customers!$A$1:$A$1001,customers!$G$1:$G$1001,,0)</f>
        <v>United States</v>
      </c>
      <c r="I66" s="4" t="str">
        <f>INDEX(products!$A$1:$G$49,MATCH(orders!$D66,products!$A$1:$A$49,0),MATCH(orders!I$1,products!$A$1:$G$1,0))</f>
        <v>Rob</v>
      </c>
      <c r="J66" s="4" t="str">
        <f>INDEX(products!$A$1:$G$49,MATCH(orders!$D66,products!$A$1:$A$49,0),MATCH(orders!J$1,products!$A$1:$G$1,0))</f>
        <v>M</v>
      </c>
      <c r="K66" s="6">
        <f>INDEX(products!$A$1:$G$49,MATCH(orders!$D66,products!$A$1:$A$49,0),MATCH(orders!K$1,products!$A$1:$G$1,0))</f>
        <v>0.5</v>
      </c>
      <c r="L66" s="7">
        <f>INDEX(products!$A$1:$G$49,MATCH(orders!$D66,products!$A$1:$A$49,0),MATCH(orders!L$1,products!$A$1:$G$1,0))</f>
        <v>5.97</v>
      </c>
      <c r="M66" s="7">
        <f t="shared" si="0"/>
        <v>35.82</v>
      </c>
      <c r="N66" s="4" t="str" cm="1">
        <f t="array" ref="N66">_xlfn.IFS(I66="Rob","Robusta",I66="Exc","Excelsa",I66="Ara","Arabica",I66="Lib","Liberica")</f>
        <v>Robusta</v>
      </c>
      <c r="O66" s="4" t="str" cm="1">
        <f t="array" ref="O66">_xlfn.IFS(J66="M","Medium",J66="L","Light",J66="D","Dark")</f>
        <v>Medium</v>
      </c>
      <c r="P66" s="4" t="str">
        <f>_xlfn.XLOOKUP(CoffeeOrderstable[[#This Row],[Customer ID]],customers!$A$1:$A$1001,customers!$I$1:$I$1001,,0)</f>
        <v>Yes</v>
      </c>
    </row>
    <row r="67" spans="1:16" x14ac:dyDescent="0.3">
      <c r="A67" s="3" t="s">
        <v>854</v>
      </c>
      <c r="B67" s="5">
        <v>44626</v>
      </c>
      <c r="C67" s="3" t="s">
        <v>855</v>
      </c>
      <c r="D67" s="4" t="s">
        <v>6149</v>
      </c>
      <c r="E67" s="3">
        <v>4</v>
      </c>
      <c r="F67" s="3" t="str">
        <f>_xlfn.XLOOKUP(C67,customers!$A$1:$A$1001,customers!$B$1:$B$1001,,0)</f>
        <v>Angelia Cockrem</v>
      </c>
      <c r="G67" s="3" t="str">
        <f>IF(_xlfn.XLOOKUP(C67,customers!$A$1:$A$1001,customers!$C$1:$C$1001,,0)=0,"", _xlfn.XLOOKUP(C67,customers!$A$1:$A$1001,customers!$C$1:$C$1001,,0))</f>
        <v>acockrem1t@engadget.com</v>
      </c>
      <c r="H67" s="3" t="str">
        <f>_xlfn.XLOOKUP(C67,customers!$A$1:$A$1001,customers!$G$1:$G$1001,,0)</f>
        <v>United States</v>
      </c>
      <c r="I67" s="4" t="str">
        <f>INDEX(products!$A$1:$G$49,MATCH(orders!$D67,products!$A$1:$A$49,0),MATCH(orders!I$1,products!$A$1:$G$1,0))</f>
        <v>Rob</v>
      </c>
      <c r="J67" s="4" t="str">
        <f>INDEX(products!$A$1:$G$49,MATCH(orders!$D67,products!$A$1:$A$49,0),MATCH(orders!J$1,products!$A$1:$G$1,0))</f>
        <v>D</v>
      </c>
      <c r="K67" s="6">
        <f>INDEX(products!$A$1:$G$49,MATCH(orders!$D67,products!$A$1:$A$49,0),MATCH(orders!K$1,products!$A$1:$G$1,0))</f>
        <v>2.5</v>
      </c>
      <c r="L67" s="7">
        <f>INDEX(products!$A$1:$G$49,MATCH(orders!$D67,products!$A$1:$A$49,0),MATCH(orders!L$1,products!$A$1:$G$1,0))</f>
        <v>20.584999999999997</v>
      </c>
      <c r="M67" s="7">
        <f t="shared" ref="M67:M130" si="1">L67*E67</f>
        <v>82.339999999999989</v>
      </c>
      <c r="N67" s="4" t="str" cm="1">
        <f t="array" ref="N67">_xlfn.IFS(I67="Rob","Robusta",I67="Exc","Excelsa",I67="Ara","Arabica",I67="Lib","Liberica")</f>
        <v>Robusta</v>
      </c>
      <c r="O67" s="4" t="str" cm="1">
        <f t="array" ref="O67">_xlfn.IFS(J67="M","Medium",J67="L","Light",J67="D","Dark")</f>
        <v>Dark</v>
      </c>
      <c r="P67" s="4" t="str">
        <f>_xlfn.XLOOKUP(CoffeeOrderstable[[#This Row],[Customer ID]],customers!$A$1:$A$1001,customers!$I$1:$I$1001,,0)</f>
        <v>Yes</v>
      </c>
    </row>
    <row r="68" spans="1:16" x14ac:dyDescent="0.3">
      <c r="A68" s="3" t="s">
        <v>860</v>
      </c>
      <c r="B68" s="5">
        <v>44666</v>
      </c>
      <c r="C68" s="3" t="s">
        <v>861</v>
      </c>
      <c r="D68" s="4" t="s">
        <v>6173</v>
      </c>
      <c r="E68" s="3">
        <v>1</v>
      </c>
      <c r="F68" s="3" t="str">
        <f>_xlfn.XLOOKUP(C68,customers!$A$1:$A$1001,customers!$B$1:$B$1001,,0)</f>
        <v>Belvia Umpleby</v>
      </c>
      <c r="G68" s="3" t="str">
        <f>IF(_xlfn.XLOOKUP(C68,customers!$A$1:$A$1001,customers!$C$1:$C$1001,,0)=0,"", _xlfn.XLOOKUP(C68,customers!$A$1:$A$1001,customers!$C$1:$C$1001,,0))</f>
        <v>bumpleby1u@soundcloud.com</v>
      </c>
      <c r="H68" s="3" t="str">
        <f>_xlfn.XLOOKUP(C68,customers!$A$1:$A$1001,customers!$G$1:$G$1001,,0)</f>
        <v>United States</v>
      </c>
      <c r="I68" s="4" t="str">
        <f>INDEX(products!$A$1:$G$49,MATCH(orders!$D68,products!$A$1:$A$49,0),MATCH(orders!I$1,products!$A$1:$G$1,0))</f>
        <v>Rob</v>
      </c>
      <c r="J68" s="4" t="str">
        <f>INDEX(products!$A$1:$G$49,MATCH(orders!$D68,products!$A$1:$A$49,0),MATCH(orders!J$1,products!$A$1:$G$1,0))</f>
        <v>L</v>
      </c>
      <c r="K68" s="6">
        <f>INDEX(products!$A$1:$G$49,MATCH(orders!$D68,products!$A$1:$A$49,0),MATCH(orders!K$1,products!$A$1:$G$1,0))</f>
        <v>0.5</v>
      </c>
      <c r="L68" s="7">
        <f>INDEX(products!$A$1:$G$49,MATCH(orders!$D68,products!$A$1:$A$49,0),MATCH(orders!L$1,products!$A$1:$G$1,0))</f>
        <v>7.169999999999999</v>
      </c>
      <c r="M68" s="7">
        <f t="shared" si="1"/>
        <v>7.169999999999999</v>
      </c>
      <c r="N68" s="4" t="str" cm="1">
        <f t="array" ref="N68">_xlfn.IFS(I68="Rob","Robusta",I68="Exc","Excelsa",I68="Ara","Arabica",I68="Lib","Liberica")</f>
        <v>Robusta</v>
      </c>
      <c r="O68" s="4" t="str" cm="1">
        <f t="array" ref="O68">_xlfn.IFS(J68="M","Medium",J68="L","Light",J68="D","Dark")</f>
        <v>Light</v>
      </c>
      <c r="P68" s="4" t="str">
        <f>_xlfn.XLOOKUP(CoffeeOrderstable[[#This Row],[Customer ID]],customers!$A$1:$A$1001,customers!$I$1:$I$1001,,0)</f>
        <v>Yes</v>
      </c>
    </row>
    <row r="69" spans="1:16" x14ac:dyDescent="0.3">
      <c r="A69" s="3" t="s">
        <v>866</v>
      </c>
      <c r="B69" s="5">
        <v>44519</v>
      </c>
      <c r="C69" s="3" t="s">
        <v>867</v>
      </c>
      <c r="D69" s="4" t="s">
        <v>6145</v>
      </c>
      <c r="E69" s="3">
        <v>2</v>
      </c>
      <c r="F69" s="3" t="str">
        <f>_xlfn.XLOOKUP(C69,customers!$A$1:$A$1001,customers!$B$1:$B$1001,,0)</f>
        <v>Nat Saleway</v>
      </c>
      <c r="G69" s="3" t="str">
        <f>IF(_xlfn.XLOOKUP(C69,customers!$A$1:$A$1001,customers!$C$1:$C$1001,,0)=0,"", _xlfn.XLOOKUP(C69,customers!$A$1:$A$1001,customers!$C$1:$C$1001,,0))</f>
        <v>nsaleway1v@dedecms.com</v>
      </c>
      <c r="H69" s="3" t="str">
        <f>_xlfn.XLOOKUP(C69,customers!$A$1:$A$1001,customers!$G$1:$G$1001,,0)</f>
        <v>United States</v>
      </c>
      <c r="I69" s="4" t="str">
        <f>INDEX(products!$A$1:$G$49,MATCH(orders!$D69,products!$A$1:$A$49,0),MATCH(orders!I$1,products!$A$1:$G$1,0))</f>
        <v>Lib</v>
      </c>
      <c r="J69" s="4" t="str">
        <f>INDEX(products!$A$1:$G$49,MATCH(orders!$D69,products!$A$1:$A$49,0),MATCH(orders!J$1,products!$A$1:$G$1,0))</f>
        <v>L</v>
      </c>
      <c r="K69" s="6">
        <f>INDEX(products!$A$1:$G$49,MATCH(orders!$D69,products!$A$1:$A$49,0),MATCH(orders!K$1,products!$A$1:$G$1,0))</f>
        <v>0.2</v>
      </c>
      <c r="L69" s="7">
        <f>INDEX(products!$A$1:$G$49,MATCH(orders!$D69,products!$A$1:$A$49,0),MATCH(orders!L$1,products!$A$1:$G$1,0))</f>
        <v>4.7549999999999999</v>
      </c>
      <c r="M69" s="7">
        <f t="shared" si="1"/>
        <v>9.51</v>
      </c>
      <c r="N69" s="4" t="str" cm="1">
        <f t="array" ref="N69">_xlfn.IFS(I69="Rob","Robusta",I69="Exc","Excelsa",I69="Ara","Arabica",I69="Lib","Liberica")</f>
        <v>Liberica</v>
      </c>
      <c r="O69" s="4" t="str" cm="1">
        <f t="array" ref="O69">_xlfn.IFS(J69="M","Medium",J69="L","Light",J69="D","Dark")</f>
        <v>Light</v>
      </c>
      <c r="P69" s="4" t="str">
        <f>_xlfn.XLOOKUP(CoffeeOrderstable[[#This Row],[Customer ID]],customers!$A$1:$A$1001,customers!$I$1:$I$1001,,0)</f>
        <v>No</v>
      </c>
    </row>
    <row r="70" spans="1:16" x14ac:dyDescent="0.3">
      <c r="A70" s="3" t="s">
        <v>872</v>
      </c>
      <c r="B70" s="5">
        <v>43754</v>
      </c>
      <c r="C70" s="3" t="s">
        <v>873</v>
      </c>
      <c r="D70" s="4" t="s">
        <v>6174</v>
      </c>
      <c r="E70" s="3">
        <v>1</v>
      </c>
      <c r="F70" s="3" t="str">
        <f>_xlfn.XLOOKUP(C70,customers!$A$1:$A$1001,customers!$B$1:$B$1001,,0)</f>
        <v>Hayward Goulter</v>
      </c>
      <c r="G70" s="3" t="str">
        <f>IF(_xlfn.XLOOKUP(C70,customers!$A$1:$A$1001,customers!$C$1:$C$1001,,0)=0,"", _xlfn.XLOOKUP(C70,customers!$A$1:$A$1001,customers!$C$1:$C$1001,,0))</f>
        <v>hgoulter1w@abc.net.au</v>
      </c>
      <c r="H70" s="3" t="str">
        <f>_xlfn.XLOOKUP(C70,customers!$A$1:$A$1001,customers!$G$1:$G$1001,,0)</f>
        <v>United States</v>
      </c>
      <c r="I70" s="4" t="str">
        <f>INDEX(products!$A$1:$G$49,MATCH(orders!$D70,products!$A$1:$A$49,0),MATCH(orders!I$1,products!$A$1:$G$1,0))</f>
        <v>Rob</v>
      </c>
      <c r="J70" s="4" t="str">
        <f>INDEX(products!$A$1:$G$49,MATCH(orders!$D70,products!$A$1:$A$49,0),MATCH(orders!J$1,products!$A$1:$G$1,0))</f>
        <v>M</v>
      </c>
      <c r="K70" s="6">
        <f>INDEX(products!$A$1:$G$49,MATCH(orders!$D70,products!$A$1:$A$49,0),MATCH(orders!K$1,products!$A$1:$G$1,0))</f>
        <v>0.2</v>
      </c>
      <c r="L70" s="7">
        <f>INDEX(products!$A$1:$G$49,MATCH(orders!$D70,products!$A$1:$A$49,0),MATCH(orders!L$1,products!$A$1:$G$1,0))</f>
        <v>2.9849999999999999</v>
      </c>
      <c r="M70" s="7">
        <f t="shared" si="1"/>
        <v>2.9849999999999999</v>
      </c>
      <c r="N70" s="4" t="str" cm="1">
        <f t="array" ref="N70">_xlfn.IFS(I70="Rob","Robusta",I70="Exc","Excelsa",I70="Ara","Arabica",I70="Lib","Liberica")</f>
        <v>Robusta</v>
      </c>
      <c r="O70" s="4" t="str" cm="1">
        <f t="array" ref="O70">_xlfn.IFS(J70="M","Medium",J70="L","Light",J70="D","Dark")</f>
        <v>Medium</v>
      </c>
      <c r="P70" s="4" t="str">
        <f>_xlfn.XLOOKUP(CoffeeOrderstable[[#This Row],[Customer ID]],customers!$A$1:$A$1001,customers!$I$1:$I$1001,,0)</f>
        <v>No</v>
      </c>
    </row>
    <row r="71" spans="1:16" x14ac:dyDescent="0.3">
      <c r="A71" s="3" t="s">
        <v>878</v>
      </c>
      <c r="B71" s="5">
        <v>43795</v>
      </c>
      <c r="C71" s="3" t="s">
        <v>879</v>
      </c>
      <c r="D71" s="4" t="s">
        <v>6138</v>
      </c>
      <c r="E71" s="3">
        <v>6</v>
      </c>
      <c r="F71" s="3" t="str">
        <f>_xlfn.XLOOKUP(C71,customers!$A$1:$A$1001,customers!$B$1:$B$1001,,0)</f>
        <v>Gay Rizzello</v>
      </c>
      <c r="G71" s="3" t="str">
        <f>IF(_xlfn.XLOOKUP(C71,customers!$A$1:$A$1001,customers!$C$1:$C$1001,,0)=0,"", _xlfn.XLOOKUP(C71,customers!$A$1:$A$1001,customers!$C$1:$C$1001,,0))</f>
        <v>grizzello1x@symantec.com</v>
      </c>
      <c r="H71" s="3" t="str">
        <f>_xlfn.XLOOKUP(C71,customers!$A$1:$A$1001,customers!$G$1:$G$1001,,0)</f>
        <v>United Kingdom</v>
      </c>
      <c r="I71" s="4" t="str">
        <f>INDEX(products!$A$1:$G$49,MATCH(orders!$D71,products!$A$1:$A$49,0),MATCH(orders!I$1,products!$A$1:$G$1,0))</f>
        <v>Rob</v>
      </c>
      <c r="J71" s="4" t="str">
        <f>INDEX(products!$A$1:$G$49,MATCH(orders!$D71,products!$A$1:$A$49,0),MATCH(orders!J$1,products!$A$1:$G$1,0))</f>
        <v>M</v>
      </c>
      <c r="K71" s="6">
        <f>INDEX(products!$A$1:$G$49,MATCH(orders!$D71,products!$A$1:$A$49,0),MATCH(orders!K$1,products!$A$1:$G$1,0))</f>
        <v>1</v>
      </c>
      <c r="L71" s="7">
        <f>INDEX(products!$A$1:$G$49,MATCH(orders!$D71,products!$A$1:$A$49,0),MATCH(orders!L$1,products!$A$1:$G$1,0))</f>
        <v>9.9499999999999993</v>
      </c>
      <c r="M71" s="7">
        <f t="shared" si="1"/>
        <v>59.699999999999996</v>
      </c>
      <c r="N71" s="4" t="str" cm="1">
        <f t="array" ref="N71">_xlfn.IFS(I71="Rob","Robusta",I71="Exc","Excelsa",I71="Ara","Arabica",I71="Lib","Liberica")</f>
        <v>Robusta</v>
      </c>
      <c r="O71" s="4" t="str" cm="1">
        <f t="array" ref="O71">_xlfn.IFS(J71="M","Medium",J71="L","Light",J71="D","Dark")</f>
        <v>Medium</v>
      </c>
      <c r="P71" s="4" t="str">
        <f>_xlfn.XLOOKUP(CoffeeOrderstable[[#This Row],[Customer ID]],customers!$A$1:$A$1001,customers!$I$1:$I$1001,,0)</f>
        <v>Yes</v>
      </c>
    </row>
    <row r="72" spans="1:16" x14ac:dyDescent="0.3">
      <c r="A72" s="3" t="s">
        <v>885</v>
      </c>
      <c r="B72" s="5">
        <v>43646</v>
      </c>
      <c r="C72" s="3" t="s">
        <v>886</v>
      </c>
      <c r="D72" s="4" t="s">
        <v>6148</v>
      </c>
      <c r="E72" s="3">
        <v>4</v>
      </c>
      <c r="F72" s="3" t="str">
        <f>_xlfn.XLOOKUP(C72,customers!$A$1:$A$1001,customers!$B$1:$B$1001,,0)</f>
        <v>Shannon List</v>
      </c>
      <c r="G72" s="3" t="str">
        <f>IF(_xlfn.XLOOKUP(C72,customers!$A$1:$A$1001,customers!$C$1:$C$1001,,0)=0,"", _xlfn.XLOOKUP(C72,customers!$A$1:$A$1001,customers!$C$1:$C$1001,,0))</f>
        <v>slist1y@mapquest.com</v>
      </c>
      <c r="H72" s="3" t="str">
        <f>_xlfn.XLOOKUP(C72,customers!$A$1:$A$1001,customers!$G$1:$G$1001,,0)</f>
        <v>United States</v>
      </c>
      <c r="I72" s="4" t="str">
        <f>INDEX(products!$A$1:$G$49,MATCH(orders!$D72,products!$A$1:$A$49,0),MATCH(orders!I$1,products!$A$1:$G$1,0))</f>
        <v>Exc</v>
      </c>
      <c r="J72" s="4" t="str">
        <f>INDEX(products!$A$1:$G$49,MATCH(orders!$D72,products!$A$1:$A$49,0),MATCH(orders!J$1,products!$A$1:$G$1,0))</f>
        <v>L</v>
      </c>
      <c r="K72" s="6">
        <f>INDEX(products!$A$1:$G$49,MATCH(orders!$D72,products!$A$1:$A$49,0),MATCH(orders!K$1,products!$A$1:$G$1,0))</f>
        <v>2.5</v>
      </c>
      <c r="L72" s="7">
        <f>INDEX(products!$A$1:$G$49,MATCH(orders!$D72,products!$A$1:$A$49,0),MATCH(orders!L$1,products!$A$1:$G$1,0))</f>
        <v>34.154999999999994</v>
      </c>
      <c r="M72" s="7">
        <f t="shared" si="1"/>
        <v>136.61999999999998</v>
      </c>
      <c r="N72" s="4" t="str" cm="1">
        <f t="array" ref="N72">_xlfn.IFS(I72="Rob","Robusta",I72="Exc","Excelsa",I72="Ara","Arabica",I72="Lib","Liberica")</f>
        <v>Excelsa</v>
      </c>
      <c r="O72" s="4" t="str" cm="1">
        <f t="array" ref="O72">_xlfn.IFS(J72="M","Medium",J72="L","Light",J72="D","Dark")</f>
        <v>Light</v>
      </c>
      <c r="P72" s="4" t="str">
        <f>_xlfn.XLOOKUP(CoffeeOrderstable[[#This Row],[Customer ID]],customers!$A$1:$A$1001,customers!$I$1:$I$1001,,0)</f>
        <v>No</v>
      </c>
    </row>
    <row r="73" spans="1:16" x14ac:dyDescent="0.3">
      <c r="A73" s="3" t="s">
        <v>891</v>
      </c>
      <c r="B73" s="5">
        <v>44200</v>
      </c>
      <c r="C73" s="3" t="s">
        <v>892</v>
      </c>
      <c r="D73" s="4" t="s">
        <v>6145</v>
      </c>
      <c r="E73" s="3">
        <v>2</v>
      </c>
      <c r="F73" s="3" t="str">
        <f>_xlfn.XLOOKUP(C73,customers!$A$1:$A$1001,customers!$B$1:$B$1001,,0)</f>
        <v>Shirlene Edmondson</v>
      </c>
      <c r="G73" s="3" t="str">
        <f>IF(_xlfn.XLOOKUP(C73,customers!$A$1:$A$1001,customers!$C$1:$C$1001,,0)=0,"", _xlfn.XLOOKUP(C73,customers!$A$1:$A$1001,customers!$C$1:$C$1001,,0))</f>
        <v>sedmondson1z@theguardian.com</v>
      </c>
      <c r="H73" s="3" t="str">
        <f>_xlfn.XLOOKUP(C73,customers!$A$1:$A$1001,customers!$G$1:$G$1001,,0)</f>
        <v>Ireland</v>
      </c>
      <c r="I73" s="4" t="str">
        <f>INDEX(products!$A$1:$G$49,MATCH(orders!$D73,products!$A$1:$A$49,0),MATCH(orders!I$1,products!$A$1:$G$1,0))</f>
        <v>Lib</v>
      </c>
      <c r="J73" s="4" t="str">
        <f>INDEX(products!$A$1:$G$49,MATCH(orders!$D73,products!$A$1:$A$49,0),MATCH(orders!J$1,products!$A$1:$G$1,0))</f>
        <v>L</v>
      </c>
      <c r="K73" s="6">
        <f>INDEX(products!$A$1:$G$49,MATCH(orders!$D73,products!$A$1:$A$49,0),MATCH(orders!K$1,products!$A$1:$G$1,0))</f>
        <v>0.2</v>
      </c>
      <c r="L73" s="7">
        <f>INDEX(products!$A$1:$G$49,MATCH(orders!$D73,products!$A$1:$A$49,0),MATCH(orders!L$1,products!$A$1:$G$1,0))</f>
        <v>4.7549999999999999</v>
      </c>
      <c r="M73" s="7">
        <f t="shared" si="1"/>
        <v>9.51</v>
      </c>
      <c r="N73" s="4" t="str" cm="1">
        <f t="array" ref="N73">_xlfn.IFS(I73="Rob","Robusta",I73="Exc","Excelsa",I73="Ara","Arabica",I73="Lib","Liberica")</f>
        <v>Liberica</v>
      </c>
      <c r="O73" s="4" t="str" cm="1">
        <f t="array" ref="O73">_xlfn.IFS(J73="M","Medium",J73="L","Light",J73="D","Dark")</f>
        <v>Light</v>
      </c>
      <c r="P73" s="4" t="str">
        <f>_xlfn.XLOOKUP(CoffeeOrderstable[[#This Row],[Customer ID]],customers!$A$1:$A$1001,customers!$I$1:$I$1001,,0)</f>
        <v>No</v>
      </c>
    </row>
    <row r="74" spans="1:16" x14ac:dyDescent="0.3">
      <c r="A74" s="3" t="s">
        <v>897</v>
      </c>
      <c r="B74" s="5">
        <v>44131</v>
      </c>
      <c r="C74" s="3" t="s">
        <v>898</v>
      </c>
      <c r="D74" s="4" t="s">
        <v>6175</v>
      </c>
      <c r="E74" s="3">
        <v>3</v>
      </c>
      <c r="F74" s="3" t="str">
        <f>_xlfn.XLOOKUP(C74,customers!$A$1:$A$1001,customers!$B$1:$B$1001,,0)</f>
        <v>Aurlie McCarl</v>
      </c>
      <c r="G74" s="3" t="str">
        <f>IF(_xlfn.XLOOKUP(C74,customers!$A$1:$A$1001,customers!$C$1:$C$1001,,0)=0,"", _xlfn.XLOOKUP(C74,customers!$A$1:$A$1001,customers!$C$1:$C$1001,,0))</f>
        <v/>
      </c>
      <c r="H74" s="3" t="str">
        <f>_xlfn.XLOOKUP(C74,customers!$A$1:$A$1001,customers!$G$1:$G$1001,,0)</f>
        <v>United States</v>
      </c>
      <c r="I74" s="4" t="str">
        <f>INDEX(products!$A$1:$G$49,MATCH(orders!$D74,products!$A$1:$A$49,0),MATCH(orders!I$1,products!$A$1:$G$1,0))</f>
        <v>Ara</v>
      </c>
      <c r="J74" s="4" t="str">
        <f>INDEX(products!$A$1:$G$49,MATCH(orders!$D74,products!$A$1:$A$49,0),MATCH(orders!J$1,products!$A$1:$G$1,0))</f>
        <v>M</v>
      </c>
      <c r="K74" s="6">
        <f>INDEX(products!$A$1:$G$49,MATCH(orders!$D74,products!$A$1:$A$49,0),MATCH(orders!K$1,products!$A$1:$G$1,0))</f>
        <v>2.5</v>
      </c>
      <c r="L74" s="7">
        <f>INDEX(products!$A$1:$G$49,MATCH(orders!$D74,products!$A$1:$A$49,0),MATCH(orders!L$1,products!$A$1:$G$1,0))</f>
        <v>25.874999999999996</v>
      </c>
      <c r="M74" s="7">
        <f t="shared" si="1"/>
        <v>77.624999999999986</v>
      </c>
      <c r="N74" s="4" t="str" cm="1">
        <f t="array" ref="N74">_xlfn.IFS(I74="Rob","Robusta",I74="Exc","Excelsa",I74="Ara","Arabica",I74="Lib","Liberica")</f>
        <v>Arabica</v>
      </c>
      <c r="O74" s="4" t="str" cm="1">
        <f t="array" ref="O74">_xlfn.IFS(J74="M","Medium",J74="L","Light",J74="D","Dark")</f>
        <v>Medium</v>
      </c>
      <c r="P74" s="4" t="str">
        <f>_xlfn.XLOOKUP(CoffeeOrderstable[[#This Row],[Customer ID]],customers!$A$1:$A$1001,customers!$I$1:$I$1001,,0)</f>
        <v>No</v>
      </c>
    </row>
    <row r="75" spans="1:16" x14ac:dyDescent="0.3">
      <c r="A75" s="3" t="s">
        <v>902</v>
      </c>
      <c r="B75" s="5">
        <v>44362</v>
      </c>
      <c r="C75" s="3" t="s">
        <v>903</v>
      </c>
      <c r="D75" s="4" t="s">
        <v>6159</v>
      </c>
      <c r="E75" s="3">
        <v>5</v>
      </c>
      <c r="F75" s="3" t="str">
        <f>_xlfn.XLOOKUP(C75,customers!$A$1:$A$1001,customers!$B$1:$B$1001,,0)</f>
        <v>Alikee Carryer</v>
      </c>
      <c r="G75" s="3" t="str">
        <f>IF(_xlfn.XLOOKUP(C75,customers!$A$1:$A$1001,customers!$C$1:$C$1001,,0)=0,"", _xlfn.XLOOKUP(C75,customers!$A$1:$A$1001,customers!$C$1:$C$1001,,0))</f>
        <v/>
      </c>
      <c r="H75" s="3" t="str">
        <f>_xlfn.XLOOKUP(C75,customers!$A$1:$A$1001,customers!$G$1:$G$1001,,0)</f>
        <v>United States</v>
      </c>
      <c r="I75" s="4" t="str">
        <f>INDEX(products!$A$1:$G$49,MATCH(orders!$D75,products!$A$1:$A$49,0),MATCH(orders!I$1,products!$A$1:$G$1,0))</f>
        <v>Lib</v>
      </c>
      <c r="J75" s="4" t="str">
        <f>INDEX(products!$A$1:$G$49,MATCH(orders!$D75,products!$A$1:$A$49,0),MATCH(orders!J$1,products!$A$1:$G$1,0))</f>
        <v>M</v>
      </c>
      <c r="K75" s="6">
        <f>INDEX(products!$A$1:$G$49,MATCH(orders!$D75,products!$A$1:$A$49,0),MATCH(orders!K$1,products!$A$1:$G$1,0))</f>
        <v>0.2</v>
      </c>
      <c r="L75" s="7">
        <f>INDEX(products!$A$1:$G$49,MATCH(orders!$D75,products!$A$1:$A$49,0),MATCH(orders!L$1,products!$A$1:$G$1,0))</f>
        <v>4.3650000000000002</v>
      </c>
      <c r="M75" s="7">
        <f t="shared" si="1"/>
        <v>21.825000000000003</v>
      </c>
      <c r="N75" s="4" t="str" cm="1">
        <f t="array" ref="N75">_xlfn.IFS(I75="Rob","Robusta",I75="Exc","Excelsa",I75="Ara","Arabica",I75="Lib","Liberica")</f>
        <v>Liberica</v>
      </c>
      <c r="O75" s="4" t="str" cm="1">
        <f t="array" ref="O75">_xlfn.IFS(J75="M","Medium",J75="L","Light",J75="D","Dark")</f>
        <v>Medium</v>
      </c>
      <c r="P75" s="4" t="str">
        <f>_xlfn.XLOOKUP(CoffeeOrderstable[[#This Row],[Customer ID]],customers!$A$1:$A$1001,customers!$I$1:$I$1001,,0)</f>
        <v>Yes</v>
      </c>
    </row>
    <row r="76" spans="1:16" x14ac:dyDescent="0.3">
      <c r="A76" s="3" t="s">
        <v>907</v>
      </c>
      <c r="B76" s="5">
        <v>44396</v>
      </c>
      <c r="C76" s="3" t="s">
        <v>908</v>
      </c>
      <c r="D76" s="4" t="s">
        <v>6176</v>
      </c>
      <c r="E76" s="3">
        <v>2</v>
      </c>
      <c r="F76" s="3" t="str">
        <f>_xlfn.XLOOKUP(C76,customers!$A$1:$A$1001,customers!$B$1:$B$1001,,0)</f>
        <v>Jennifer Rangall</v>
      </c>
      <c r="G76" s="3" t="str">
        <f>IF(_xlfn.XLOOKUP(C76,customers!$A$1:$A$1001,customers!$C$1:$C$1001,,0)=0,"", _xlfn.XLOOKUP(C76,customers!$A$1:$A$1001,customers!$C$1:$C$1001,,0))</f>
        <v>jrangall22@newsvine.com</v>
      </c>
      <c r="H76" s="3" t="str">
        <f>_xlfn.XLOOKUP(C76,customers!$A$1:$A$1001,customers!$G$1:$G$1001,,0)</f>
        <v>United States</v>
      </c>
      <c r="I76" s="4" t="str">
        <f>INDEX(products!$A$1:$G$49,MATCH(orders!$D76,products!$A$1:$A$49,0),MATCH(orders!I$1,products!$A$1:$G$1,0))</f>
        <v>Exc</v>
      </c>
      <c r="J76" s="4" t="str">
        <f>INDEX(products!$A$1:$G$49,MATCH(orders!$D76,products!$A$1:$A$49,0),MATCH(orders!J$1,products!$A$1:$G$1,0))</f>
        <v>L</v>
      </c>
      <c r="K76" s="6">
        <f>INDEX(products!$A$1:$G$49,MATCH(orders!$D76,products!$A$1:$A$49,0),MATCH(orders!K$1,products!$A$1:$G$1,0))</f>
        <v>0.5</v>
      </c>
      <c r="L76" s="7">
        <f>INDEX(products!$A$1:$G$49,MATCH(orders!$D76,products!$A$1:$A$49,0),MATCH(orders!L$1,products!$A$1:$G$1,0))</f>
        <v>8.91</v>
      </c>
      <c r="M76" s="7">
        <f t="shared" si="1"/>
        <v>17.82</v>
      </c>
      <c r="N76" s="4" t="str" cm="1">
        <f t="array" ref="N76">_xlfn.IFS(I76="Rob","Robusta",I76="Exc","Excelsa",I76="Ara","Arabica",I76="Lib","Liberica")</f>
        <v>Excelsa</v>
      </c>
      <c r="O76" s="4" t="str" cm="1">
        <f t="array" ref="O76">_xlfn.IFS(J76="M","Medium",J76="L","Light",J76="D","Dark")</f>
        <v>Light</v>
      </c>
      <c r="P76" s="4" t="str">
        <f>_xlfn.XLOOKUP(CoffeeOrderstable[[#This Row],[Customer ID]],customers!$A$1:$A$1001,customers!$I$1:$I$1001,,0)</f>
        <v>Yes</v>
      </c>
    </row>
    <row r="77" spans="1:16" x14ac:dyDescent="0.3">
      <c r="A77" s="3" t="s">
        <v>913</v>
      </c>
      <c r="B77" s="5">
        <v>44400</v>
      </c>
      <c r="C77" s="3" t="s">
        <v>914</v>
      </c>
      <c r="D77" s="4" t="s">
        <v>6177</v>
      </c>
      <c r="E77" s="3">
        <v>6</v>
      </c>
      <c r="F77" s="3" t="str">
        <f>_xlfn.XLOOKUP(C77,customers!$A$1:$A$1001,customers!$B$1:$B$1001,,0)</f>
        <v>Kipper Boorn</v>
      </c>
      <c r="G77" s="3" t="str">
        <f>IF(_xlfn.XLOOKUP(C77,customers!$A$1:$A$1001,customers!$C$1:$C$1001,,0)=0,"", _xlfn.XLOOKUP(C77,customers!$A$1:$A$1001,customers!$C$1:$C$1001,,0))</f>
        <v>kboorn23@ezinearticles.com</v>
      </c>
      <c r="H77" s="3" t="str">
        <f>_xlfn.XLOOKUP(C77,customers!$A$1:$A$1001,customers!$G$1:$G$1001,,0)</f>
        <v>Ireland</v>
      </c>
      <c r="I77" s="4" t="str">
        <f>INDEX(products!$A$1:$G$49,MATCH(orders!$D77,products!$A$1:$A$49,0),MATCH(orders!I$1,products!$A$1:$G$1,0))</f>
        <v>Rob</v>
      </c>
      <c r="J77" s="4" t="str">
        <f>INDEX(products!$A$1:$G$49,MATCH(orders!$D77,products!$A$1:$A$49,0),MATCH(orders!J$1,products!$A$1:$G$1,0))</f>
        <v>D</v>
      </c>
      <c r="K77" s="6">
        <f>INDEX(products!$A$1:$G$49,MATCH(orders!$D77,products!$A$1:$A$49,0),MATCH(orders!K$1,products!$A$1:$G$1,0))</f>
        <v>1</v>
      </c>
      <c r="L77" s="7">
        <f>INDEX(products!$A$1:$G$49,MATCH(orders!$D77,products!$A$1:$A$49,0),MATCH(orders!L$1,products!$A$1:$G$1,0))</f>
        <v>8.9499999999999993</v>
      </c>
      <c r="M77" s="7">
        <f t="shared" si="1"/>
        <v>53.699999999999996</v>
      </c>
      <c r="N77" s="4" t="str" cm="1">
        <f t="array" ref="N77">_xlfn.IFS(I77="Rob","Robusta",I77="Exc","Excelsa",I77="Ara","Arabica",I77="Lib","Liberica")</f>
        <v>Robusta</v>
      </c>
      <c r="O77" s="4" t="str" cm="1">
        <f t="array" ref="O77">_xlfn.IFS(J77="M","Medium",J77="L","Light",J77="D","Dark")</f>
        <v>Dark</v>
      </c>
      <c r="P77" s="4" t="str">
        <f>_xlfn.XLOOKUP(CoffeeOrderstable[[#This Row],[Customer ID]],customers!$A$1:$A$1001,customers!$I$1:$I$1001,,0)</f>
        <v>Yes</v>
      </c>
    </row>
    <row r="78" spans="1:16" x14ac:dyDescent="0.3">
      <c r="A78" s="3" t="s">
        <v>919</v>
      </c>
      <c r="B78" s="5">
        <v>43855</v>
      </c>
      <c r="C78" s="3" t="s">
        <v>920</v>
      </c>
      <c r="D78" s="4" t="s">
        <v>6178</v>
      </c>
      <c r="E78" s="3">
        <v>1</v>
      </c>
      <c r="F78" s="3" t="str">
        <f>_xlfn.XLOOKUP(C78,customers!$A$1:$A$1001,customers!$B$1:$B$1001,,0)</f>
        <v>Melania Beadle</v>
      </c>
      <c r="G78" s="3" t="str">
        <f>IF(_xlfn.XLOOKUP(C78,customers!$A$1:$A$1001,customers!$C$1:$C$1001,,0)=0,"", _xlfn.XLOOKUP(C78,customers!$A$1:$A$1001,customers!$C$1:$C$1001,,0))</f>
        <v/>
      </c>
      <c r="H78" s="3" t="str">
        <f>_xlfn.XLOOKUP(C78,customers!$A$1:$A$1001,customers!$G$1:$G$1001,,0)</f>
        <v>Ireland</v>
      </c>
      <c r="I78" s="4" t="str">
        <f>INDEX(products!$A$1:$G$49,MATCH(orders!$D78,products!$A$1:$A$49,0),MATCH(orders!I$1,products!$A$1:$G$1,0))</f>
        <v>Rob</v>
      </c>
      <c r="J78" s="4" t="str">
        <f>INDEX(products!$A$1:$G$49,MATCH(orders!$D78,products!$A$1:$A$49,0),MATCH(orders!J$1,products!$A$1:$G$1,0))</f>
        <v>L</v>
      </c>
      <c r="K78" s="6">
        <f>INDEX(products!$A$1:$G$49,MATCH(orders!$D78,products!$A$1:$A$49,0),MATCH(orders!K$1,products!$A$1:$G$1,0))</f>
        <v>0.2</v>
      </c>
      <c r="L78" s="7">
        <f>INDEX(products!$A$1:$G$49,MATCH(orders!$D78,products!$A$1:$A$49,0),MATCH(orders!L$1,products!$A$1:$G$1,0))</f>
        <v>3.5849999999999995</v>
      </c>
      <c r="M78" s="7">
        <f t="shared" si="1"/>
        <v>3.5849999999999995</v>
      </c>
      <c r="N78" s="4" t="str" cm="1">
        <f t="array" ref="N78">_xlfn.IFS(I78="Rob","Robusta",I78="Exc","Excelsa",I78="Ara","Arabica",I78="Lib","Liberica")</f>
        <v>Robusta</v>
      </c>
      <c r="O78" s="4" t="str" cm="1">
        <f t="array" ref="O78">_xlfn.IFS(J78="M","Medium",J78="L","Light",J78="D","Dark")</f>
        <v>Light</v>
      </c>
      <c r="P78" s="4" t="str">
        <f>_xlfn.XLOOKUP(CoffeeOrderstable[[#This Row],[Customer ID]],customers!$A$1:$A$1001,customers!$I$1:$I$1001,,0)</f>
        <v>Yes</v>
      </c>
    </row>
    <row r="79" spans="1:16" x14ac:dyDescent="0.3">
      <c r="A79" s="3" t="s">
        <v>924</v>
      </c>
      <c r="B79" s="5">
        <v>43594</v>
      </c>
      <c r="C79" s="3" t="s">
        <v>925</v>
      </c>
      <c r="D79" s="4" t="s">
        <v>6153</v>
      </c>
      <c r="E79" s="3">
        <v>2</v>
      </c>
      <c r="F79" s="3" t="str">
        <f>_xlfn.XLOOKUP(C79,customers!$A$1:$A$1001,customers!$B$1:$B$1001,,0)</f>
        <v>Colene Elgey</v>
      </c>
      <c r="G79" s="3" t="str">
        <f>IF(_xlfn.XLOOKUP(C79,customers!$A$1:$A$1001,customers!$C$1:$C$1001,,0)=0,"", _xlfn.XLOOKUP(C79,customers!$A$1:$A$1001,customers!$C$1:$C$1001,,0))</f>
        <v>celgey25@webs.com</v>
      </c>
      <c r="H79" s="3" t="str">
        <f>_xlfn.XLOOKUP(C79,customers!$A$1:$A$1001,customers!$G$1:$G$1001,,0)</f>
        <v>United States</v>
      </c>
      <c r="I79" s="4" t="str">
        <f>INDEX(products!$A$1:$G$49,MATCH(orders!$D79,products!$A$1:$A$49,0),MATCH(orders!I$1,products!$A$1:$G$1,0))</f>
        <v>Exc</v>
      </c>
      <c r="J79" s="4" t="str">
        <f>INDEX(products!$A$1:$G$49,MATCH(orders!$D79,products!$A$1:$A$49,0),MATCH(orders!J$1,products!$A$1:$G$1,0))</f>
        <v>D</v>
      </c>
      <c r="K79" s="6">
        <f>INDEX(products!$A$1:$G$49,MATCH(orders!$D79,products!$A$1:$A$49,0),MATCH(orders!K$1,products!$A$1:$G$1,0))</f>
        <v>0.2</v>
      </c>
      <c r="L79" s="7">
        <f>INDEX(products!$A$1:$G$49,MATCH(orders!$D79,products!$A$1:$A$49,0),MATCH(orders!L$1,products!$A$1:$G$1,0))</f>
        <v>3.645</v>
      </c>
      <c r="M79" s="7">
        <f t="shared" si="1"/>
        <v>7.29</v>
      </c>
      <c r="N79" s="4" t="str" cm="1">
        <f t="array" ref="N79">_xlfn.IFS(I79="Rob","Robusta",I79="Exc","Excelsa",I79="Ara","Arabica",I79="Lib","Liberica")</f>
        <v>Excelsa</v>
      </c>
      <c r="O79" s="4" t="str" cm="1">
        <f t="array" ref="O79">_xlfn.IFS(J79="M","Medium",J79="L","Light",J79="D","Dark")</f>
        <v>Dark</v>
      </c>
      <c r="P79" s="4" t="str">
        <f>_xlfn.XLOOKUP(CoffeeOrderstable[[#This Row],[Customer ID]],customers!$A$1:$A$1001,customers!$I$1:$I$1001,,0)</f>
        <v>No</v>
      </c>
    </row>
    <row r="80" spans="1:16" x14ac:dyDescent="0.3">
      <c r="A80" s="3" t="s">
        <v>930</v>
      </c>
      <c r="B80" s="5">
        <v>43920</v>
      </c>
      <c r="C80" s="3" t="s">
        <v>931</v>
      </c>
      <c r="D80" s="4" t="s">
        <v>6157</v>
      </c>
      <c r="E80" s="3">
        <v>6</v>
      </c>
      <c r="F80" s="3" t="str">
        <f>_xlfn.XLOOKUP(C80,customers!$A$1:$A$1001,customers!$B$1:$B$1001,,0)</f>
        <v>Lothaire Mizzi</v>
      </c>
      <c r="G80" s="3" t="str">
        <f>IF(_xlfn.XLOOKUP(C80,customers!$A$1:$A$1001,customers!$C$1:$C$1001,,0)=0,"", _xlfn.XLOOKUP(C80,customers!$A$1:$A$1001,customers!$C$1:$C$1001,,0))</f>
        <v>lmizzi26@rakuten.co.jp</v>
      </c>
      <c r="H80" s="3" t="str">
        <f>_xlfn.XLOOKUP(C80,customers!$A$1:$A$1001,customers!$G$1:$G$1001,,0)</f>
        <v>United States</v>
      </c>
      <c r="I80" s="4" t="str">
        <f>INDEX(products!$A$1:$G$49,MATCH(orders!$D80,products!$A$1:$A$49,0),MATCH(orders!I$1,products!$A$1:$G$1,0))</f>
        <v>Ara</v>
      </c>
      <c r="J80" s="4" t="str">
        <f>INDEX(products!$A$1:$G$49,MATCH(orders!$D80,products!$A$1:$A$49,0),MATCH(orders!J$1,products!$A$1:$G$1,0))</f>
        <v>M</v>
      </c>
      <c r="K80" s="6">
        <f>INDEX(products!$A$1:$G$49,MATCH(orders!$D80,products!$A$1:$A$49,0),MATCH(orders!K$1,products!$A$1:$G$1,0))</f>
        <v>0.5</v>
      </c>
      <c r="L80" s="7">
        <f>INDEX(products!$A$1:$G$49,MATCH(orders!$D80,products!$A$1:$A$49,0),MATCH(orders!L$1,products!$A$1:$G$1,0))</f>
        <v>6.75</v>
      </c>
      <c r="M80" s="7">
        <f t="shared" si="1"/>
        <v>40.5</v>
      </c>
      <c r="N80" s="4" t="str" cm="1">
        <f t="array" ref="N80">_xlfn.IFS(I80="Rob","Robusta",I80="Exc","Excelsa",I80="Ara","Arabica",I80="Lib","Liberica")</f>
        <v>Arabica</v>
      </c>
      <c r="O80" s="4" t="str" cm="1">
        <f t="array" ref="O80">_xlfn.IFS(J80="M","Medium",J80="L","Light",J80="D","Dark")</f>
        <v>Medium</v>
      </c>
      <c r="P80" s="4" t="str">
        <f>_xlfn.XLOOKUP(CoffeeOrderstable[[#This Row],[Customer ID]],customers!$A$1:$A$1001,customers!$I$1:$I$1001,,0)</f>
        <v>Yes</v>
      </c>
    </row>
    <row r="81" spans="1:16" x14ac:dyDescent="0.3">
      <c r="A81" s="3" t="s">
        <v>936</v>
      </c>
      <c r="B81" s="5">
        <v>44633</v>
      </c>
      <c r="C81" s="3" t="s">
        <v>937</v>
      </c>
      <c r="D81" s="4" t="s">
        <v>6179</v>
      </c>
      <c r="E81" s="3">
        <v>4</v>
      </c>
      <c r="F81" s="3" t="str">
        <f>_xlfn.XLOOKUP(C81,customers!$A$1:$A$1001,customers!$B$1:$B$1001,,0)</f>
        <v>Cletis Giacomazzo</v>
      </c>
      <c r="G81" s="3" t="str">
        <f>IF(_xlfn.XLOOKUP(C81,customers!$A$1:$A$1001,customers!$C$1:$C$1001,,0)=0,"", _xlfn.XLOOKUP(C81,customers!$A$1:$A$1001,customers!$C$1:$C$1001,,0))</f>
        <v>cgiacomazzo27@jigsy.com</v>
      </c>
      <c r="H81" s="3" t="str">
        <f>_xlfn.XLOOKUP(C81,customers!$A$1:$A$1001,customers!$G$1:$G$1001,,0)</f>
        <v>United States</v>
      </c>
      <c r="I81" s="4" t="str">
        <f>INDEX(products!$A$1:$G$49,MATCH(orders!$D81,products!$A$1:$A$49,0),MATCH(orders!I$1,products!$A$1:$G$1,0))</f>
        <v>Rob</v>
      </c>
      <c r="J81" s="4" t="str">
        <f>INDEX(products!$A$1:$G$49,MATCH(orders!$D81,products!$A$1:$A$49,0),MATCH(orders!J$1,products!$A$1:$G$1,0))</f>
        <v>L</v>
      </c>
      <c r="K81" s="6">
        <f>INDEX(products!$A$1:$G$49,MATCH(orders!$D81,products!$A$1:$A$49,0),MATCH(orders!K$1,products!$A$1:$G$1,0))</f>
        <v>1</v>
      </c>
      <c r="L81" s="7">
        <f>INDEX(products!$A$1:$G$49,MATCH(orders!$D81,products!$A$1:$A$49,0),MATCH(orders!L$1,products!$A$1:$G$1,0))</f>
        <v>11.95</v>
      </c>
      <c r="M81" s="7">
        <f t="shared" si="1"/>
        <v>47.8</v>
      </c>
      <c r="N81" s="4" t="str" cm="1">
        <f t="array" ref="N81">_xlfn.IFS(I81="Rob","Robusta",I81="Exc","Excelsa",I81="Ara","Arabica",I81="Lib","Liberica")</f>
        <v>Robusta</v>
      </c>
      <c r="O81" s="4" t="str" cm="1">
        <f t="array" ref="O81">_xlfn.IFS(J81="M","Medium",J81="L","Light",J81="D","Dark")</f>
        <v>Light</v>
      </c>
      <c r="P81" s="4" t="str">
        <f>_xlfn.XLOOKUP(CoffeeOrderstable[[#This Row],[Customer ID]],customers!$A$1:$A$1001,customers!$I$1:$I$1001,,0)</f>
        <v>No</v>
      </c>
    </row>
    <row r="82" spans="1:16" x14ac:dyDescent="0.3">
      <c r="A82" s="3" t="s">
        <v>942</v>
      </c>
      <c r="B82" s="5">
        <v>43572</v>
      </c>
      <c r="C82" s="3" t="s">
        <v>943</v>
      </c>
      <c r="D82" s="4" t="s">
        <v>6180</v>
      </c>
      <c r="E82" s="3">
        <v>5</v>
      </c>
      <c r="F82" s="3" t="str">
        <f>_xlfn.XLOOKUP(C82,customers!$A$1:$A$1001,customers!$B$1:$B$1001,,0)</f>
        <v>Ami Arnow</v>
      </c>
      <c r="G82" s="3" t="str">
        <f>IF(_xlfn.XLOOKUP(C82,customers!$A$1:$A$1001,customers!$C$1:$C$1001,,0)=0,"", _xlfn.XLOOKUP(C82,customers!$A$1:$A$1001,customers!$C$1:$C$1001,,0))</f>
        <v>aarnow28@arizona.edu</v>
      </c>
      <c r="H82" s="3" t="str">
        <f>_xlfn.XLOOKUP(C82,customers!$A$1:$A$1001,customers!$G$1:$G$1001,,0)</f>
        <v>United States</v>
      </c>
      <c r="I82" s="4" t="str">
        <f>INDEX(products!$A$1:$G$49,MATCH(orders!$D82,products!$A$1:$A$49,0),MATCH(orders!I$1,products!$A$1:$G$1,0))</f>
        <v>Ara</v>
      </c>
      <c r="J82" s="4" t="str">
        <f>INDEX(products!$A$1:$G$49,MATCH(orders!$D82,products!$A$1:$A$49,0),MATCH(orders!J$1,products!$A$1:$G$1,0))</f>
        <v>L</v>
      </c>
      <c r="K82" s="6">
        <f>INDEX(products!$A$1:$G$49,MATCH(orders!$D82,products!$A$1:$A$49,0),MATCH(orders!K$1,products!$A$1:$G$1,0))</f>
        <v>0.5</v>
      </c>
      <c r="L82" s="7">
        <f>INDEX(products!$A$1:$G$49,MATCH(orders!$D82,products!$A$1:$A$49,0),MATCH(orders!L$1,products!$A$1:$G$1,0))</f>
        <v>7.77</v>
      </c>
      <c r="M82" s="7">
        <f t="shared" si="1"/>
        <v>38.849999999999994</v>
      </c>
      <c r="N82" s="4" t="str" cm="1">
        <f t="array" ref="N82">_xlfn.IFS(I82="Rob","Robusta",I82="Exc","Excelsa",I82="Ara","Arabica",I82="Lib","Liberica")</f>
        <v>Arabica</v>
      </c>
      <c r="O82" s="4" t="str" cm="1">
        <f t="array" ref="O82">_xlfn.IFS(J82="M","Medium",J82="L","Light",J82="D","Dark")</f>
        <v>Light</v>
      </c>
      <c r="P82" s="4" t="str">
        <f>_xlfn.XLOOKUP(CoffeeOrderstable[[#This Row],[Customer ID]],customers!$A$1:$A$1001,customers!$I$1:$I$1001,,0)</f>
        <v>Yes</v>
      </c>
    </row>
    <row r="83" spans="1:16" x14ac:dyDescent="0.3">
      <c r="A83" s="3" t="s">
        <v>948</v>
      </c>
      <c r="B83" s="5">
        <v>43763</v>
      </c>
      <c r="C83" s="3" t="s">
        <v>949</v>
      </c>
      <c r="D83" s="4" t="s">
        <v>6164</v>
      </c>
      <c r="E83" s="3">
        <v>3</v>
      </c>
      <c r="F83" s="3" t="str">
        <f>_xlfn.XLOOKUP(C83,customers!$A$1:$A$1001,customers!$B$1:$B$1001,,0)</f>
        <v>Sheppard Yann</v>
      </c>
      <c r="G83" s="3" t="str">
        <f>IF(_xlfn.XLOOKUP(C83,customers!$A$1:$A$1001,customers!$C$1:$C$1001,,0)=0,"", _xlfn.XLOOKUP(C83,customers!$A$1:$A$1001,customers!$C$1:$C$1001,,0))</f>
        <v>syann29@senate.gov</v>
      </c>
      <c r="H83" s="3" t="str">
        <f>_xlfn.XLOOKUP(C83,customers!$A$1:$A$1001,customers!$G$1:$G$1001,,0)</f>
        <v>United States</v>
      </c>
      <c r="I83" s="4" t="str">
        <f>INDEX(products!$A$1:$G$49,MATCH(orders!$D83,products!$A$1:$A$49,0),MATCH(orders!I$1,products!$A$1:$G$1,0))</f>
        <v>Lib</v>
      </c>
      <c r="J83" s="4" t="str">
        <f>INDEX(products!$A$1:$G$49,MATCH(orders!$D83,products!$A$1:$A$49,0),MATCH(orders!J$1,products!$A$1:$G$1,0))</f>
        <v>L</v>
      </c>
      <c r="K83" s="6">
        <f>INDEX(products!$A$1:$G$49,MATCH(orders!$D83,products!$A$1:$A$49,0),MATCH(orders!K$1,products!$A$1:$G$1,0))</f>
        <v>2.5</v>
      </c>
      <c r="L83" s="7">
        <f>INDEX(products!$A$1:$G$49,MATCH(orders!$D83,products!$A$1:$A$49,0),MATCH(orders!L$1,products!$A$1:$G$1,0))</f>
        <v>36.454999999999998</v>
      </c>
      <c r="M83" s="7">
        <f t="shared" si="1"/>
        <v>109.36499999999999</v>
      </c>
      <c r="N83" s="4" t="str" cm="1">
        <f t="array" ref="N83">_xlfn.IFS(I83="Rob","Robusta",I83="Exc","Excelsa",I83="Ara","Arabica",I83="Lib","Liberica")</f>
        <v>Liberica</v>
      </c>
      <c r="O83" s="4" t="str" cm="1">
        <f t="array" ref="O83">_xlfn.IFS(J83="M","Medium",J83="L","Light",J83="D","Dark")</f>
        <v>Light</v>
      </c>
      <c r="P83" s="4" t="str">
        <f>_xlfn.XLOOKUP(CoffeeOrderstable[[#This Row],[Customer ID]],customers!$A$1:$A$1001,customers!$I$1:$I$1001,,0)</f>
        <v>Yes</v>
      </c>
    </row>
    <row r="84" spans="1:16" x14ac:dyDescent="0.3">
      <c r="A84" s="3" t="s">
        <v>954</v>
      </c>
      <c r="B84" s="5">
        <v>43721</v>
      </c>
      <c r="C84" s="3" t="s">
        <v>955</v>
      </c>
      <c r="D84" s="4" t="s">
        <v>6181</v>
      </c>
      <c r="E84" s="3">
        <v>3</v>
      </c>
      <c r="F84" s="3" t="str">
        <f>_xlfn.XLOOKUP(C84,customers!$A$1:$A$1001,customers!$B$1:$B$1001,,0)</f>
        <v>Bunny Naulls</v>
      </c>
      <c r="G84" s="3" t="str">
        <f>IF(_xlfn.XLOOKUP(C84,customers!$A$1:$A$1001,customers!$C$1:$C$1001,,0)=0,"", _xlfn.XLOOKUP(C84,customers!$A$1:$A$1001,customers!$C$1:$C$1001,,0))</f>
        <v>bnaulls2a@tiny.cc</v>
      </c>
      <c r="H84" s="3" t="str">
        <f>_xlfn.XLOOKUP(C84,customers!$A$1:$A$1001,customers!$G$1:$G$1001,,0)</f>
        <v>Ireland</v>
      </c>
      <c r="I84" s="4" t="str">
        <f>INDEX(products!$A$1:$G$49,MATCH(orders!$D84,products!$A$1:$A$49,0),MATCH(orders!I$1,products!$A$1:$G$1,0))</f>
        <v>Lib</v>
      </c>
      <c r="J84" s="4" t="str">
        <f>INDEX(products!$A$1:$G$49,MATCH(orders!$D84,products!$A$1:$A$49,0),MATCH(orders!J$1,products!$A$1:$G$1,0))</f>
        <v>M</v>
      </c>
      <c r="K84" s="6">
        <f>INDEX(products!$A$1:$G$49,MATCH(orders!$D84,products!$A$1:$A$49,0),MATCH(orders!K$1,products!$A$1:$G$1,0))</f>
        <v>2.5</v>
      </c>
      <c r="L84" s="7">
        <f>INDEX(products!$A$1:$G$49,MATCH(orders!$D84,products!$A$1:$A$49,0),MATCH(orders!L$1,products!$A$1:$G$1,0))</f>
        <v>33.464999999999996</v>
      </c>
      <c r="M84" s="7">
        <f t="shared" si="1"/>
        <v>100.39499999999998</v>
      </c>
      <c r="N84" s="4" t="str" cm="1">
        <f t="array" ref="N84">_xlfn.IFS(I84="Rob","Robusta",I84="Exc","Excelsa",I84="Ara","Arabica",I84="Lib","Liberica")</f>
        <v>Liberica</v>
      </c>
      <c r="O84" s="4" t="str" cm="1">
        <f t="array" ref="O84">_xlfn.IFS(J84="M","Medium",J84="L","Light",J84="D","Dark")</f>
        <v>Medium</v>
      </c>
      <c r="P84" s="4" t="str">
        <f>_xlfn.XLOOKUP(CoffeeOrderstable[[#This Row],[Customer ID]],customers!$A$1:$A$1001,customers!$I$1:$I$1001,,0)</f>
        <v>Yes</v>
      </c>
    </row>
    <row r="85" spans="1:16" x14ac:dyDescent="0.3">
      <c r="A85" s="3" t="s">
        <v>960</v>
      </c>
      <c r="B85" s="5">
        <v>43933</v>
      </c>
      <c r="C85" s="3" t="s">
        <v>961</v>
      </c>
      <c r="D85" s="4" t="s">
        <v>6149</v>
      </c>
      <c r="E85" s="3">
        <v>4</v>
      </c>
      <c r="F85" s="3" t="str">
        <f>_xlfn.XLOOKUP(C85,customers!$A$1:$A$1001,customers!$B$1:$B$1001,,0)</f>
        <v>Hally Lorait</v>
      </c>
      <c r="G85" s="3" t="str">
        <f>IF(_xlfn.XLOOKUP(C85,customers!$A$1:$A$1001,customers!$C$1:$C$1001,,0)=0,"", _xlfn.XLOOKUP(C85,customers!$A$1:$A$1001,customers!$C$1:$C$1001,,0))</f>
        <v/>
      </c>
      <c r="H85" s="3" t="str">
        <f>_xlfn.XLOOKUP(C85,customers!$A$1:$A$1001,customers!$G$1:$G$1001,,0)</f>
        <v>United States</v>
      </c>
      <c r="I85" s="4" t="str">
        <f>INDEX(products!$A$1:$G$49,MATCH(orders!$D85,products!$A$1:$A$49,0),MATCH(orders!I$1,products!$A$1:$G$1,0))</f>
        <v>Rob</v>
      </c>
      <c r="J85" s="4" t="str">
        <f>INDEX(products!$A$1:$G$49,MATCH(orders!$D85,products!$A$1:$A$49,0),MATCH(orders!J$1,products!$A$1:$G$1,0))</f>
        <v>D</v>
      </c>
      <c r="K85" s="6">
        <f>INDEX(products!$A$1:$G$49,MATCH(orders!$D85,products!$A$1:$A$49,0),MATCH(orders!K$1,products!$A$1:$G$1,0))</f>
        <v>2.5</v>
      </c>
      <c r="L85" s="7">
        <f>INDEX(products!$A$1:$G$49,MATCH(orders!$D85,products!$A$1:$A$49,0),MATCH(orders!L$1,products!$A$1:$G$1,0))</f>
        <v>20.584999999999997</v>
      </c>
      <c r="M85" s="7">
        <f t="shared" si="1"/>
        <v>82.339999999999989</v>
      </c>
      <c r="N85" s="4" t="str" cm="1">
        <f t="array" ref="N85">_xlfn.IFS(I85="Rob","Robusta",I85="Exc","Excelsa",I85="Ara","Arabica",I85="Lib","Liberica")</f>
        <v>Robusta</v>
      </c>
      <c r="O85" s="4" t="str" cm="1">
        <f t="array" ref="O85">_xlfn.IFS(J85="M","Medium",J85="L","Light",J85="D","Dark")</f>
        <v>Dark</v>
      </c>
      <c r="P85" s="4" t="str">
        <f>_xlfn.XLOOKUP(CoffeeOrderstable[[#This Row],[Customer ID]],customers!$A$1:$A$1001,customers!$I$1:$I$1001,,0)</f>
        <v>Yes</v>
      </c>
    </row>
    <row r="86" spans="1:16" x14ac:dyDescent="0.3">
      <c r="A86" s="3" t="s">
        <v>965</v>
      </c>
      <c r="B86" s="5">
        <v>43783</v>
      </c>
      <c r="C86" s="3" t="s">
        <v>966</v>
      </c>
      <c r="D86" s="4" t="s">
        <v>6161</v>
      </c>
      <c r="E86" s="3">
        <v>1</v>
      </c>
      <c r="F86" s="3" t="str">
        <f>_xlfn.XLOOKUP(C86,customers!$A$1:$A$1001,customers!$B$1:$B$1001,,0)</f>
        <v>Zaccaria Sherewood</v>
      </c>
      <c r="G86" s="3" t="str">
        <f>IF(_xlfn.XLOOKUP(C86,customers!$A$1:$A$1001,customers!$C$1:$C$1001,,0)=0,"", _xlfn.XLOOKUP(C86,customers!$A$1:$A$1001,customers!$C$1:$C$1001,,0))</f>
        <v>zsherewood2c@apache.org</v>
      </c>
      <c r="H86" s="3" t="str">
        <f>_xlfn.XLOOKUP(C86,customers!$A$1:$A$1001,customers!$G$1:$G$1001,,0)</f>
        <v>United States</v>
      </c>
      <c r="I86" s="4" t="str">
        <f>INDEX(products!$A$1:$G$49,MATCH(orders!$D86,products!$A$1:$A$49,0),MATCH(orders!I$1,products!$A$1:$G$1,0))</f>
        <v>Lib</v>
      </c>
      <c r="J86" s="4" t="str">
        <f>INDEX(products!$A$1:$G$49,MATCH(orders!$D86,products!$A$1:$A$49,0),MATCH(orders!J$1,products!$A$1:$G$1,0))</f>
        <v>L</v>
      </c>
      <c r="K86" s="6">
        <f>INDEX(products!$A$1:$G$49,MATCH(orders!$D86,products!$A$1:$A$49,0),MATCH(orders!K$1,products!$A$1:$G$1,0))</f>
        <v>0.5</v>
      </c>
      <c r="L86" s="7">
        <f>INDEX(products!$A$1:$G$49,MATCH(orders!$D86,products!$A$1:$A$49,0),MATCH(orders!L$1,products!$A$1:$G$1,0))</f>
        <v>9.51</v>
      </c>
      <c r="M86" s="7">
        <f t="shared" si="1"/>
        <v>9.51</v>
      </c>
      <c r="N86" s="4" t="str" cm="1">
        <f t="array" ref="N86">_xlfn.IFS(I86="Rob","Robusta",I86="Exc","Excelsa",I86="Ara","Arabica",I86="Lib","Liberica")</f>
        <v>Liberica</v>
      </c>
      <c r="O86" s="4" t="str" cm="1">
        <f t="array" ref="O86">_xlfn.IFS(J86="M","Medium",J86="L","Light",J86="D","Dark")</f>
        <v>Light</v>
      </c>
      <c r="P86" s="4" t="str">
        <f>_xlfn.XLOOKUP(CoffeeOrderstable[[#This Row],[Customer ID]],customers!$A$1:$A$1001,customers!$I$1:$I$1001,,0)</f>
        <v>No</v>
      </c>
    </row>
    <row r="87" spans="1:16" x14ac:dyDescent="0.3">
      <c r="A87" s="3" t="s">
        <v>971</v>
      </c>
      <c r="B87" s="5">
        <v>43664</v>
      </c>
      <c r="C87" s="3" t="s">
        <v>972</v>
      </c>
      <c r="D87" s="4" t="s">
        <v>6182</v>
      </c>
      <c r="E87" s="3">
        <v>3</v>
      </c>
      <c r="F87" s="3" t="str">
        <f>_xlfn.XLOOKUP(C87,customers!$A$1:$A$1001,customers!$B$1:$B$1001,,0)</f>
        <v>Jeffrey Dufaire</v>
      </c>
      <c r="G87" s="3" t="str">
        <f>IF(_xlfn.XLOOKUP(C87,customers!$A$1:$A$1001,customers!$C$1:$C$1001,,0)=0,"", _xlfn.XLOOKUP(C87,customers!$A$1:$A$1001,customers!$C$1:$C$1001,,0))</f>
        <v>jdufaire2d@fc2.com</v>
      </c>
      <c r="H87" s="3" t="str">
        <f>_xlfn.XLOOKUP(C87,customers!$A$1:$A$1001,customers!$G$1:$G$1001,,0)</f>
        <v>United States</v>
      </c>
      <c r="I87" s="4" t="str">
        <f>INDEX(products!$A$1:$G$49,MATCH(orders!$D87,products!$A$1:$A$49,0),MATCH(orders!I$1,products!$A$1:$G$1,0))</f>
        <v>Ara</v>
      </c>
      <c r="J87" s="4" t="str">
        <f>INDEX(products!$A$1:$G$49,MATCH(orders!$D87,products!$A$1:$A$49,0),MATCH(orders!J$1,products!$A$1:$G$1,0))</f>
        <v>L</v>
      </c>
      <c r="K87" s="6">
        <f>INDEX(products!$A$1:$G$49,MATCH(orders!$D87,products!$A$1:$A$49,0),MATCH(orders!K$1,products!$A$1:$G$1,0))</f>
        <v>2.5</v>
      </c>
      <c r="L87" s="7">
        <f>INDEX(products!$A$1:$G$49,MATCH(orders!$D87,products!$A$1:$A$49,0),MATCH(orders!L$1,products!$A$1:$G$1,0))</f>
        <v>29.784999999999997</v>
      </c>
      <c r="M87" s="7">
        <f t="shared" si="1"/>
        <v>89.35499999999999</v>
      </c>
      <c r="N87" s="4" t="str" cm="1">
        <f t="array" ref="N87">_xlfn.IFS(I87="Rob","Robusta",I87="Exc","Excelsa",I87="Ara","Arabica",I87="Lib","Liberica")</f>
        <v>Arabica</v>
      </c>
      <c r="O87" s="4" t="str" cm="1">
        <f t="array" ref="O87">_xlfn.IFS(J87="M","Medium",J87="L","Light",J87="D","Dark")</f>
        <v>Light</v>
      </c>
      <c r="P87" s="4" t="str">
        <f>_xlfn.XLOOKUP(CoffeeOrderstable[[#This Row],[Customer ID]],customers!$A$1:$A$1001,customers!$I$1:$I$1001,,0)</f>
        <v>No</v>
      </c>
    </row>
    <row r="88" spans="1:16" x14ac:dyDescent="0.3">
      <c r="A88" s="3" t="s">
        <v>971</v>
      </c>
      <c r="B88" s="5">
        <v>43664</v>
      </c>
      <c r="C88" s="3" t="s">
        <v>972</v>
      </c>
      <c r="D88" s="4" t="s">
        <v>6154</v>
      </c>
      <c r="E88" s="3">
        <v>4</v>
      </c>
      <c r="F88" s="3" t="str">
        <f>_xlfn.XLOOKUP(C88,customers!$A$1:$A$1001,customers!$B$1:$B$1001,,0)</f>
        <v>Jeffrey Dufaire</v>
      </c>
      <c r="G88" s="3" t="str">
        <f>IF(_xlfn.XLOOKUP(C88,customers!$A$1:$A$1001,customers!$C$1:$C$1001,,0)=0,"", _xlfn.XLOOKUP(C88,customers!$A$1:$A$1001,customers!$C$1:$C$1001,,0))</f>
        <v>jdufaire2d@fc2.com</v>
      </c>
      <c r="H88" s="3" t="str">
        <f>_xlfn.XLOOKUP(C88,customers!$A$1:$A$1001,customers!$G$1:$G$1001,,0)</f>
        <v>United States</v>
      </c>
      <c r="I88" s="4" t="str">
        <f>INDEX(products!$A$1:$G$49,MATCH(orders!$D88,products!$A$1:$A$49,0),MATCH(orders!I$1,products!$A$1:$G$1,0))</f>
        <v>Ara</v>
      </c>
      <c r="J88" s="4" t="str">
        <f>INDEX(products!$A$1:$G$49,MATCH(orders!$D88,products!$A$1:$A$49,0),MATCH(orders!J$1,products!$A$1:$G$1,0))</f>
        <v>D</v>
      </c>
      <c r="K88" s="6">
        <f>INDEX(products!$A$1:$G$49,MATCH(orders!$D88,products!$A$1:$A$49,0),MATCH(orders!K$1,products!$A$1:$G$1,0))</f>
        <v>0.2</v>
      </c>
      <c r="L88" s="7">
        <f>INDEX(products!$A$1:$G$49,MATCH(orders!$D88,products!$A$1:$A$49,0),MATCH(orders!L$1,products!$A$1:$G$1,0))</f>
        <v>2.9849999999999999</v>
      </c>
      <c r="M88" s="7">
        <f t="shared" si="1"/>
        <v>11.94</v>
      </c>
      <c r="N88" s="4" t="str" cm="1">
        <f t="array" ref="N88">_xlfn.IFS(I88="Rob","Robusta",I88="Exc","Excelsa",I88="Ara","Arabica",I88="Lib","Liberica")</f>
        <v>Arabica</v>
      </c>
      <c r="O88" s="4" t="str" cm="1">
        <f t="array" ref="O88">_xlfn.IFS(J88="M","Medium",J88="L","Light",J88="D","Dark")</f>
        <v>Dark</v>
      </c>
      <c r="P88" s="4" t="str">
        <f>_xlfn.XLOOKUP(CoffeeOrderstable[[#This Row],[Customer ID]],customers!$A$1:$A$1001,customers!$I$1:$I$1001,,0)</f>
        <v>No</v>
      </c>
    </row>
    <row r="89" spans="1:16" x14ac:dyDescent="0.3">
      <c r="A89" s="3" t="s">
        <v>980</v>
      </c>
      <c r="B89" s="5">
        <v>44289</v>
      </c>
      <c r="C89" s="3" t="s">
        <v>981</v>
      </c>
      <c r="D89" s="4" t="s">
        <v>6155</v>
      </c>
      <c r="E89" s="3">
        <v>3</v>
      </c>
      <c r="F89" s="3" t="str">
        <f>_xlfn.XLOOKUP(C89,customers!$A$1:$A$1001,customers!$B$1:$B$1001,,0)</f>
        <v>Beitris Keaveney</v>
      </c>
      <c r="G89" s="3" t="str">
        <f>IF(_xlfn.XLOOKUP(C89,customers!$A$1:$A$1001,customers!$C$1:$C$1001,,0)=0,"", _xlfn.XLOOKUP(C89,customers!$A$1:$A$1001,customers!$C$1:$C$1001,,0))</f>
        <v>bkeaveney2f@netlog.com</v>
      </c>
      <c r="H89" s="3" t="str">
        <f>_xlfn.XLOOKUP(C89,customers!$A$1:$A$1001,customers!$G$1:$G$1001,,0)</f>
        <v>United States</v>
      </c>
      <c r="I89" s="4" t="str">
        <f>INDEX(products!$A$1:$G$49,MATCH(orders!$D89,products!$A$1:$A$49,0),MATCH(orders!I$1,products!$A$1:$G$1,0))</f>
        <v>Ara</v>
      </c>
      <c r="J89" s="4" t="str">
        <f>INDEX(products!$A$1:$G$49,MATCH(orders!$D89,products!$A$1:$A$49,0),MATCH(orders!J$1,products!$A$1:$G$1,0))</f>
        <v>M</v>
      </c>
      <c r="K89" s="6">
        <f>INDEX(products!$A$1:$G$49,MATCH(orders!$D89,products!$A$1:$A$49,0),MATCH(orders!K$1,products!$A$1:$G$1,0))</f>
        <v>1</v>
      </c>
      <c r="L89" s="7">
        <f>INDEX(products!$A$1:$G$49,MATCH(orders!$D89,products!$A$1:$A$49,0),MATCH(orders!L$1,products!$A$1:$G$1,0))</f>
        <v>11.25</v>
      </c>
      <c r="M89" s="7">
        <f t="shared" si="1"/>
        <v>33.75</v>
      </c>
      <c r="N89" s="4" t="str" cm="1">
        <f t="array" ref="N89">_xlfn.IFS(I89="Rob","Robusta",I89="Exc","Excelsa",I89="Ara","Arabica",I89="Lib","Liberica")</f>
        <v>Arabica</v>
      </c>
      <c r="O89" s="4" t="str" cm="1">
        <f t="array" ref="O89">_xlfn.IFS(J89="M","Medium",J89="L","Light",J89="D","Dark")</f>
        <v>Medium</v>
      </c>
      <c r="P89" s="4" t="str">
        <f>_xlfn.XLOOKUP(CoffeeOrderstable[[#This Row],[Customer ID]],customers!$A$1:$A$1001,customers!$I$1:$I$1001,,0)</f>
        <v>No</v>
      </c>
    </row>
    <row r="90" spans="1:16" x14ac:dyDescent="0.3">
      <c r="A90" s="3" t="s">
        <v>985</v>
      </c>
      <c r="B90" s="5">
        <v>44284</v>
      </c>
      <c r="C90" s="3" t="s">
        <v>986</v>
      </c>
      <c r="D90" s="4" t="s">
        <v>6179</v>
      </c>
      <c r="E90" s="3">
        <v>3</v>
      </c>
      <c r="F90" s="3" t="str">
        <f>_xlfn.XLOOKUP(C90,customers!$A$1:$A$1001,customers!$B$1:$B$1001,,0)</f>
        <v>Elna Grise</v>
      </c>
      <c r="G90" s="3" t="str">
        <f>IF(_xlfn.XLOOKUP(C90,customers!$A$1:$A$1001,customers!$C$1:$C$1001,,0)=0,"", _xlfn.XLOOKUP(C90,customers!$A$1:$A$1001,customers!$C$1:$C$1001,,0))</f>
        <v>egrise2g@cargocollective.com</v>
      </c>
      <c r="H90" s="3" t="str">
        <f>_xlfn.XLOOKUP(C90,customers!$A$1:$A$1001,customers!$G$1:$G$1001,,0)</f>
        <v>United States</v>
      </c>
      <c r="I90" s="4" t="str">
        <f>INDEX(products!$A$1:$G$49,MATCH(orders!$D90,products!$A$1:$A$49,0),MATCH(orders!I$1,products!$A$1:$G$1,0))</f>
        <v>Rob</v>
      </c>
      <c r="J90" s="4" t="str">
        <f>INDEX(products!$A$1:$G$49,MATCH(orders!$D90,products!$A$1:$A$49,0),MATCH(orders!J$1,products!$A$1:$G$1,0))</f>
        <v>L</v>
      </c>
      <c r="K90" s="6">
        <f>INDEX(products!$A$1:$G$49,MATCH(orders!$D90,products!$A$1:$A$49,0),MATCH(orders!K$1,products!$A$1:$G$1,0))</f>
        <v>1</v>
      </c>
      <c r="L90" s="7">
        <f>INDEX(products!$A$1:$G$49,MATCH(orders!$D90,products!$A$1:$A$49,0),MATCH(orders!L$1,products!$A$1:$G$1,0))</f>
        <v>11.95</v>
      </c>
      <c r="M90" s="7">
        <f t="shared" si="1"/>
        <v>35.849999999999994</v>
      </c>
      <c r="N90" s="4" t="str" cm="1">
        <f t="array" ref="N90">_xlfn.IFS(I90="Rob","Robusta",I90="Exc","Excelsa",I90="Ara","Arabica",I90="Lib","Liberica")</f>
        <v>Robusta</v>
      </c>
      <c r="O90" s="4" t="str" cm="1">
        <f t="array" ref="O90">_xlfn.IFS(J90="M","Medium",J90="L","Light",J90="D","Dark")</f>
        <v>Light</v>
      </c>
      <c r="P90" s="4" t="str">
        <f>_xlfn.XLOOKUP(CoffeeOrderstable[[#This Row],[Customer ID]],customers!$A$1:$A$1001,customers!$I$1:$I$1001,,0)</f>
        <v>No</v>
      </c>
    </row>
    <row r="91" spans="1:16" x14ac:dyDescent="0.3">
      <c r="A91" s="3" t="s">
        <v>990</v>
      </c>
      <c r="B91" s="5">
        <v>44545</v>
      </c>
      <c r="C91" s="3" t="s">
        <v>991</v>
      </c>
      <c r="D91" s="4" t="s">
        <v>6140</v>
      </c>
      <c r="E91" s="3">
        <v>6</v>
      </c>
      <c r="F91" s="3" t="str">
        <f>_xlfn.XLOOKUP(C91,customers!$A$1:$A$1001,customers!$B$1:$B$1001,,0)</f>
        <v>Torie Gottelier</v>
      </c>
      <c r="G91" s="3" t="str">
        <f>IF(_xlfn.XLOOKUP(C91,customers!$A$1:$A$1001,customers!$C$1:$C$1001,,0)=0,"", _xlfn.XLOOKUP(C91,customers!$A$1:$A$1001,customers!$C$1:$C$1001,,0))</f>
        <v>tgottelier2h@vistaprint.com</v>
      </c>
      <c r="H91" s="3" t="str">
        <f>_xlfn.XLOOKUP(C91,customers!$A$1:$A$1001,customers!$G$1:$G$1001,,0)</f>
        <v>United States</v>
      </c>
      <c r="I91" s="4" t="str">
        <f>INDEX(products!$A$1:$G$49,MATCH(orders!$D91,products!$A$1:$A$49,0),MATCH(orders!I$1,products!$A$1:$G$1,0))</f>
        <v>Ara</v>
      </c>
      <c r="J91" s="4" t="str">
        <f>INDEX(products!$A$1:$G$49,MATCH(orders!$D91,products!$A$1:$A$49,0),MATCH(orders!J$1,products!$A$1:$G$1,0))</f>
        <v>L</v>
      </c>
      <c r="K91" s="6">
        <f>INDEX(products!$A$1:$G$49,MATCH(orders!$D91,products!$A$1:$A$49,0),MATCH(orders!K$1,products!$A$1:$G$1,0))</f>
        <v>1</v>
      </c>
      <c r="L91" s="7">
        <f>INDEX(products!$A$1:$G$49,MATCH(orders!$D91,products!$A$1:$A$49,0),MATCH(orders!L$1,products!$A$1:$G$1,0))</f>
        <v>12.95</v>
      </c>
      <c r="M91" s="7">
        <f t="shared" si="1"/>
        <v>77.699999999999989</v>
      </c>
      <c r="N91" s="4" t="str" cm="1">
        <f t="array" ref="N91">_xlfn.IFS(I91="Rob","Robusta",I91="Exc","Excelsa",I91="Ara","Arabica",I91="Lib","Liberica")</f>
        <v>Arabica</v>
      </c>
      <c r="O91" s="4" t="str" cm="1">
        <f t="array" ref="O91">_xlfn.IFS(J91="M","Medium",J91="L","Light",J91="D","Dark")</f>
        <v>Light</v>
      </c>
      <c r="P91" s="4" t="str">
        <f>_xlfn.XLOOKUP(CoffeeOrderstable[[#This Row],[Customer ID]],customers!$A$1:$A$1001,customers!$I$1:$I$1001,,0)</f>
        <v>No</v>
      </c>
    </row>
    <row r="92" spans="1:16" x14ac:dyDescent="0.3">
      <c r="A92" s="3" t="s">
        <v>996</v>
      </c>
      <c r="B92" s="5">
        <v>43971</v>
      </c>
      <c r="C92" s="3" t="s">
        <v>997</v>
      </c>
      <c r="D92" s="4" t="s">
        <v>6140</v>
      </c>
      <c r="E92" s="3">
        <v>4</v>
      </c>
      <c r="F92" s="3" t="str">
        <f>_xlfn.XLOOKUP(C92,customers!$A$1:$A$1001,customers!$B$1:$B$1001,,0)</f>
        <v>Loydie Langlais</v>
      </c>
      <c r="G92" s="3" t="str">
        <f>IF(_xlfn.XLOOKUP(C92,customers!$A$1:$A$1001,customers!$C$1:$C$1001,,0)=0,"", _xlfn.XLOOKUP(C92,customers!$A$1:$A$1001,customers!$C$1:$C$1001,,0))</f>
        <v/>
      </c>
      <c r="H92" s="3" t="str">
        <f>_xlfn.XLOOKUP(C92,customers!$A$1:$A$1001,customers!$G$1:$G$1001,,0)</f>
        <v>Ireland</v>
      </c>
      <c r="I92" s="4" t="str">
        <f>INDEX(products!$A$1:$G$49,MATCH(orders!$D92,products!$A$1:$A$49,0),MATCH(orders!I$1,products!$A$1:$G$1,0))</f>
        <v>Ara</v>
      </c>
      <c r="J92" s="4" t="str">
        <f>INDEX(products!$A$1:$G$49,MATCH(orders!$D92,products!$A$1:$A$49,0),MATCH(orders!J$1,products!$A$1:$G$1,0))</f>
        <v>L</v>
      </c>
      <c r="K92" s="6">
        <f>INDEX(products!$A$1:$G$49,MATCH(orders!$D92,products!$A$1:$A$49,0),MATCH(orders!K$1,products!$A$1:$G$1,0))</f>
        <v>1</v>
      </c>
      <c r="L92" s="7">
        <f>INDEX(products!$A$1:$G$49,MATCH(orders!$D92,products!$A$1:$A$49,0),MATCH(orders!L$1,products!$A$1:$G$1,0))</f>
        <v>12.95</v>
      </c>
      <c r="M92" s="7">
        <f t="shared" si="1"/>
        <v>51.8</v>
      </c>
      <c r="N92" s="4" t="str" cm="1">
        <f t="array" ref="N92">_xlfn.IFS(I92="Rob","Robusta",I92="Exc","Excelsa",I92="Ara","Arabica",I92="Lib","Liberica")</f>
        <v>Arabica</v>
      </c>
      <c r="O92" s="4" t="str" cm="1">
        <f t="array" ref="O92">_xlfn.IFS(J92="M","Medium",J92="L","Light",J92="D","Dark")</f>
        <v>Light</v>
      </c>
      <c r="P92" s="4" t="str">
        <f>_xlfn.XLOOKUP(CoffeeOrderstable[[#This Row],[Customer ID]],customers!$A$1:$A$1001,customers!$I$1:$I$1001,,0)</f>
        <v>Yes</v>
      </c>
    </row>
    <row r="93" spans="1:16" x14ac:dyDescent="0.3">
      <c r="A93" s="3" t="s">
        <v>1001</v>
      </c>
      <c r="B93" s="5">
        <v>44137</v>
      </c>
      <c r="C93" s="3" t="s">
        <v>1002</v>
      </c>
      <c r="D93" s="4" t="s">
        <v>6175</v>
      </c>
      <c r="E93" s="3">
        <v>4</v>
      </c>
      <c r="F93" s="3" t="str">
        <f>_xlfn.XLOOKUP(C93,customers!$A$1:$A$1001,customers!$B$1:$B$1001,,0)</f>
        <v>Adham Greenhead</v>
      </c>
      <c r="G93" s="3" t="str">
        <f>IF(_xlfn.XLOOKUP(C93,customers!$A$1:$A$1001,customers!$C$1:$C$1001,,0)=0,"", _xlfn.XLOOKUP(C93,customers!$A$1:$A$1001,customers!$C$1:$C$1001,,0))</f>
        <v>agreenhead2j@dailymail.co.uk</v>
      </c>
      <c r="H93" s="3" t="str">
        <f>_xlfn.XLOOKUP(C93,customers!$A$1:$A$1001,customers!$G$1:$G$1001,,0)</f>
        <v>United States</v>
      </c>
      <c r="I93" s="4" t="str">
        <f>INDEX(products!$A$1:$G$49,MATCH(orders!$D93,products!$A$1:$A$49,0),MATCH(orders!I$1,products!$A$1:$G$1,0))</f>
        <v>Ara</v>
      </c>
      <c r="J93" s="4" t="str">
        <f>INDEX(products!$A$1:$G$49,MATCH(orders!$D93,products!$A$1:$A$49,0),MATCH(orders!J$1,products!$A$1:$G$1,0))</f>
        <v>M</v>
      </c>
      <c r="K93" s="6">
        <f>INDEX(products!$A$1:$G$49,MATCH(orders!$D93,products!$A$1:$A$49,0),MATCH(orders!K$1,products!$A$1:$G$1,0))</f>
        <v>2.5</v>
      </c>
      <c r="L93" s="7">
        <f>INDEX(products!$A$1:$G$49,MATCH(orders!$D93,products!$A$1:$A$49,0),MATCH(orders!L$1,products!$A$1:$G$1,0))</f>
        <v>25.874999999999996</v>
      </c>
      <c r="M93" s="7">
        <f t="shared" si="1"/>
        <v>103.49999999999999</v>
      </c>
      <c r="N93" s="4" t="str" cm="1">
        <f t="array" ref="N93">_xlfn.IFS(I93="Rob","Robusta",I93="Exc","Excelsa",I93="Ara","Arabica",I93="Lib","Liberica")</f>
        <v>Arabica</v>
      </c>
      <c r="O93" s="4" t="str" cm="1">
        <f t="array" ref="O93">_xlfn.IFS(J93="M","Medium",J93="L","Light",J93="D","Dark")</f>
        <v>Medium</v>
      </c>
      <c r="P93" s="4" t="str">
        <f>_xlfn.XLOOKUP(CoffeeOrderstable[[#This Row],[Customer ID]],customers!$A$1:$A$1001,customers!$I$1:$I$1001,,0)</f>
        <v>No</v>
      </c>
    </row>
    <row r="94" spans="1:16" x14ac:dyDescent="0.3">
      <c r="A94" s="3" t="s">
        <v>1007</v>
      </c>
      <c r="B94" s="5">
        <v>44037</v>
      </c>
      <c r="C94" s="3" t="s">
        <v>1008</v>
      </c>
      <c r="D94" s="4" t="s">
        <v>6171</v>
      </c>
      <c r="E94" s="3">
        <v>3</v>
      </c>
      <c r="F94" s="3" t="str">
        <f>_xlfn.XLOOKUP(C94,customers!$A$1:$A$1001,customers!$B$1:$B$1001,,0)</f>
        <v>Hamish MacSherry</v>
      </c>
      <c r="G94" s="3" t="str">
        <f>IF(_xlfn.XLOOKUP(C94,customers!$A$1:$A$1001,customers!$C$1:$C$1001,,0)=0,"", _xlfn.XLOOKUP(C94,customers!$A$1:$A$1001,customers!$C$1:$C$1001,,0))</f>
        <v/>
      </c>
      <c r="H94" s="3" t="str">
        <f>_xlfn.XLOOKUP(C94,customers!$A$1:$A$1001,customers!$G$1:$G$1001,,0)</f>
        <v>United States</v>
      </c>
      <c r="I94" s="4" t="str">
        <f>INDEX(products!$A$1:$G$49,MATCH(orders!$D94,products!$A$1:$A$49,0),MATCH(orders!I$1,products!$A$1:$G$1,0))</f>
        <v>Exc</v>
      </c>
      <c r="J94" s="4" t="str">
        <f>INDEX(products!$A$1:$G$49,MATCH(orders!$D94,products!$A$1:$A$49,0),MATCH(orders!J$1,products!$A$1:$G$1,0))</f>
        <v>L</v>
      </c>
      <c r="K94" s="6">
        <f>INDEX(products!$A$1:$G$49,MATCH(orders!$D94,products!$A$1:$A$49,0),MATCH(orders!K$1,products!$A$1:$G$1,0))</f>
        <v>1</v>
      </c>
      <c r="L94" s="7">
        <f>INDEX(products!$A$1:$G$49,MATCH(orders!$D94,products!$A$1:$A$49,0),MATCH(orders!L$1,products!$A$1:$G$1,0))</f>
        <v>14.85</v>
      </c>
      <c r="M94" s="7">
        <f t="shared" si="1"/>
        <v>44.55</v>
      </c>
      <c r="N94" s="4" t="str" cm="1">
        <f t="array" ref="N94">_xlfn.IFS(I94="Rob","Robusta",I94="Exc","Excelsa",I94="Ara","Arabica",I94="Lib","Liberica")</f>
        <v>Excelsa</v>
      </c>
      <c r="O94" s="4" t="str" cm="1">
        <f t="array" ref="O94">_xlfn.IFS(J94="M","Medium",J94="L","Light",J94="D","Dark")</f>
        <v>Light</v>
      </c>
      <c r="P94" s="4" t="str">
        <f>_xlfn.XLOOKUP(CoffeeOrderstable[[#This Row],[Customer ID]],customers!$A$1:$A$1001,customers!$I$1:$I$1001,,0)</f>
        <v>Yes</v>
      </c>
    </row>
    <row r="95" spans="1:16" x14ac:dyDescent="0.3">
      <c r="A95" s="3" t="s">
        <v>1012</v>
      </c>
      <c r="B95" s="5">
        <v>43538</v>
      </c>
      <c r="C95" s="3" t="s">
        <v>1013</v>
      </c>
      <c r="D95" s="4" t="s">
        <v>6176</v>
      </c>
      <c r="E95" s="3">
        <v>4</v>
      </c>
      <c r="F95" s="3" t="str">
        <f>_xlfn.XLOOKUP(C95,customers!$A$1:$A$1001,customers!$B$1:$B$1001,,0)</f>
        <v>Else Langcaster</v>
      </c>
      <c r="G95" s="3" t="str">
        <f>IF(_xlfn.XLOOKUP(C95,customers!$A$1:$A$1001,customers!$C$1:$C$1001,,0)=0,"", _xlfn.XLOOKUP(C95,customers!$A$1:$A$1001,customers!$C$1:$C$1001,,0))</f>
        <v>elangcaster2l@spotify.com</v>
      </c>
      <c r="H95" s="3" t="str">
        <f>_xlfn.XLOOKUP(C95,customers!$A$1:$A$1001,customers!$G$1:$G$1001,,0)</f>
        <v>United Kingdom</v>
      </c>
      <c r="I95" s="4" t="str">
        <f>INDEX(products!$A$1:$G$49,MATCH(orders!$D95,products!$A$1:$A$49,0),MATCH(orders!I$1,products!$A$1:$G$1,0))</f>
        <v>Exc</v>
      </c>
      <c r="J95" s="4" t="str">
        <f>INDEX(products!$A$1:$G$49,MATCH(orders!$D95,products!$A$1:$A$49,0),MATCH(orders!J$1,products!$A$1:$G$1,0))</f>
        <v>L</v>
      </c>
      <c r="K95" s="6">
        <f>INDEX(products!$A$1:$G$49,MATCH(orders!$D95,products!$A$1:$A$49,0),MATCH(orders!K$1,products!$A$1:$G$1,0))</f>
        <v>0.5</v>
      </c>
      <c r="L95" s="7">
        <f>INDEX(products!$A$1:$G$49,MATCH(orders!$D95,products!$A$1:$A$49,0),MATCH(orders!L$1,products!$A$1:$G$1,0))</f>
        <v>8.91</v>
      </c>
      <c r="M95" s="7">
        <f t="shared" si="1"/>
        <v>35.64</v>
      </c>
      <c r="N95" s="4" t="str" cm="1">
        <f t="array" ref="N95">_xlfn.IFS(I95="Rob","Robusta",I95="Exc","Excelsa",I95="Ara","Arabica",I95="Lib","Liberica")</f>
        <v>Excelsa</v>
      </c>
      <c r="O95" s="4" t="str" cm="1">
        <f t="array" ref="O95">_xlfn.IFS(J95="M","Medium",J95="L","Light",J95="D","Dark")</f>
        <v>Light</v>
      </c>
      <c r="P95" s="4" t="str">
        <f>_xlfn.XLOOKUP(CoffeeOrderstable[[#This Row],[Customer ID]],customers!$A$1:$A$1001,customers!$I$1:$I$1001,,0)</f>
        <v>Yes</v>
      </c>
    </row>
    <row r="96" spans="1:16" x14ac:dyDescent="0.3">
      <c r="A96" s="3" t="s">
        <v>1018</v>
      </c>
      <c r="B96" s="5">
        <v>44014</v>
      </c>
      <c r="C96" s="3" t="s">
        <v>1019</v>
      </c>
      <c r="D96" s="4" t="s">
        <v>6154</v>
      </c>
      <c r="E96" s="3">
        <v>6</v>
      </c>
      <c r="F96" s="3" t="str">
        <f>_xlfn.XLOOKUP(C96,customers!$A$1:$A$1001,customers!$B$1:$B$1001,,0)</f>
        <v>Rudy Farquharson</v>
      </c>
      <c r="G96" s="3" t="str">
        <f>IF(_xlfn.XLOOKUP(C96,customers!$A$1:$A$1001,customers!$C$1:$C$1001,,0)=0,"", _xlfn.XLOOKUP(C96,customers!$A$1:$A$1001,customers!$C$1:$C$1001,,0))</f>
        <v/>
      </c>
      <c r="H96" s="3" t="str">
        <f>_xlfn.XLOOKUP(C96,customers!$A$1:$A$1001,customers!$G$1:$G$1001,,0)</f>
        <v>Ireland</v>
      </c>
      <c r="I96" s="4" t="str">
        <f>INDEX(products!$A$1:$G$49,MATCH(orders!$D96,products!$A$1:$A$49,0),MATCH(orders!I$1,products!$A$1:$G$1,0))</f>
        <v>Ara</v>
      </c>
      <c r="J96" s="4" t="str">
        <f>INDEX(products!$A$1:$G$49,MATCH(orders!$D96,products!$A$1:$A$49,0),MATCH(orders!J$1,products!$A$1:$G$1,0))</f>
        <v>D</v>
      </c>
      <c r="K96" s="6">
        <f>INDEX(products!$A$1:$G$49,MATCH(orders!$D96,products!$A$1:$A$49,0),MATCH(orders!K$1,products!$A$1:$G$1,0))</f>
        <v>0.2</v>
      </c>
      <c r="L96" s="7">
        <f>INDEX(products!$A$1:$G$49,MATCH(orders!$D96,products!$A$1:$A$49,0),MATCH(orders!L$1,products!$A$1:$G$1,0))</f>
        <v>2.9849999999999999</v>
      </c>
      <c r="M96" s="7">
        <f t="shared" si="1"/>
        <v>17.91</v>
      </c>
      <c r="N96" s="4" t="str" cm="1">
        <f t="array" ref="N96">_xlfn.IFS(I96="Rob","Robusta",I96="Exc","Excelsa",I96="Ara","Arabica",I96="Lib","Liberica")</f>
        <v>Arabica</v>
      </c>
      <c r="O96" s="4" t="str" cm="1">
        <f t="array" ref="O96">_xlfn.IFS(J96="M","Medium",J96="L","Light",J96="D","Dark")</f>
        <v>Dark</v>
      </c>
      <c r="P96" s="4" t="str">
        <f>_xlfn.XLOOKUP(CoffeeOrderstable[[#This Row],[Customer ID]],customers!$A$1:$A$1001,customers!$I$1:$I$1001,,0)</f>
        <v>Yes</v>
      </c>
    </row>
    <row r="97" spans="1:16" x14ac:dyDescent="0.3">
      <c r="A97" s="3" t="s">
        <v>1022</v>
      </c>
      <c r="B97" s="5">
        <v>43816</v>
      </c>
      <c r="C97" s="3" t="s">
        <v>1023</v>
      </c>
      <c r="D97" s="4" t="s">
        <v>6175</v>
      </c>
      <c r="E97" s="3">
        <v>6</v>
      </c>
      <c r="F97" s="3" t="str">
        <f>_xlfn.XLOOKUP(C97,customers!$A$1:$A$1001,customers!$B$1:$B$1001,,0)</f>
        <v>Norene Magauran</v>
      </c>
      <c r="G97" s="3" t="str">
        <f>IF(_xlfn.XLOOKUP(C97,customers!$A$1:$A$1001,customers!$C$1:$C$1001,,0)=0,"", _xlfn.XLOOKUP(C97,customers!$A$1:$A$1001,customers!$C$1:$C$1001,,0))</f>
        <v>nmagauran2n@51.la</v>
      </c>
      <c r="H97" s="3" t="str">
        <f>_xlfn.XLOOKUP(C97,customers!$A$1:$A$1001,customers!$G$1:$G$1001,,0)</f>
        <v>United States</v>
      </c>
      <c r="I97" s="4" t="str">
        <f>INDEX(products!$A$1:$G$49,MATCH(orders!$D97,products!$A$1:$A$49,0),MATCH(orders!I$1,products!$A$1:$G$1,0))</f>
        <v>Ara</v>
      </c>
      <c r="J97" s="4" t="str">
        <f>INDEX(products!$A$1:$G$49,MATCH(orders!$D97,products!$A$1:$A$49,0),MATCH(orders!J$1,products!$A$1:$G$1,0))</f>
        <v>M</v>
      </c>
      <c r="K97" s="6">
        <f>INDEX(products!$A$1:$G$49,MATCH(orders!$D97,products!$A$1:$A$49,0),MATCH(orders!K$1,products!$A$1:$G$1,0))</f>
        <v>2.5</v>
      </c>
      <c r="L97" s="7">
        <f>INDEX(products!$A$1:$G$49,MATCH(orders!$D97,products!$A$1:$A$49,0),MATCH(orders!L$1,products!$A$1:$G$1,0))</f>
        <v>25.874999999999996</v>
      </c>
      <c r="M97" s="7">
        <f t="shared" si="1"/>
        <v>155.24999999999997</v>
      </c>
      <c r="N97" s="4" t="str" cm="1">
        <f t="array" ref="N97">_xlfn.IFS(I97="Rob","Robusta",I97="Exc","Excelsa",I97="Ara","Arabica",I97="Lib","Liberica")</f>
        <v>Arabica</v>
      </c>
      <c r="O97" s="4" t="str" cm="1">
        <f t="array" ref="O97">_xlfn.IFS(J97="M","Medium",J97="L","Light",J97="D","Dark")</f>
        <v>Medium</v>
      </c>
      <c r="P97" s="4" t="str">
        <f>_xlfn.XLOOKUP(CoffeeOrderstable[[#This Row],[Customer ID]],customers!$A$1:$A$1001,customers!$I$1:$I$1001,,0)</f>
        <v>No</v>
      </c>
    </row>
    <row r="98" spans="1:16" x14ac:dyDescent="0.3">
      <c r="A98" s="3" t="s">
        <v>1027</v>
      </c>
      <c r="B98" s="5">
        <v>44171</v>
      </c>
      <c r="C98" s="3" t="s">
        <v>1028</v>
      </c>
      <c r="D98" s="4" t="s">
        <v>6154</v>
      </c>
      <c r="E98" s="3">
        <v>2</v>
      </c>
      <c r="F98" s="3" t="str">
        <f>_xlfn.XLOOKUP(C98,customers!$A$1:$A$1001,customers!$B$1:$B$1001,,0)</f>
        <v>Vicki Kirdsch</v>
      </c>
      <c r="G98" s="3" t="str">
        <f>IF(_xlfn.XLOOKUP(C98,customers!$A$1:$A$1001,customers!$C$1:$C$1001,,0)=0,"", _xlfn.XLOOKUP(C98,customers!$A$1:$A$1001,customers!$C$1:$C$1001,,0))</f>
        <v>vkirdsch2o@google.fr</v>
      </c>
      <c r="H98" s="3" t="str">
        <f>_xlfn.XLOOKUP(C98,customers!$A$1:$A$1001,customers!$G$1:$G$1001,,0)</f>
        <v>United States</v>
      </c>
      <c r="I98" s="4" t="str">
        <f>INDEX(products!$A$1:$G$49,MATCH(orders!$D98,products!$A$1:$A$49,0),MATCH(orders!I$1,products!$A$1:$G$1,0))</f>
        <v>Ara</v>
      </c>
      <c r="J98" s="4" t="str">
        <f>INDEX(products!$A$1:$G$49,MATCH(orders!$D98,products!$A$1:$A$49,0),MATCH(orders!J$1,products!$A$1:$G$1,0))</f>
        <v>D</v>
      </c>
      <c r="K98" s="6">
        <f>INDEX(products!$A$1:$G$49,MATCH(orders!$D98,products!$A$1:$A$49,0),MATCH(orders!K$1,products!$A$1:$G$1,0))</f>
        <v>0.2</v>
      </c>
      <c r="L98" s="7">
        <f>INDEX(products!$A$1:$G$49,MATCH(orders!$D98,products!$A$1:$A$49,0),MATCH(orders!L$1,products!$A$1:$G$1,0))</f>
        <v>2.9849999999999999</v>
      </c>
      <c r="M98" s="7">
        <f t="shared" si="1"/>
        <v>5.97</v>
      </c>
      <c r="N98" s="4" t="str" cm="1">
        <f t="array" ref="N98">_xlfn.IFS(I98="Rob","Robusta",I98="Exc","Excelsa",I98="Ara","Arabica",I98="Lib","Liberica")</f>
        <v>Arabica</v>
      </c>
      <c r="O98" s="4" t="str" cm="1">
        <f t="array" ref="O98">_xlfn.IFS(J98="M","Medium",J98="L","Light",J98="D","Dark")</f>
        <v>Dark</v>
      </c>
      <c r="P98" s="4" t="str">
        <f>_xlfn.XLOOKUP(CoffeeOrderstable[[#This Row],[Customer ID]],customers!$A$1:$A$1001,customers!$I$1:$I$1001,,0)</f>
        <v>No</v>
      </c>
    </row>
    <row r="99" spans="1:16" x14ac:dyDescent="0.3">
      <c r="A99" s="3" t="s">
        <v>1032</v>
      </c>
      <c r="B99" s="5">
        <v>44259</v>
      </c>
      <c r="C99" s="3" t="s">
        <v>1033</v>
      </c>
      <c r="D99" s="4" t="s">
        <v>6157</v>
      </c>
      <c r="E99" s="3">
        <v>2</v>
      </c>
      <c r="F99" s="3" t="str">
        <f>_xlfn.XLOOKUP(C99,customers!$A$1:$A$1001,customers!$B$1:$B$1001,,0)</f>
        <v>Ilysa Whapple</v>
      </c>
      <c r="G99" s="3" t="str">
        <f>IF(_xlfn.XLOOKUP(C99,customers!$A$1:$A$1001,customers!$C$1:$C$1001,,0)=0,"", _xlfn.XLOOKUP(C99,customers!$A$1:$A$1001,customers!$C$1:$C$1001,,0))</f>
        <v>iwhapple2p@com.com</v>
      </c>
      <c r="H99" s="3" t="str">
        <f>_xlfn.XLOOKUP(C99,customers!$A$1:$A$1001,customers!$G$1:$G$1001,,0)</f>
        <v>United States</v>
      </c>
      <c r="I99" s="4" t="str">
        <f>INDEX(products!$A$1:$G$49,MATCH(orders!$D99,products!$A$1:$A$49,0),MATCH(orders!I$1,products!$A$1:$G$1,0))</f>
        <v>Ara</v>
      </c>
      <c r="J99" s="4" t="str">
        <f>INDEX(products!$A$1:$G$49,MATCH(orders!$D99,products!$A$1:$A$49,0),MATCH(orders!J$1,products!$A$1:$G$1,0))</f>
        <v>M</v>
      </c>
      <c r="K99" s="6">
        <f>INDEX(products!$A$1:$G$49,MATCH(orders!$D99,products!$A$1:$A$49,0),MATCH(orders!K$1,products!$A$1:$G$1,0))</f>
        <v>0.5</v>
      </c>
      <c r="L99" s="7">
        <f>INDEX(products!$A$1:$G$49,MATCH(orders!$D99,products!$A$1:$A$49,0),MATCH(orders!L$1,products!$A$1:$G$1,0))</f>
        <v>6.75</v>
      </c>
      <c r="M99" s="7">
        <f t="shared" si="1"/>
        <v>13.5</v>
      </c>
      <c r="N99" s="4" t="str" cm="1">
        <f t="array" ref="N99">_xlfn.IFS(I99="Rob","Robusta",I99="Exc","Excelsa",I99="Ara","Arabica",I99="Lib","Liberica")</f>
        <v>Arabica</v>
      </c>
      <c r="O99" s="4" t="str" cm="1">
        <f t="array" ref="O99">_xlfn.IFS(J99="M","Medium",J99="L","Light",J99="D","Dark")</f>
        <v>Medium</v>
      </c>
      <c r="P99" s="4" t="str">
        <f>_xlfn.XLOOKUP(CoffeeOrderstable[[#This Row],[Customer ID]],customers!$A$1:$A$1001,customers!$I$1:$I$1001,,0)</f>
        <v>No</v>
      </c>
    </row>
    <row r="100" spans="1:16" x14ac:dyDescent="0.3">
      <c r="A100" s="3" t="s">
        <v>1038</v>
      </c>
      <c r="B100" s="5">
        <v>44394</v>
      </c>
      <c r="C100" s="3" t="s">
        <v>1039</v>
      </c>
      <c r="D100" s="4" t="s">
        <v>6154</v>
      </c>
      <c r="E100" s="3">
        <v>1</v>
      </c>
      <c r="F100" s="3" t="str">
        <f>_xlfn.XLOOKUP(C100,customers!$A$1:$A$1001,customers!$B$1:$B$1001,,0)</f>
        <v>Ruy Cancellieri</v>
      </c>
      <c r="G100" s="3" t="str">
        <f>IF(_xlfn.XLOOKUP(C100,customers!$A$1:$A$1001,customers!$C$1:$C$1001,,0)=0,"", _xlfn.XLOOKUP(C100,customers!$A$1:$A$1001,customers!$C$1:$C$1001,,0))</f>
        <v/>
      </c>
      <c r="H100" s="3" t="str">
        <f>_xlfn.XLOOKUP(C100,customers!$A$1:$A$1001,customers!$G$1:$G$1001,,0)</f>
        <v>Ireland</v>
      </c>
      <c r="I100" s="4" t="str">
        <f>INDEX(products!$A$1:$G$49,MATCH(orders!$D100,products!$A$1:$A$49,0),MATCH(orders!I$1,products!$A$1:$G$1,0))</f>
        <v>Ara</v>
      </c>
      <c r="J100" s="4" t="str">
        <f>INDEX(products!$A$1:$G$49,MATCH(orders!$D100,products!$A$1:$A$49,0),MATCH(orders!J$1,products!$A$1:$G$1,0))</f>
        <v>D</v>
      </c>
      <c r="K100" s="6">
        <f>INDEX(products!$A$1:$G$49,MATCH(orders!$D100,products!$A$1:$A$49,0),MATCH(orders!K$1,products!$A$1:$G$1,0))</f>
        <v>0.2</v>
      </c>
      <c r="L100" s="7">
        <f>INDEX(products!$A$1:$G$49,MATCH(orders!$D100,products!$A$1:$A$49,0),MATCH(orders!L$1,products!$A$1:$G$1,0))</f>
        <v>2.9849999999999999</v>
      </c>
      <c r="M100" s="7">
        <f t="shared" si="1"/>
        <v>2.9849999999999999</v>
      </c>
      <c r="N100" s="4" t="str" cm="1">
        <f t="array" ref="N100">_xlfn.IFS(I100="Rob","Robusta",I100="Exc","Excelsa",I100="Ara","Arabica",I100="Lib","Liberica")</f>
        <v>Arabica</v>
      </c>
      <c r="O100" s="4" t="str" cm="1">
        <f t="array" ref="O100">_xlfn.IFS(J100="M","Medium",J100="L","Light",J100="D","Dark")</f>
        <v>Dark</v>
      </c>
      <c r="P100" s="4" t="str">
        <f>_xlfn.XLOOKUP(CoffeeOrderstable[[#This Row],[Customer ID]],customers!$A$1:$A$1001,customers!$I$1:$I$1001,,0)</f>
        <v>No</v>
      </c>
    </row>
    <row r="101" spans="1:16" x14ac:dyDescent="0.3">
      <c r="A101" s="3" t="s">
        <v>1043</v>
      </c>
      <c r="B101" s="5">
        <v>44139</v>
      </c>
      <c r="C101" s="3" t="s">
        <v>1044</v>
      </c>
      <c r="D101" s="4" t="s">
        <v>6159</v>
      </c>
      <c r="E101" s="3">
        <v>3</v>
      </c>
      <c r="F101" s="3" t="str">
        <f>_xlfn.XLOOKUP(C101,customers!$A$1:$A$1001,customers!$B$1:$B$1001,,0)</f>
        <v>Aube Follett</v>
      </c>
      <c r="G101" s="3" t="str">
        <f>IF(_xlfn.XLOOKUP(C101,customers!$A$1:$A$1001,customers!$C$1:$C$1001,,0)=0,"", _xlfn.XLOOKUP(C101,customers!$A$1:$A$1001,customers!$C$1:$C$1001,,0))</f>
        <v/>
      </c>
      <c r="H101" s="3" t="str">
        <f>_xlfn.XLOOKUP(C101,customers!$A$1:$A$1001,customers!$G$1:$G$1001,,0)</f>
        <v>United States</v>
      </c>
      <c r="I101" s="4" t="str">
        <f>INDEX(products!$A$1:$G$49,MATCH(orders!$D101,products!$A$1:$A$49,0),MATCH(orders!I$1,products!$A$1:$G$1,0))</f>
        <v>Lib</v>
      </c>
      <c r="J101" s="4" t="str">
        <f>INDEX(products!$A$1:$G$49,MATCH(orders!$D101,products!$A$1:$A$49,0),MATCH(orders!J$1,products!$A$1:$G$1,0))</f>
        <v>M</v>
      </c>
      <c r="K101" s="6">
        <f>INDEX(products!$A$1:$G$49,MATCH(orders!$D101,products!$A$1:$A$49,0),MATCH(orders!K$1,products!$A$1:$G$1,0))</f>
        <v>0.2</v>
      </c>
      <c r="L101" s="7">
        <f>INDEX(products!$A$1:$G$49,MATCH(orders!$D101,products!$A$1:$A$49,0),MATCH(orders!L$1,products!$A$1:$G$1,0))</f>
        <v>4.3650000000000002</v>
      </c>
      <c r="M101" s="7">
        <f t="shared" si="1"/>
        <v>13.095000000000001</v>
      </c>
      <c r="N101" s="4" t="str" cm="1">
        <f t="array" ref="N101">_xlfn.IFS(I101="Rob","Robusta",I101="Exc","Excelsa",I101="Ara","Arabica",I101="Lib","Liberica")</f>
        <v>Liberica</v>
      </c>
      <c r="O101" s="4" t="str" cm="1">
        <f t="array" ref="O101">_xlfn.IFS(J101="M","Medium",J101="L","Light",J101="D","Dark")</f>
        <v>Medium</v>
      </c>
      <c r="P101" s="4" t="str">
        <f>_xlfn.XLOOKUP(CoffeeOrderstable[[#This Row],[Customer ID]],customers!$A$1:$A$1001,customers!$I$1:$I$1001,,0)</f>
        <v>Yes</v>
      </c>
    </row>
    <row r="102" spans="1:16" x14ac:dyDescent="0.3">
      <c r="A102" s="3" t="s">
        <v>1048</v>
      </c>
      <c r="B102" s="5">
        <v>44291</v>
      </c>
      <c r="C102" s="3" t="s">
        <v>1049</v>
      </c>
      <c r="D102" s="4" t="s">
        <v>6167</v>
      </c>
      <c r="E102" s="3">
        <v>2</v>
      </c>
      <c r="F102" s="3" t="str">
        <f>_xlfn.XLOOKUP(C102,customers!$A$1:$A$1001,customers!$B$1:$B$1001,,0)</f>
        <v>Rudiger Di Bartolomeo</v>
      </c>
      <c r="G102" s="3" t="str">
        <f>IF(_xlfn.XLOOKUP(C102,customers!$A$1:$A$1001,customers!$C$1:$C$1001,,0)=0,"", _xlfn.XLOOKUP(C102,customers!$A$1:$A$1001,customers!$C$1:$C$1001,,0))</f>
        <v/>
      </c>
      <c r="H102" s="3" t="str">
        <f>_xlfn.XLOOKUP(C102,customers!$A$1:$A$1001,customers!$G$1:$G$1001,,0)</f>
        <v>United States</v>
      </c>
      <c r="I102" s="4" t="str">
        <f>INDEX(products!$A$1:$G$49,MATCH(orders!$D102,products!$A$1:$A$49,0),MATCH(orders!I$1,products!$A$1:$G$1,0))</f>
        <v>Ara</v>
      </c>
      <c r="J102" s="4" t="str">
        <f>INDEX(products!$A$1:$G$49,MATCH(orders!$D102,products!$A$1:$A$49,0),MATCH(orders!J$1,products!$A$1:$G$1,0))</f>
        <v>L</v>
      </c>
      <c r="K102" s="6">
        <f>INDEX(products!$A$1:$G$49,MATCH(orders!$D102,products!$A$1:$A$49,0),MATCH(orders!K$1,products!$A$1:$G$1,0))</f>
        <v>0.2</v>
      </c>
      <c r="L102" s="7">
        <f>INDEX(products!$A$1:$G$49,MATCH(orders!$D102,products!$A$1:$A$49,0),MATCH(orders!L$1,products!$A$1:$G$1,0))</f>
        <v>3.8849999999999998</v>
      </c>
      <c r="M102" s="7">
        <f t="shared" si="1"/>
        <v>7.77</v>
      </c>
      <c r="N102" s="4" t="str" cm="1">
        <f t="array" ref="N102">_xlfn.IFS(I102="Rob","Robusta",I102="Exc","Excelsa",I102="Ara","Arabica",I102="Lib","Liberica")</f>
        <v>Arabica</v>
      </c>
      <c r="O102" s="4" t="str" cm="1">
        <f t="array" ref="O102">_xlfn.IFS(J102="M","Medium",J102="L","Light",J102="D","Dark")</f>
        <v>Light</v>
      </c>
      <c r="P102" s="4" t="str">
        <f>_xlfn.XLOOKUP(CoffeeOrderstable[[#This Row],[Customer ID]],customers!$A$1:$A$1001,customers!$I$1:$I$1001,,0)</f>
        <v>Yes</v>
      </c>
    </row>
    <row r="103" spans="1:16" x14ac:dyDescent="0.3">
      <c r="A103" s="3" t="s">
        <v>1053</v>
      </c>
      <c r="B103" s="5">
        <v>43891</v>
      </c>
      <c r="C103" s="3" t="s">
        <v>1054</v>
      </c>
      <c r="D103" s="4" t="s">
        <v>6165</v>
      </c>
      <c r="E103" s="3">
        <v>5</v>
      </c>
      <c r="F103" s="3" t="str">
        <f>_xlfn.XLOOKUP(C103,customers!$A$1:$A$1001,customers!$B$1:$B$1001,,0)</f>
        <v>Nickey Youles</v>
      </c>
      <c r="G103" s="3" t="str">
        <f>IF(_xlfn.XLOOKUP(C103,customers!$A$1:$A$1001,customers!$C$1:$C$1001,,0)=0,"", _xlfn.XLOOKUP(C103,customers!$A$1:$A$1001,customers!$C$1:$C$1001,,0))</f>
        <v>nyoules2t@reference.com</v>
      </c>
      <c r="H103" s="3" t="str">
        <f>_xlfn.XLOOKUP(C103,customers!$A$1:$A$1001,customers!$G$1:$G$1001,,0)</f>
        <v>Ireland</v>
      </c>
      <c r="I103" s="4" t="str">
        <f>INDEX(products!$A$1:$G$49,MATCH(orders!$D103,products!$A$1:$A$49,0),MATCH(orders!I$1,products!$A$1:$G$1,0))</f>
        <v>Lib</v>
      </c>
      <c r="J103" s="4" t="str">
        <f>INDEX(products!$A$1:$G$49,MATCH(orders!$D103,products!$A$1:$A$49,0),MATCH(orders!J$1,products!$A$1:$G$1,0))</f>
        <v>D</v>
      </c>
      <c r="K103" s="6">
        <f>INDEX(products!$A$1:$G$49,MATCH(orders!$D103,products!$A$1:$A$49,0),MATCH(orders!K$1,products!$A$1:$G$1,0))</f>
        <v>2.5</v>
      </c>
      <c r="L103" s="7">
        <f>INDEX(products!$A$1:$G$49,MATCH(orders!$D103,products!$A$1:$A$49,0),MATCH(orders!L$1,products!$A$1:$G$1,0))</f>
        <v>29.784999999999997</v>
      </c>
      <c r="M103" s="7">
        <f t="shared" si="1"/>
        <v>148.92499999999998</v>
      </c>
      <c r="N103" s="4" t="str" cm="1">
        <f t="array" ref="N103">_xlfn.IFS(I103="Rob","Robusta",I103="Exc","Excelsa",I103="Ara","Arabica",I103="Lib","Liberica")</f>
        <v>Liberica</v>
      </c>
      <c r="O103" s="4" t="str" cm="1">
        <f t="array" ref="O103">_xlfn.IFS(J103="M","Medium",J103="L","Light",J103="D","Dark")</f>
        <v>Dark</v>
      </c>
      <c r="P103" s="4" t="str">
        <f>_xlfn.XLOOKUP(CoffeeOrderstable[[#This Row],[Customer ID]],customers!$A$1:$A$1001,customers!$I$1:$I$1001,,0)</f>
        <v>Yes</v>
      </c>
    </row>
    <row r="104" spans="1:16" x14ac:dyDescent="0.3">
      <c r="A104" s="3" t="s">
        <v>1059</v>
      </c>
      <c r="B104" s="5">
        <v>44488</v>
      </c>
      <c r="C104" s="3" t="s">
        <v>1060</v>
      </c>
      <c r="D104" s="4" t="s">
        <v>6143</v>
      </c>
      <c r="E104" s="3">
        <v>3</v>
      </c>
      <c r="F104" s="3" t="str">
        <f>_xlfn.XLOOKUP(C104,customers!$A$1:$A$1001,customers!$B$1:$B$1001,,0)</f>
        <v>Dyanna Aizikovitz</v>
      </c>
      <c r="G104" s="3" t="str">
        <f>IF(_xlfn.XLOOKUP(C104,customers!$A$1:$A$1001,customers!$C$1:$C$1001,,0)=0,"", _xlfn.XLOOKUP(C104,customers!$A$1:$A$1001,customers!$C$1:$C$1001,,0))</f>
        <v>daizikovitz2u@answers.com</v>
      </c>
      <c r="H104" s="3" t="str">
        <f>_xlfn.XLOOKUP(C104,customers!$A$1:$A$1001,customers!$G$1:$G$1001,,0)</f>
        <v>Ireland</v>
      </c>
      <c r="I104" s="4" t="str">
        <f>INDEX(products!$A$1:$G$49,MATCH(orders!$D104,products!$A$1:$A$49,0),MATCH(orders!I$1,products!$A$1:$G$1,0))</f>
        <v>Lib</v>
      </c>
      <c r="J104" s="4" t="str">
        <f>INDEX(products!$A$1:$G$49,MATCH(orders!$D104,products!$A$1:$A$49,0),MATCH(orders!J$1,products!$A$1:$G$1,0))</f>
        <v>D</v>
      </c>
      <c r="K104" s="6">
        <f>INDEX(products!$A$1:$G$49,MATCH(orders!$D104,products!$A$1:$A$49,0),MATCH(orders!K$1,products!$A$1:$G$1,0))</f>
        <v>1</v>
      </c>
      <c r="L104" s="7">
        <f>INDEX(products!$A$1:$G$49,MATCH(orders!$D104,products!$A$1:$A$49,0),MATCH(orders!L$1,products!$A$1:$G$1,0))</f>
        <v>12.95</v>
      </c>
      <c r="M104" s="7">
        <f t="shared" si="1"/>
        <v>38.849999999999994</v>
      </c>
      <c r="N104" s="4" t="str" cm="1">
        <f t="array" ref="N104">_xlfn.IFS(I104="Rob","Robusta",I104="Exc","Excelsa",I104="Ara","Arabica",I104="Lib","Liberica")</f>
        <v>Liberica</v>
      </c>
      <c r="O104" s="4" t="str" cm="1">
        <f t="array" ref="O104">_xlfn.IFS(J104="M","Medium",J104="L","Light",J104="D","Dark")</f>
        <v>Dark</v>
      </c>
      <c r="P104" s="4" t="str">
        <f>_xlfn.XLOOKUP(CoffeeOrderstable[[#This Row],[Customer ID]],customers!$A$1:$A$1001,customers!$I$1:$I$1001,,0)</f>
        <v>Yes</v>
      </c>
    </row>
    <row r="105" spans="1:16" x14ac:dyDescent="0.3">
      <c r="A105" s="3" t="s">
        <v>1065</v>
      </c>
      <c r="B105" s="5">
        <v>44750</v>
      </c>
      <c r="C105" s="3" t="s">
        <v>1066</v>
      </c>
      <c r="D105" s="4" t="s">
        <v>6174</v>
      </c>
      <c r="E105" s="3">
        <v>4</v>
      </c>
      <c r="F105" s="3" t="str">
        <f>_xlfn.XLOOKUP(C105,customers!$A$1:$A$1001,customers!$B$1:$B$1001,,0)</f>
        <v>Bram Revel</v>
      </c>
      <c r="G105" s="3" t="str">
        <f>IF(_xlfn.XLOOKUP(C105,customers!$A$1:$A$1001,customers!$C$1:$C$1001,,0)=0,"", _xlfn.XLOOKUP(C105,customers!$A$1:$A$1001,customers!$C$1:$C$1001,,0))</f>
        <v>brevel2v@fastcompany.com</v>
      </c>
      <c r="H105" s="3" t="str">
        <f>_xlfn.XLOOKUP(C105,customers!$A$1:$A$1001,customers!$G$1:$G$1001,,0)</f>
        <v>United States</v>
      </c>
      <c r="I105" s="4" t="str">
        <f>INDEX(products!$A$1:$G$49,MATCH(orders!$D105,products!$A$1:$A$49,0),MATCH(orders!I$1,products!$A$1:$G$1,0))</f>
        <v>Rob</v>
      </c>
      <c r="J105" s="4" t="str">
        <f>INDEX(products!$A$1:$G$49,MATCH(orders!$D105,products!$A$1:$A$49,0),MATCH(orders!J$1,products!$A$1:$G$1,0))</f>
        <v>M</v>
      </c>
      <c r="K105" s="6">
        <f>INDEX(products!$A$1:$G$49,MATCH(orders!$D105,products!$A$1:$A$49,0),MATCH(orders!K$1,products!$A$1:$G$1,0))</f>
        <v>0.2</v>
      </c>
      <c r="L105" s="7">
        <f>INDEX(products!$A$1:$G$49,MATCH(orders!$D105,products!$A$1:$A$49,0),MATCH(orders!L$1,products!$A$1:$G$1,0))</f>
        <v>2.9849999999999999</v>
      </c>
      <c r="M105" s="7">
        <f t="shared" si="1"/>
        <v>11.94</v>
      </c>
      <c r="N105" s="4" t="str" cm="1">
        <f t="array" ref="N105">_xlfn.IFS(I105="Rob","Robusta",I105="Exc","Excelsa",I105="Ara","Arabica",I105="Lib","Liberica")</f>
        <v>Robusta</v>
      </c>
      <c r="O105" s="4" t="str" cm="1">
        <f t="array" ref="O105">_xlfn.IFS(J105="M","Medium",J105="L","Light",J105="D","Dark")</f>
        <v>Medium</v>
      </c>
      <c r="P105" s="4" t="str">
        <f>_xlfn.XLOOKUP(CoffeeOrderstable[[#This Row],[Customer ID]],customers!$A$1:$A$1001,customers!$I$1:$I$1001,,0)</f>
        <v>No</v>
      </c>
    </row>
    <row r="106" spans="1:16" x14ac:dyDescent="0.3">
      <c r="A106" s="3" t="s">
        <v>1071</v>
      </c>
      <c r="B106" s="5">
        <v>43694</v>
      </c>
      <c r="C106" s="3" t="s">
        <v>1072</v>
      </c>
      <c r="D106" s="4" t="s">
        <v>6162</v>
      </c>
      <c r="E106" s="3">
        <v>6</v>
      </c>
      <c r="F106" s="3" t="str">
        <f>_xlfn.XLOOKUP(C106,customers!$A$1:$A$1001,customers!$B$1:$B$1001,,0)</f>
        <v>Emiline Priddis</v>
      </c>
      <c r="G106" s="3" t="str">
        <f>IF(_xlfn.XLOOKUP(C106,customers!$A$1:$A$1001,customers!$C$1:$C$1001,,0)=0,"", _xlfn.XLOOKUP(C106,customers!$A$1:$A$1001,customers!$C$1:$C$1001,,0))</f>
        <v>epriddis2w@nationalgeographic.com</v>
      </c>
      <c r="H106" s="3" t="str">
        <f>_xlfn.XLOOKUP(C106,customers!$A$1:$A$1001,customers!$G$1:$G$1001,,0)</f>
        <v>United States</v>
      </c>
      <c r="I106" s="4" t="str">
        <f>INDEX(products!$A$1:$G$49,MATCH(orders!$D106,products!$A$1:$A$49,0),MATCH(orders!I$1,products!$A$1:$G$1,0))</f>
        <v>Lib</v>
      </c>
      <c r="J106" s="4" t="str">
        <f>INDEX(products!$A$1:$G$49,MATCH(orders!$D106,products!$A$1:$A$49,0),MATCH(orders!J$1,products!$A$1:$G$1,0))</f>
        <v>M</v>
      </c>
      <c r="K106" s="6">
        <f>INDEX(products!$A$1:$G$49,MATCH(orders!$D106,products!$A$1:$A$49,0),MATCH(orders!K$1,products!$A$1:$G$1,0))</f>
        <v>1</v>
      </c>
      <c r="L106" s="7">
        <f>INDEX(products!$A$1:$G$49,MATCH(orders!$D106,products!$A$1:$A$49,0),MATCH(orders!L$1,products!$A$1:$G$1,0))</f>
        <v>14.55</v>
      </c>
      <c r="M106" s="7">
        <f t="shared" si="1"/>
        <v>87.300000000000011</v>
      </c>
      <c r="N106" s="4" t="str" cm="1">
        <f t="array" ref="N106">_xlfn.IFS(I106="Rob","Robusta",I106="Exc","Excelsa",I106="Ara","Arabica",I106="Lib","Liberica")</f>
        <v>Liberica</v>
      </c>
      <c r="O106" s="4" t="str" cm="1">
        <f t="array" ref="O106">_xlfn.IFS(J106="M","Medium",J106="L","Light",J106="D","Dark")</f>
        <v>Medium</v>
      </c>
      <c r="P106" s="4" t="str">
        <f>_xlfn.XLOOKUP(CoffeeOrderstable[[#This Row],[Customer ID]],customers!$A$1:$A$1001,customers!$I$1:$I$1001,,0)</f>
        <v>No</v>
      </c>
    </row>
    <row r="107" spans="1:16" x14ac:dyDescent="0.3">
      <c r="A107" s="3" t="s">
        <v>1077</v>
      </c>
      <c r="B107" s="5">
        <v>43982</v>
      </c>
      <c r="C107" s="3" t="s">
        <v>1078</v>
      </c>
      <c r="D107" s="4" t="s">
        <v>6157</v>
      </c>
      <c r="E107" s="3">
        <v>6</v>
      </c>
      <c r="F107" s="3" t="str">
        <f>_xlfn.XLOOKUP(C107,customers!$A$1:$A$1001,customers!$B$1:$B$1001,,0)</f>
        <v>Queenie Veel</v>
      </c>
      <c r="G107" s="3" t="str">
        <f>IF(_xlfn.XLOOKUP(C107,customers!$A$1:$A$1001,customers!$C$1:$C$1001,,0)=0,"", _xlfn.XLOOKUP(C107,customers!$A$1:$A$1001,customers!$C$1:$C$1001,,0))</f>
        <v>qveel2x@jugem.jp</v>
      </c>
      <c r="H107" s="3" t="str">
        <f>_xlfn.XLOOKUP(C107,customers!$A$1:$A$1001,customers!$G$1:$G$1001,,0)</f>
        <v>United States</v>
      </c>
      <c r="I107" s="4" t="str">
        <f>INDEX(products!$A$1:$G$49,MATCH(orders!$D107,products!$A$1:$A$49,0),MATCH(orders!I$1,products!$A$1:$G$1,0))</f>
        <v>Ara</v>
      </c>
      <c r="J107" s="4" t="str">
        <f>INDEX(products!$A$1:$G$49,MATCH(orders!$D107,products!$A$1:$A$49,0),MATCH(orders!J$1,products!$A$1:$G$1,0))</f>
        <v>M</v>
      </c>
      <c r="K107" s="6">
        <f>INDEX(products!$A$1:$G$49,MATCH(orders!$D107,products!$A$1:$A$49,0),MATCH(orders!K$1,products!$A$1:$G$1,0))</f>
        <v>0.5</v>
      </c>
      <c r="L107" s="7">
        <f>INDEX(products!$A$1:$G$49,MATCH(orders!$D107,products!$A$1:$A$49,0),MATCH(orders!L$1,products!$A$1:$G$1,0))</f>
        <v>6.75</v>
      </c>
      <c r="M107" s="7">
        <f t="shared" si="1"/>
        <v>40.5</v>
      </c>
      <c r="N107" s="4" t="str" cm="1">
        <f t="array" ref="N107">_xlfn.IFS(I107="Rob","Robusta",I107="Exc","Excelsa",I107="Ara","Arabica",I107="Lib","Liberica")</f>
        <v>Arabica</v>
      </c>
      <c r="O107" s="4" t="str" cm="1">
        <f t="array" ref="O107">_xlfn.IFS(J107="M","Medium",J107="L","Light",J107="D","Dark")</f>
        <v>Medium</v>
      </c>
      <c r="P107" s="4" t="str">
        <f>_xlfn.XLOOKUP(CoffeeOrderstable[[#This Row],[Customer ID]],customers!$A$1:$A$1001,customers!$I$1:$I$1001,,0)</f>
        <v>Yes</v>
      </c>
    </row>
    <row r="108" spans="1:16" x14ac:dyDescent="0.3">
      <c r="A108" s="3" t="s">
        <v>1083</v>
      </c>
      <c r="B108" s="5">
        <v>43956</v>
      </c>
      <c r="C108" s="3" t="s">
        <v>1084</v>
      </c>
      <c r="D108" s="4" t="s">
        <v>6183</v>
      </c>
      <c r="E108" s="3">
        <v>2</v>
      </c>
      <c r="F108" s="3" t="str">
        <f>_xlfn.XLOOKUP(C108,customers!$A$1:$A$1001,customers!$B$1:$B$1001,,0)</f>
        <v>Lind Conyers</v>
      </c>
      <c r="G108" s="3" t="str">
        <f>IF(_xlfn.XLOOKUP(C108,customers!$A$1:$A$1001,customers!$C$1:$C$1001,,0)=0,"", _xlfn.XLOOKUP(C108,customers!$A$1:$A$1001,customers!$C$1:$C$1001,,0))</f>
        <v>lconyers2y@twitter.com</v>
      </c>
      <c r="H108" s="3" t="str">
        <f>_xlfn.XLOOKUP(C108,customers!$A$1:$A$1001,customers!$G$1:$G$1001,,0)</f>
        <v>United States</v>
      </c>
      <c r="I108" s="4" t="str">
        <f>INDEX(products!$A$1:$G$49,MATCH(orders!$D108,products!$A$1:$A$49,0),MATCH(orders!I$1,products!$A$1:$G$1,0))</f>
        <v>Exc</v>
      </c>
      <c r="J108" s="4" t="str">
        <f>INDEX(products!$A$1:$G$49,MATCH(orders!$D108,products!$A$1:$A$49,0),MATCH(orders!J$1,products!$A$1:$G$1,0))</f>
        <v>D</v>
      </c>
      <c r="K108" s="6">
        <f>INDEX(products!$A$1:$G$49,MATCH(orders!$D108,products!$A$1:$A$49,0),MATCH(orders!K$1,products!$A$1:$G$1,0))</f>
        <v>1</v>
      </c>
      <c r="L108" s="7">
        <f>INDEX(products!$A$1:$G$49,MATCH(orders!$D108,products!$A$1:$A$49,0),MATCH(orders!L$1,products!$A$1:$G$1,0))</f>
        <v>12.15</v>
      </c>
      <c r="M108" s="7">
        <f t="shared" si="1"/>
        <v>24.3</v>
      </c>
      <c r="N108" s="4" t="str" cm="1">
        <f t="array" ref="N108">_xlfn.IFS(I108="Rob","Robusta",I108="Exc","Excelsa",I108="Ara","Arabica",I108="Lib","Liberica")</f>
        <v>Excelsa</v>
      </c>
      <c r="O108" s="4" t="str" cm="1">
        <f t="array" ref="O108">_xlfn.IFS(J108="M","Medium",J108="L","Light",J108="D","Dark")</f>
        <v>Dark</v>
      </c>
      <c r="P108" s="4" t="str">
        <f>_xlfn.XLOOKUP(CoffeeOrderstable[[#This Row],[Customer ID]],customers!$A$1:$A$1001,customers!$I$1:$I$1001,,0)</f>
        <v>No</v>
      </c>
    </row>
    <row r="109" spans="1:16" x14ac:dyDescent="0.3">
      <c r="A109" s="3" t="s">
        <v>1089</v>
      </c>
      <c r="B109" s="5">
        <v>43569</v>
      </c>
      <c r="C109" s="3" t="s">
        <v>1090</v>
      </c>
      <c r="D109" s="4" t="s">
        <v>6146</v>
      </c>
      <c r="E109" s="3">
        <v>3</v>
      </c>
      <c r="F109" s="3" t="str">
        <f>_xlfn.XLOOKUP(C109,customers!$A$1:$A$1001,customers!$B$1:$B$1001,,0)</f>
        <v>Pen Wye</v>
      </c>
      <c r="G109" s="3" t="str">
        <f>IF(_xlfn.XLOOKUP(C109,customers!$A$1:$A$1001,customers!$C$1:$C$1001,,0)=0,"", _xlfn.XLOOKUP(C109,customers!$A$1:$A$1001,customers!$C$1:$C$1001,,0))</f>
        <v>pwye2z@dagondesign.com</v>
      </c>
      <c r="H109" s="3" t="str">
        <f>_xlfn.XLOOKUP(C109,customers!$A$1:$A$1001,customers!$G$1:$G$1001,,0)</f>
        <v>United States</v>
      </c>
      <c r="I109" s="4" t="str">
        <f>INDEX(products!$A$1:$G$49,MATCH(orders!$D109,products!$A$1:$A$49,0),MATCH(orders!I$1,products!$A$1:$G$1,0))</f>
        <v>Rob</v>
      </c>
      <c r="J109" s="4" t="str">
        <f>INDEX(products!$A$1:$G$49,MATCH(orders!$D109,products!$A$1:$A$49,0),MATCH(orders!J$1,products!$A$1:$G$1,0))</f>
        <v>M</v>
      </c>
      <c r="K109" s="6">
        <f>INDEX(products!$A$1:$G$49,MATCH(orders!$D109,products!$A$1:$A$49,0),MATCH(orders!K$1,products!$A$1:$G$1,0))</f>
        <v>0.5</v>
      </c>
      <c r="L109" s="7">
        <f>INDEX(products!$A$1:$G$49,MATCH(orders!$D109,products!$A$1:$A$49,0),MATCH(orders!L$1,products!$A$1:$G$1,0))</f>
        <v>5.97</v>
      </c>
      <c r="M109" s="7">
        <f t="shared" si="1"/>
        <v>17.91</v>
      </c>
      <c r="N109" s="4" t="str" cm="1">
        <f t="array" ref="N109">_xlfn.IFS(I109="Rob","Robusta",I109="Exc","Excelsa",I109="Ara","Arabica",I109="Lib","Liberica")</f>
        <v>Robusta</v>
      </c>
      <c r="O109" s="4" t="str" cm="1">
        <f t="array" ref="O109">_xlfn.IFS(J109="M","Medium",J109="L","Light",J109="D","Dark")</f>
        <v>Medium</v>
      </c>
      <c r="P109" s="4" t="str">
        <f>_xlfn.XLOOKUP(CoffeeOrderstable[[#This Row],[Customer ID]],customers!$A$1:$A$1001,customers!$I$1:$I$1001,,0)</f>
        <v>Yes</v>
      </c>
    </row>
    <row r="110" spans="1:16" x14ac:dyDescent="0.3">
      <c r="A110" s="3" t="s">
        <v>1095</v>
      </c>
      <c r="B110" s="5">
        <v>44041</v>
      </c>
      <c r="C110" s="3" t="s">
        <v>1096</v>
      </c>
      <c r="D110" s="4" t="s">
        <v>6157</v>
      </c>
      <c r="E110" s="3">
        <v>4</v>
      </c>
      <c r="F110" s="3" t="str">
        <f>_xlfn.XLOOKUP(C110,customers!$A$1:$A$1001,customers!$B$1:$B$1001,,0)</f>
        <v>Isahella Hagland</v>
      </c>
      <c r="G110" s="3" t="str">
        <f>IF(_xlfn.XLOOKUP(C110,customers!$A$1:$A$1001,customers!$C$1:$C$1001,,0)=0,"", _xlfn.XLOOKUP(C110,customers!$A$1:$A$1001,customers!$C$1:$C$1001,,0))</f>
        <v/>
      </c>
      <c r="H110" s="3" t="str">
        <f>_xlfn.XLOOKUP(C110,customers!$A$1:$A$1001,customers!$G$1:$G$1001,,0)</f>
        <v>United States</v>
      </c>
      <c r="I110" s="4" t="str">
        <f>INDEX(products!$A$1:$G$49,MATCH(orders!$D110,products!$A$1:$A$49,0),MATCH(orders!I$1,products!$A$1:$G$1,0))</f>
        <v>Ara</v>
      </c>
      <c r="J110" s="4" t="str">
        <f>INDEX(products!$A$1:$G$49,MATCH(orders!$D110,products!$A$1:$A$49,0),MATCH(orders!J$1,products!$A$1:$G$1,0))</f>
        <v>M</v>
      </c>
      <c r="K110" s="6">
        <f>INDEX(products!$A$1:$G$49,MATCH(orders!$D110,products!$A$1:$A$49,0),MATCH(orders!K$1,products!$A$1:$G$1,0))</f>
        <v>0.5</v>
      </c>
      <c r="L110" s="7">
        <f>INDEX(products!$A$1:$G$49,MATCH(orders!$D110,products!$A$1:$A$49,0),MATCH(orders!L$1,products!$A$1:$G$1,0))</f>
        <v>6.75</v>
      </c>
      <c r="M110" s="7">
        <f t="shared" si="1"/>
        <v>27</v>
      </c>
      <c r="N110" s="4" t="str" cm="1">
        <f t="array" ref="N110">_xlfn.IFS(I110="Rob","Robusta",I110="Exc","Excelsa",I110="Ara","Arabica",I110="Lib","Liberica")</f>
        <v>Arabica</v>
      </c>
      <c r="O110" s="4" t="str" cm="1">
        <f t="array" ref="O110">_xlfn.IFS(J110="M","Medium",J110="L","Light",J110="D","Dark")</f>
        <v>Medium</v>
      </c>
      <c r="P110" s="4" t="str">
        <f>_xlfn.XLOOKUP(CoffeeOrderstable[[#This Row],[Customer ID]],customers!$A$1:$A$1001,customers!$I$1:$I$1001,,0)</f>
        <v>No</v>
      </c>
    </row>
    <row r="111" spans="1:16" x14ac:dyDescent="0.3">
      <c r="A111" s="3" t="s">
        <v>1100</v>
      </c>
      <c r="B111" s="5">
        <v>43811</v>
      </c>
      <c r="C111" s="3" t="s">
        <v>1101</v>
      </c>
      <c r="D111" s="4" t="s">
        <v>6169</v>
      </c>
      <c r="E111" s="3">
        <v>1</v>
      </c>
      <c r="F111" s="3" t="str">
        <f>_xlfn.XLOOKUP(C111,customers!$A$1:$A$1001,customers!$B$1:$B$1001,,0)</f>
        <v>Terry Sheryn</v>
      </c>
      <c r="G111" s="3" t="str">
        <f>IF(_xlfn.XLOOKUP(C111,customers!$A$1:$A$1001,customers!$C$1:$C$1001,,0)=0,"", _xlfn.XLOOKUP(C111,customers!$A$1:$A$1001,customers!$C$1:$C$1001,,0))</f>
        <v>tsheryn31@mtv.com</v>
      </c>
      <c r="H111" s="3" t="str">
        <f>_xlfn.XLOOKUP(C111,customers!$A$1:$A$1001,customers!$G$1:$G$1001,,0)</f>
        <v>United States</v>
      </c>
      <c r="I111" s="4" t="str">
        <f>INDEX(products!$A$1:$G$49,MATCH(orders!$D111,products!$A$1:$A$49,0),MATCH(orders!I$1,products!$A$1:$G$1,0))</f>
        <v>Lib</v>
      </c>
      <c r="J111" s="4" t="str">
        <f>INDEX(products!$A$1:$G$49,MATCH(orders!$D111,products!$A$1:$A$49,0),MATCH(orders!J$1,products!$A$1:$G$1,0))</f>
        <v>D</v>
      </c>
      <c r="K111" s="6">
        <f>INDEX(products!$A$1:$G$49,MATCH(orders!$D111,products!$A$1:$A$49,0),MATCH(orders!K$1,products!$A$1:$G$1,0))</f>
        <v>0.5</v>
      </c>
      <c r="L111" s="7">
        <f>INDEX(products!$A$1:$G$49,MATCH(orders!$D111,products!$A$1:$A$49,0),MATCH(orders!L$1,products!$A$1:$G$1,0))</f>
        <v>7.77</v>
      </c>
      <c r="M111" s="7">
        <f t="shared" si="1"/>
        <v>7.77</v>
      </c>
      <c r="N111" s="4" t="str" cm="1">
        <f t="array" ref="N111">_xlfn.IFS(I111="Rob","Robusta",I111="Exc","Excelsa",I111="Ara","Arabica",I111="Lib","Liberica")</f>
        <v>Liberica</v>
      </c>
      <c r="O111" s="4" t="str" cm="1">
        <f t="array" ref="O111">_xlfn.IFS(J111="M","Medium",J111="L","Light",J111="D","Dark")</f>
        <v>Dark</v>
      </c>
      <c r="P111" s="4" t="str">
        <f>_xlfn.XLOOKUP(CoffeeOrderstable[[#This Row],[Customer ID]],customers!$A$1:$A$1001,customers!$I$1:$I$1001,,0)</f>
        <v>Yes</v>
      </c>
    </row>
    <row r="112" spans="1:16" x14ac:dyDescent="0.3">
      <c r="A112" s="3" t="s">
        <v>1106</v>
      </c>
      <c r="B112" s="5">
        <v>44727</v>
      </c>
      <c r="C112" s="3" t="s">
        <v>1107</v>
      </c>
      <c r="D112" s="4" t="s">
        <v>6184</v>
      </c>
      <c r="E112" s="3">
        <v>3</v>
      </c>
      <c r="F112" s="3" t="str">
        <f>_xlfn.XLOOKUP(C112,customers!$A$1:$A$1001,customers!$B$1:$B$1001,,0)</f>
        <v>Marie-jeanne Redgrave</v>
      </c>
      <c r="G112" s="3" t="str">
        <f>IF(_xlfn.XLOOKUP(C112,customers!$A$1:$A$1001,customers!$C$1:$C$1001,,0)=0,"", _xlfn.XLOOKUP(C112,customers!$A$1:$A$1001,customers!$C$1:$C$1001,,0))</f>
        <v>mredgrave32@cargocollective.com</v>
      </c>
      <c r="H112" s="3" t="str">
        <f>_xlfn.XLOOKUP(C112,customers!$A$1:$A$1001,customers!$G$1:$G$1001,,0)</f>
        <v>United States</v>
      </c>
      <c r="I112" s="4" t="str">
        <f>INDEX(products!$A$1:$G$49,MATCH(orders!$D112,products!$A$1:$A$49,0),MATCH(orders!I$1,products!$A$1:$G$1,0))</f>
        <v>Exc</v>
      </c>
      <c r="J112" s="4" t="str">
        <f>INDEX(products!$A$1:$G$49,MATCH(orders!$D112,products!$A$1:$A$49,0),MATCH(orders!J$1,products!$A$1:$G$1,0))</f>
        <v>L</v>
      </c>
      <c r="K112" s="6">
        <f>INDEX(products!$A$1:$G$49,MATCH(orders!$D112,products!$A$1:$A$49,0),MATCH(orders!K$1,products!$A$1:$G$1,0))</f>
        <v>0.2</v>
      </c>
      <c r="L112" s="7">
        <f>INDEX(products!$A$1:$G$49,MATCH(orders!$D112,products!$A$1:$A$49,0),MATCH(orders!L$1,products!$A$1:$G$1,0))</f>
        <v>4.4550000000000001</v>
      </c>
      <c r="M112" s="7">
        <f t="shared" si="1"/>
        <v>13.365</v>
      </c>
      <c r="N112" s="4" t="str" cm="1">
        <f t="array" ref="N112">_xlfn.IFS(I112="Rob","Robusta",I112="Exc","Excelsa",I112="Ara","Arabica",I112="Lib","Liberica")</f>
        <v>Excelsa</v>
      </c>
      <c r="O112" s="4" t="str" cm="1">
        <f t="array" ref="O112">_xlfn.IFS(J112="M","Medium",J112="L","Light",J112="D","Dark")</f>
        <v>Light</v>
      </c>
      <c r="P112" s="4" t="str">
        <f>_xlfn.XLOOKUP(CoffeeOrderstable[[#This Row],[Customer ID]],customers!$A$1:$A$1001,customers!$I$1:$I$1001,,0)</f>
        <v>Yes</v>
      </c>
    </row>
    <row r="113" spans="1:16" x14ac:dyDescent="0.3">
      <c r="A113" s="3" t="s">
        <v>1112</v>
      </c>
      <c r="B113" s="5">
        <v>43642</v>
      </c>
      <c r="C113" s="3" t="s">
        <v>1113</v>
      </c>
      <c r="D113" s="4" t="s">
        <v>6172</v>
      </c>
      <c r="E113" s="3">
        <v>5</v>
      </c>
      <c r="F113" s="3" t="str">
        <f>_xlfn.XLOOKUP(C113,customers!$A$1:$A$1001,customers!$B$1:$B$1001,,0)</f>
        <v>Betty Fominov</v>
      </c>
      <c r="G113" s="3" t="str">
        <f>IF(_xlfn.XLOOKUP(C113,customers!$A$1:$A$1001,customers!$C$1:$C$1001,,0)=0,"", _xlfn.XLOOKUP(C113,customers!$A$1:$A$1001,customers!$C$1:$C$1001,,0))</f>
        <v>bfominov33@yale.edu</v>
      </c>
      <c r="H113" s="3" t="str">
        <f>_xlfn.XLOOKUP(C113,customers!$A$1:$A$1001,customers!$G$1:$G$1001,,0)</f>
        <v>United States</v>
      </c>
      <c r="I113" s="4" t="str">
        <f>INDEX(products!$A$1:$G$49,MATCH(orders!$D113,products!$A$1:$A$49,0),MATCH(orders!I$1,products!$A$1:$G$1,0))</f>
        <v>Rob</v>
      </c>
      <c r="J113" s="4" t="str">
        <f>INDEX(products!$A$1:$G$49,MATCH(orders!$D113,products!$A$1:$A$49,0),MATCH(orders!J$1,products!$A$1:$G$1,0))</f>
        <v>D</v>
      </c>
      <c r="K113" s="6">
        <f>INDEX(products!$A$1:$G$49,MATCH(orders!$D113,products!$A$1:$A$49,0),MATCH(orders!K$1,products!$A$1:$G$1,0))</f>
        <v>0.5</v>
      </c>
      <c r="L113" s="7">
        <f>INDEX(products!$A$1:$G$49,MATCH(orders!$D113,products!$A$1:$A$49,0),MATCH(orders!L$1,products!$A$1:$G$1,0))</f>
        <v>5.3699999999999992</v>
      </c>
      <c r="M113" s="7">
        <f t="shared" si="1"/>
        <v>26.849999999999994</v>
      </c>
      <c r="N113" s="4" t="str" cm="1">
        <f t="array" ref="N113">_xlfn.IFS(I113="Rob","Robusta",I113="Exc","Excelsa",I113="Ara","Arabica",I113="Lib","Liberica")</f>
        <v>Robusta</v>
      </c>
      <c r="O113" s="4" t="str" cm="1">
        <f t="array" ref="O113">_xlfn.IFS(J113="M","Medium",J113="L","Light",J113="D","Dark")</f>
        <v>Dark</v>
      </c>
      <c r="P113" s="4" t="str">
        <f>_xlfn.XLOOKUP(CoffeeOrderstable[[#This Row],[Customer ID]],customers!$A$1:$A$1001,customers!$I$1:$I$1001,,0)</f>
        <v>No</v>
      </c>
    </row>
    <row r="114" spans="1:16" x14ac:dyDescent="0.3">
      <c r="A114" s="3" t="s">
        <v>1117</v>
      </c>
      <c r="B114" s="5">
        <v>44481</v>
      </c>
      <c r="C114" s="3" t="s">
        <v>1118</v>
      </c>
      <c r="D114" s="4" t="s">
        <v>6155</v>
      </c>
      <c r="E114" s="3">
        <v>1</v>
      </c>
      <c r="F114" s="3" t="str">
        <f>_xlfn.XLOOKUP(C114,customers!$A$1:$A$1001,customers!$B$1:$B$1001,,0)</f>
        <v>Shawnee Critchlow</v>
      </c>
      <c r="G114" s="3" t="str">
        <f>IF(_xlfn.XLOOKUP(C114,customers!$A$1:$A$1001,customers!$C$1:$C$1001,,0)=0,"", _xlfn.XLOOKUP(C114,customers!$A$1:$A$1001,customers!$C$1:$C$1001,,0))</f>
        <v>scritchlow34@un.org</v>
      </c>
      <c r="H114" s="3" t="str">
        <f>_xlfn.XLOOKUP(C114,customers!$A$1:$A$1001,customers!$G$1:$G$1001,,0)</f>
        <v>United States</v>
      </c>
      <c r="I114" s="4" t="str">
        <f>INDEX(products!$A$1:$G$49,MATCH(orders!$D114,products!$A$1:$A$49,0),MATCH(orders!I$1,products!$A$1:$G$1,0))</f>
        <v>Ara</v>
      </c>
      <c r="J114" s="4" t="str">
        <f>INDEX(products!$A$1:$G$49,MATCH(orders!$D114,products!$A$1:$A$49,0),MATCH(orders!J$1,products!$A$1:$G$1,0))</f>
        <v>M</v>
      </c>
      <c r="K114" s="6">
        <f>INDEX(products!$A$1:$G$49,MATCH(orders!$D114,products!$A$1:$A$49,0),MATCH(orders!K$1,products!$A$1:$G$1,0))</f>
        <v>1</v>
      </c>
      <c r="L114" s="7">
        <f>INDEX(products!$A$1:$G$49,MATCH(orders!$D114,products!$A$1:$A$49,0),MATCH(orders!L$1,products!$A$1:$G$1,0))</f>
        <v>11.25</v>
      </c>
      <c r="M114" s="7">
        <f t="shared" si="1"/>
        <v>11.25</v>
      </c>
      <c r="N114" s="4" t="str" cm="1">
        <f t="array" ref="N114">_xlfn.IFS(I114="Rob","Robusta",I114="Exc","Excelsa",I114="Ara","Arabica",I114="Lib","Liberica")</f>
        <v>Arabica</v>
      </c>
      <c r="O114" s="4" t="str" cm="1">
        <f t="array" ref="O114">_xlfn.IFS(J114="M","Medium",J114="L","Light",J114="D","Dark")</f>
        <v>Medium</v>
      </c>
      <c r="P114" s="4" t="str">
        <f>_xlfn.XLOOKUP(CoffeeOrderstable[[#This Row],[Customer ID]],customers!$A$1:$A$1001,customers!$I$1:$I$1001,,0)</f>
        <v>No</v>
      </c>
    </row>
    <row r="115" spans="1:16" x14ac:dyDescent="0.3">
      <c r="A115" s="3" t="s">
        <v>1123</v>
      </c>
      <c r="B115" s="5">
        <v>43556</v>
      </c>
      <c r="C115" s="3" t="s">
        <v>1124</v>
      </c>
      <c r="D115" s="4" t="s">
        <v>6162</v>
      </c>
      <c r="E115" s="3">
        <v>1</v>
      </c>
      <c r="F115" s="3" t="str">
        <f>_xlfn.XLOOKUP(C115,customers!$A$1:$A$1001,customers!$B$1:$B$1001,,0)</f>
        <v>Merrel Steptow</v>
      </c>
      <c r="G115" s="3" t="str">
        <f>IF(_xlfn.XLOOKUP(C115,customers!$A$1:$A$1001,customers!$C$1:$C$1001,,0)=0,"", _xlfn.XLOOKUP(C115,customers!$A$1:$A$1001,customers!$C$1:$C$1001,,0))</f>
        <v>msteptow35@earthlink.net</v>
      </c>
      <c r="H115" s="3" t="str">
        <f>_xlfn.XLOOKUP(C115,customers!$A$1:$A$1001,customers!$G$1:$G$1001,,0)</f>
        <v>Ireland</v>
      </c>
      <c r="I115" s="4" t="str">
        <f>INDEX(products!$A$1:$G$49,MATCH(orders!$D115,products!$A$1:$A$49,0),MATCH(orders!I$1,products!$A$1:$G$1,0))</f>
        <v>Lib</v>
      </c>
      <c r="J115" s="4" t="str">
        <f>INDEX(products!$A$1:$G$49,MATCH(orders!$D115,products!$A$1:$A$49,0),MATCH(orders!J$1,products!$A$1:$G$1,0))</f>
        <v>M</v>
      </c>
      <c r="K115" s="6">
        <f>INDEX(products!$A$1:$G$49,MATCH(orders!$D115,products!$A$1:$A$49,0),MATCH(orders!K$1,products!$A$1:$G$1,0))</f>
        <v>1</v>
      </c>
      <c r="L115" s="7">
        <f>INDEX(products!$A$1:$G$49,MATCH(orders!$D115,products!$A$1:$A$49,0),MATCH(orders!L$1,products!$A$1:$G$1,0))</f>
        <v>14.55</v>
      </c>
      <c r="M115" s="7">
        <f t="shared" si="1"/>
        <v>14.55</v>
      </c>
      <c r="N115" s="4" t="str" cm="1">
        <f t="array" ref="N115">_xlfn.IFS(I115="Rob","Robusta",I115="Exc","Excelsa",I115="Ara","Arabica",I115="Lib","Liberica")</f>
        <v>Liberica</v>
      </c>
      <c r="O115" s="4" t="str" cm="1">
        <f t="array" ref="O115">_xlfn.IFS(J115="M","Medium",J115="L","Light",J115="D","Dark")</f>
        <v>Medium</v>
      </c>
      <c r="P115" s="4" t="str">
        <f>_xlfn.XLOOKUP(CoffeeOrderstable[[#This Row],[Customer ID]],customers!$A$1:$A$1001,customers!$I$1:$I$1001,,0)</f>
        <v>No</v>
      </c>
    </row>
    <row r="116" spans="1:16" x14ac:dyDescent="0.3">
      <c r="A116" s="3" t="s">
        <v>1129</v>
      </c>
      <c r="B116" s="5">
        <v>44265</v>
      </c>
      <c r="C116" s="3" t="s">
        <v>1130</v>
      </c>
      <c r="D116" s="4" t="s">
        <v>6178</v>
      </c>
      <c r="E116" s="3">
        <v>4</v>
      </c>
      <c r="F116" s="3" t="str">
        <f>_xlfn.XLOOKUP(C116,customers!$A$1:$A$1001,customers!$B$1:$B$1001,,0)</f>
        <v>Carmina Hubbuck</v>
      </c>
      <c r="G116" s="3" t="str">
        <f>IF(_xlfn.XLOOKUP(C116,customers!$A$1:$A$1001,customers!$C$1:$C$1001,,0)=0,"", _xlfn.XLOOKUP(C116,customers!$A$1:$A$1001,customers!$C$1:$C$1001,,0))</f>
        <v/>
      </c>
      <c r="H116" s="3" t="str">
        <f>_xlfn.XLOOKUP(C116,customers!$A$1:$A$1001,customers!$G$1:$G$1001,,0)</f>
        <v>United States</v>
      </c>
      <c r="I116" s="4" t="str">
        <f>INDEX(products!$A$1:$G$49,MATCH(orders!$D116,products!$A$1:$A$49,0),MATCH(orders!I$1,products!$A$1:$G$1,0))</f>
        <v>Rob</v>
      </c>
      <c r="J116" s="4" t="str">
        <f>INDEX(products!$A$1:$G$49,MATCH(orders!$D116,products!$A$1:$A$49,0),MATCH(orders!J$1,products!$A$1:$G$1,0))</f>
        <v>L</v>
      </c>
      <c r="K116" s="6">
        <f>INDEX(products!$A$1:$G$49,MATCH(orders!$D116,products!$A$1:$A$49,0),MATCH(orders!K$1,products!$A$1:$G$1,0))</f>
        <v>0.2</v>
      </c>
      <c r="L116" s="7">
        <f>INDEX(products!$A$1:$G$49,MATCH(orders!$D116,products!$A$1:$A$49,0),MATCH(orders!L$1,products!$A$1:$G$1,0))</f>
        <v>3.5849999999999995</v>
      </c>
      <c r="M116" s="7">
        <f t="shared" si="1"/>
        <v>14.339999999999998</v>
      </c>
      <c r="N116" s="4" t="str" cm="1">
        <f t="array" ref="N116">_xlfn.IFS(I116="Rob","Robusta",I116="Exc","Excelsa",I116="Ara","Arabica",I116="Lib","Liberica")</f>
        <v>Robusta</v>
      </c>
      <c r="O116" s="4" t="str" cm="1">
        <f t="array" ref="O116">_xlfn.IFS(J116="M","Medium",J116="L","Light",J116="D","Dark")</f>
        <v>Light</v>
      </c>
      <c r="P116" s="4" t="str">
        <f>_xlfn.XLOOKUP(CoffeeOrderstable[[#This Row],[Customer ID]],customers!$A$1:$A$1001,customers!$I$1:$I$1001,,0)</f>
        <v>No</v>
      </c>
    </row>
    <row r="117" spans="1:16" x14ac:dyDescent="0.3">
      <c r="A117" s="3" t="s">
        <v>1134</v>
      </c>
      <c r="B117" s="5">
        <v>43693</v>
      </c>
      <c r="C117" s="3" t="s">
        <v>1135</v>
      </c>
      <c r="D117" s="4" t="s">
        <v>6170</v>
      </c>
      <c r="E117" s="3">
        <v>1</v>
      </c>
      <c r="F117" s="3" t="str">
        <f>_xlfn.XLOOKUP(C117,customers!$A$1:$A$1001,customers!$B$1:$B$1001,,0)</f>
        <v>Ingeberg Mulliner</v>
      </c>
      <c r="G117" s="3" t="str">
        <f>IF(_xlfn.XLOOKUP(C117,customers!$A$1:$A$1001,customers!$C$1:$C$1001,,0)=0,"", _xlfn.XLOOKUP(C117,customers!$A$1:$A$1001,customers!$C$1:$C$1001,,0))</f>
        <v>imulliner37@pinterest.com</v>
      </c>
      <c r="H117" s="3" t="str">
        <f>_xlfn.XLOOKUP(C117,customers!$A$1:$A$1001,customers!$G$1:$G$1001,,0)</f>
        <v>United Kingdom</v>
      </c>
      <c r="I117" s="4" t="str">
        <f>INDEX(products!$A$1:$G$49,MATCH(orders!$D117,products!$A$1:$A$49,0),MATCH(orders!I$1,products!$A$1:$G$1,0))</f>
        <v>Lib</v>
      </c>
      <c r="J117" s="4" t="str">
        <f>INDEX(products!$A$1:$G$49,MATCH(orders!$D117,products!$A$1:$A$49,0),MATCH(orders!J$1,products!$A$1:$G$1,0))</f>
        <v>L</v>
      </c>
      <c r="K117" s="6">
        <f>INDEX(products!$A$1:$G$49,MATCH(orders!$D117,products!$A$1:$A$49,0),MATCH(orders!K$1,products!$A$1:$G$1,0))</f>
        <v>1</v>
      </c>
      <c r="L117" s="7">
        <f>INDEX(products!$A$1:$G$49,MATCH(orders!$D117,products!$A$1:$A$49,0),MATCH(orders!L$1,products!$A$1:$G$1,0))</f>
        <v>15.85</v>
      </c>
      <c r="M117" s="7">
        <f t="shared" si="1"/>
        <v>15.85</v>
      </c>
      <c r="N117" s="4" t="str" cm="1">
        <f t="array" ref="N117">_xlfn.IFS(I117="Rob","Robusta",I117="Exc","Excelsa",I117="Ara","Arabica",I117="Lib","Liberica")</f>
        <v>Liberica</v>
      </c>
      <c r="O117" s="4" t="str" cm="1">
        <f t="array" ref="O117">_xlfn.IFS(J117="M","Medium",J117="L","Light",J117="D","Dark")</f>
        <v>Light</v>
      </c>
      <c r="P117" s="4" t="str">
        <f>_xlfn.XLOOKUP(CoffeeOrderstable[[#This Row],[Customer ID]],customers!$A$1:$A$1001,customers!$I$1:$I$1001,,0)</f>
        <v>No</v>
      </c>
    </row>
    <row r="118" spans="1:16" x14ac:dyDescent="0.3">
      <c r="A118" s="3" t="s">
        <v>1140</v>
      </c>
      <c r="B118" s="5">
        <v>44054</v>
      </c>
      <c r="C118" s="3" t="s">
        <v>1141</v>
      </c>
      <c r="D118" s="4" t="s">
        <v>6145</v>
      </c>
      <c r="E118" s="3">
        <v>4</v>
      </c>
      <c r="F118" s="3" t="str">
        <f>_xlfn.XLOOKUP(C118,customers!$A$1:$A$1001,customers!$B$1:$B$1001,,0)</f>
        <v>Geneva Standley</v>
      </c>
      <c r="G118" s="3" t="str">
        <f>IF(_xlfn.XLOOKUP(C118,customers!$A$1:$A$1001,customers!$C$1:$C$1001,,0)=0,"", _xlfn.XLOOKUP(C118,customers!$A$1:$A$1001,customers!$C$1:$C$1001,,0))</f>
        <v>gstandley38@dion.ne.jp</v>
      </c>
      <c r="H118" s="3" t="str">
        <f>_xlfn.XLOOKUP(C118,customers!$A$1:$A$1001,customers!$G$1:$G$1001,,0)</f>
        <v>Ireland</v>
      </c>
      <c r="I118" s="4" t="str">
        <f>INDEX(products!$A$1:$G$49,MATCH(orders!$D118,products!$A$1:$A$49,0),MATCH(orders!I$1,products!$A$1:$G$1,0))</f>
        <v>Lib</v>
      </c>
      <c r="J118" s="4" t="str">
        <f>INDEX(products!$A$1:$G$49,MATCH(orders!$D118,products!$A$1:$A$49,0),MATCH(orders!J$1,products!$A$1:$G$1,0))</f>
        <v>L</v>
      </c>
      <c r="K118" s="6">
        <f>INDEX(products!$A$1:$G$49,MATCH(orders!$D118,products!$A$1:$A$49,0),MATCH(orders!K$1,products!$A$1:$G$1,0))</f>
        <v>0.2</v>
      </c>
      <c r="L118" s="7">
        <f>INDEX(products!$A$1:$G$49,MATCH(orders!$D118,products!$A$1:$A$49,0),MATCH(orders!L$1,products!$A$1:$G$1,0))</f>
        <v>4.7549999999999999</v>
      </c>
      <c r="M118" s="7">
        <f t="shared" si="1"/>
        <v>19.02</v>
      </c>
      <c r="N118" s="4" t="str" cm="1">
        <f t="array" ref="N118">_xlfn.IFS(I118="Rob","Robusta",I118="Exc","Excelsa",I118="Ara","Arabica",I118="Lib","Liberica")</f>
        <v>Liberica</v>
      </c>
      <c r="O118" s="4" t="str" cm="1">
        <f t="array" ref="O118">_xlfn.IFS(J118="M","Medium",J118="L","Light",J118="D","Dark")</f>
        <v>Light</v>
      </c>
      <c r="P118" s="4" t="str">
        <f>_xlfn.XLOOKUP(CoffeeOrderstable[[#This Row],[Customer ID]],customers!$A$1:$A$1001,customers!$I$1:$I$1001,,0)</f>
        <v>Yes</v>
      </c>
    </row>
    <row r="119" spans="1:16" x14ac:dyDescent="0.3">
      <c r="A119" s="3" t="s">
        <v>1146</v>
      </c>
      <c r="B119" s="5">
        <v>44656</v>
      </c>
      <c r="C119" s="3" t="s">
        <v>1147</v>
      </c>
      <c r="D119" s="4" t="s">
        <v>6161</v>
      </c>
      <c r="E119" s="3">
        <v>4</v>
      </c>
      <c r="F119" s="3" t="str">
        <f>_xlfn.XLOOKUP(C119,customers!$A$1:$A$1001,customers!$B$1:$B$1001,,0)</f>
        <v>Brook Drage</v>
      </c>
      <c r="G119" s="3" t="str">
        <f>IF(_xlfn.XLOOKUP(C119,customers!$A$1:$A$1001,customers!$C$1:$C$1001,,0)=0,"", _xlfn.XLOOKUP(C119,customers!$A$1:$A$1001,customers!$C$1:$C$1001,,0))</f>
        <v>bdrage39@youku.com</v>
      </c>
      <c r="H119" s="3" t="str">
        <f>_xlfn.XLOOKUP(C119,customers!$A$1:$A$1001,customers!$G$1:$G$1001,,0)</f>
        <v>United States</v>
      </c>
      <c r="I119" s="4" t="str">
        <f>INDEX(products!$A$1:$G$49,MATCH(orders!$D119,products!$A$1:$A$49,0),MATCH(orders!I$1,products!$A$1:$G$1,0))</f>
        <v>Lib</v>
      </c>
      <c r="J119" s="4" t="str">
        <f>INDEX(products!$A$1:$G$49,MATCH(orders!$D119,products!$A$1:$A$49,0),MATCH(orders!J$1,products!$A$1:$G$1,0))</f>
        <v>L</v>
      </c>
      <c r="K119" s="6">
        <f>INDEX(products!$A$1:$G$49,MATCH(orders!$D119,products!$A$1:$A$49,0),MATCH(orders!K$1,products!$A$1:$G$1,0))</f>
        <v>0.5</v>
      </c>
      <c r="L119" s="7">
        <f>INDEX(products!$A$1:$G$49,MATCH(orders!$D119,products!$A$1:$A$49,0),MATCH(orders!L$1,products!$A$1:$G$1,0))</f>
        <v>9.51</v>
      </c>
      <c r="M119" s="7">
        <f t="shared" si="1"/>
        <v>38.04</v>
      </c>
      <c r="N119" s="4" t="str" cm="1">
        <f t="array" ref="N119">_xlfn.IFS(I119="Rob","Robusta",I119="Exc","Excelsa",I119="Ara","Arabica",I119="Lib","Liberica")</f>
        <v>Liberica</v>
      </c>
      <c r="O119" s="4" t="str" cm="1">
        <f t="array" ref="O119">_xlfn.IFS(J119="M","Medium",J119="L","Light",J119="D","Dark")</f>
        <v>Light</v>
      </c>
      <c r="P119" s="4" t="str">
        <f>_xlfn.XLOOKUP(CoffeeOrderstable[[#This Row],[Customer ID]],customers!$A$1:$A$1001,customers!$I$1:$I$1001,,0)</f>
        <v>No</v>
      </c>
    </row>
    <row r="120" spans="1:16" x14ac:dyDescent="0.3">
      <c r="A120" s="3" t="s">
        <v>1152</v>
      </c>
      <c r="B120" s="5">
        <v>43760</v>
      </c>
      <c r="C120" s="3" t="s">
        <v>1153</v>
      </c>
      <c r="D120" s="4" t="s">
        <v>6144</v>
      </c>
      <c r="E120" s="3">
        <v>3</v>
      </c>
      <c r="F120" s="3" t="str">
        <f>_xlfn.XLOOKUP(C120,customers!$A$1:$A$1001,customers!$B$1:$B$1001,,0)</f>
        <v>Muffin Yallop</v>
      </c>
      <c r="G120" s="3" t="str">
        <f>IF(_xlfn.XLOOKUP(C120,customers!$A$1:$A$1001,customers!$C$1:$C$1001,,0)=0,"", _xlfn.XLOOKUP(C120,customers!$A$1:$A$1001,customers!$C$1:$C$1001,,0))</f>
        <v>myallop3a@fema.gov</v>
      </c>
      <c r="H120" s="3" t="str">
        <f>_xlfn.XLOOKUP(C120,customers!$A$1:$A$1001,customers!$G$1:$G$1001,,0)</f>
        <v>United States</v>
      </c>
      <c r="I120" s="4" t="str">
        <f>INDEX(products!$A$1:$G$49,MATCH(orders!$D120,products!$A$1:$A$49,0),MATCH(orders!I$1,products!$A$1:$G$1,0))</f>
        <v>Exc</v>
      </c>
      <c r="J120" s="4" t="str">
        <f>INDEX(products!$A$1:$G$49,MATCH(orders!$D120,products!$A$1:$A$49,0),MATCH(orders!J$1,products!$A$1:$G$1,0))</f>
        <v>D</v>
      </c>
      <c r="K120" s="6">
        <f>INDEX(products!$A$1:$G$49,MATCH(orders!$D120,products!$A$1:$A$49,0),MATCH(orders!K$1,products!$A$1:$G$1,0))</f>
        <v>0.5</v>
      </c>
      <c r="L120" s="7">
        <f>INDEX(products!$A$1:$G$49,MATCH(orders!$D120,products!$A$1:$A$49,0),MATCH(orders!L$1,products!$A$1:$G$1,0))</f>
        <v>7.29</v>
      </c>
      <c r="M120" s="7">
        <f t="shared" si="1"/>
        <v>21.87</v>
      </c>
      <c r="N120" s="4" t="str" cm="1">
        <f t="array" ref="N120">_xlfn.IFS(I120="Rob","Robusta",I120="Exc","Excelsa",I120="Ara","Arabica",I120="Lib","Liberica")</f>
        <v>Excelsa</v>
      </c>
      <c r="O120" s="4" t="str" cm="1">
        <f t="array" ref="O120">_xlfn.IFS(J120="M","Medium",J120="L","Light",J120="D","Dark")</f>
        <v>Dark</v>
      </c>
      <c r="P120" s="4" t="str">
        <f>_xlfn.XLOOKUP(CoffeeOrderstable[[#This Row],[Customer ID]],customers!$A$1:$A$1001,customers!$I$1:$I$1001,,0)</f>
        <v>Yes</v>
      </c>
    </row>
    <row r="121" spans="1:16" x14ac:dyDescent="0.3">
      <c r="A121" s="3" t="s">
        <v>1158</v>
      </c>
      <c r="B121" s="5">
        <v>44471</v>
      </c>
      <c r="C121" s="3" t="s">
        <v>1159</v>
      </c>
      <c r="D121" s="4" t="s">
        <v>6156</v>
      </c>
      <c r="E121" s="3">
        <v>1</v>
      </c>
      <c r="F121" s="3" t="str">
        <f>_xlfn.XLOOKUP(C121,customers!$A$1:$A$1001,customers!$B$1:$B$1001,,0)</f>
        <v>Cordi Switsur</v>
      </c>
      <c r="G121" s="3" t="str">
        <f>IF(_xlfn.XLOOKUP(C121,customers!$A$1:$A$1001,customers!$C$1:$C$1001,,0)=0,"", _xlfn.XLOOKUP(C121,customers!$A$1:$A$1001,customers!$C$1:$C$1001,,0))</f>
        <v>cswitsur3b@chronoengine.com</v>
      </c>
      <c r="H121" s="3" t="str">
        <f>_xlfn.XLOOKUP(C121,customers!$A$1:$A$1001,customers!$G$1:$G$1001,,0)</f>
        <v>United States</v>
      </c>
      <c r="I121" s="4" t="str">
        <f>INDEX(products!$A$1:$G$49,MATCH(orders!$D121,products!$A$1:$A$49,0),MATCH(orders!I$1,products!$A$1:$G$1,0))</f>
        <v>Exc</v>
      </c>
      <c r="J121" s="4" t="str">
        <f>INDEX(products!$A$1:$G$49,MATCH(orders!$D121,products!$A$1:$A$49,0),MATCH(orders!J$1,products!$A$1:$G$1,0))</f>
        <v>M</v>
      </c>
      <c r="K121" s="6">
        <f>INDEX(products!$A$1:$G$49,MATCH(orders!$D121,products!$A$1:$A$49,0),MATCH(orders!K$1,products!$A$1:$G$1,0))</f>
        <v>0.2</v>
      </c>
      <c r="L121" s="7">
        <f>INDEX(products!$A$1:$G$49,MATCH(orders!$D121,products!$A$1:$A$49,0),MATCH(orders!L$1,products!$A$1:$G$1,0))</f>
        <v>4.125</v>
      </c>
      <c r="M121" s="7">
        <f t="shared" si="1"/>
        <v>4.125</v>
      </c>
      <c r="N121" s="4" t="str" cm="1">
        <f t="array" ref="N121">_xlfn.IFS(I121="Rob","Robusta",I121="Exc","Excelsa",I121="Ara","Arabica",I121="Lib","Liberica")</f>
        <v>Excelsa</v>
      </c>
      <c r="O121" s="4" t="str" cm="1">
        <f t="array" ref="O121">_xlfn.IFS(J121="M","Medium",J121="L","Light",J121="D","Dark")</f>
        <v>Medium</v>
      </c>
      <c r="P121" s="4" t="str">
        <f>_xlfn.XLOOKUP(CoffeeOrderstable[[#This Row],[Customer ID]],customers!$A$1:$A$1001,customers!$I$1:$I$1001,,0)</f>
        <v>No</v>
      </c>
    </row>
    <row r="122" spans="1:16" x14ac:dyDescent="0.3">
      <c r="A122" s="3" t="s">
        <v>1158</v>
      </c>
      <c r="B122" s="5">
        <v>44471</v>
      </c>
      <c r="C122" s="3" t="s">
        <v>1159</v>
      </c>
      <c r="D122" s="4" t="s">
        <v>6167</v>
      </c>
      <c r="E122" s="3">
        <v>1</v>
      </c>
      <c r="F122" s="3" t="str">
        <f>_xlfn.XLOOKUP(C122,customers!$A$1:$A$1001,customers!$B$1:$B$1001,,0)</f>
        <v>Cordi Switsur</v>
      </c>
      <c r="G122" s="3" t="str">
        <f>IF(_xlfn.XLOOKUP(C122,customers!$A$1:$A$1001,customers!$C$1:$C$1001,,0)=0,"", _xlfn.XLOOKUP(C122,customers!$A$1:$A$1001,customers!$C$1:$C$1001,,0))</f>
        <v>cswitsur3b@chronoengine.com</v>
      </c>
      <c r="H122" s="3" t="str">
        <f>_xlfn.XLOOKUP(C122,customers!$A$1:$A$1001,customers!$G$1:$G$1001,,0)</f>
        <v>United States</v>
      </c>
      <c r="I122" s="4" t="str">
        <f>INDEX(products!$A$1:$G$49,MATCH(orders!$D122,products!$A$1:$A$49,0),MATCH(orders!I$1,products!$A$1:$G$1,0))</f>
        <v>Ara</v>
      </c>
      <c r="J122" s="4" t="str">
        <f>INDEX(products!$A$1:$G$49,MATCH(orders!$D122,products!$A$1:$A$49,0),MATCH(orders!J$1,products!$A$1:$G$1,0))</f>
        <v>L</v>
      </c>
      <c r="K122" s="6">
        <f>INDEX(products!$A$1:$G$49,MATCH(orders!$D122,products!$A$1:$A$49,0),MATCH(orders!K$1,products!$A$1:$G$1,0))</f>
        <v>0.2</v>
      </c>
      <c r="L122" s="7">
        <f>INDEX(products!$A$1:$G$49,MATCH(orders!$D122,products!$A$1:$A$49,0),MATCH(orders!L$1,products!$A$1:$G$1,0))</f>
        <v>3.8849999999999998</v>
      </c>
      <c r="M122" s="7">
        <f t="shared" si="1"/>
        <v>3.8849999999999998</v>
      </c>
      <c r="N122" s="4" t="str" cm="1">
        <f t="array" ref="N122">_xlfn.IFS(I122="Rob","Robusta",I122="Exc","Excelsa",I122="Ara","Arabica",I122="Lib","Liberica")</f>
        <v>Arabica</v>
      </c>
      <c r="O122" s="4" t="str" cm="1">
        <f t="array" ref="O122">_xlfn.IFS(J122="M","Medium",J122="L","Light",J122="D","Dark")</f>
        <v>Light</v>
      </c>
      <c r="P122" s="4" t="str">
        <f>_xlfn.XLOOKUP(CoffeeOrderstable[[#This Row],[Customer ID]],customers!$A$1:$A$1001,customers!$I$1:$I$1001,,0)</f>
        <v>No</v>
      </c>
    </row>
    <row r="123" spans="1:16" x14ac:dyDescent="0.3">
      <c r="A123" s="3" t="s">
        <v>1158</v>
      </c>
      <c r="B123" s="5">
        <v>44471</v>
      </c>
      <c r="C123" s="3" t="s">
        <v>1159</v>
      </c>
      <c r="D123" s="4" t="s">
        <v>6141</v>
      </c>
      <c r="E123" s="3">
        <v>5</v>
      </c>
      <c r="F123" s="3" t="str">
        <f>_xlfn.XLOOKUP(C123,customers!$A$1:$A$1001,customers!$B$1:$B$1001,,0)</f>
        <v>Cordi Switsur</v>
      </c>
      <c r="G123" s="3" t="str">
        <f>IF(_xlfn.XLOOKUP(C123,customers!$A$1:$A$1001,customers!$C$1:$C$1001,,0)=0,"", _xlfn.XLOOKUP(C123,customers!$A$1:$A$1001,customers!$C$1:$C$1001,,0))</f>
        <v>cswitsur3b@chronoengine.com</v>
      </c>
      <c r="H123" s="3" t="str">
        <f>_xlfn.XLOOKUP(C123,customers!$A$1:$A$1001,customers!$G$1:$G$1001,,0)</f>
        <v>United States</v>
      </c>
      <c r="I123" s="4" t="str">
        <f>INDEX(products!$A$1:$G$49,MATCH(orders!$D123,products!$A$1:$A$49,0),MATCH(orders!I$1,products!$A$1:$G$1,0))</f>
        <v>Exc</v>
      </c>
      <c r="J123" s="4" t="str">
        <f>INDEX(products!$A$1:$G$49,MATCH(orders!$D123,products!$A$1:$A$49,0),MATCH(orders!J$1,products!$A$1:$G$1,0))</f>
        <v>M</v>
      </c>
      <c r="K123" s="6">
        <f>INDEX(products!$A$1:$G$49,MATCH(orders!$D123,products!$A$1:$A$49,0),MATCH(orders!K$1,products!$A$1:$G$1,0))</f>
        <v>1</v>
      </c>
      <c r="L123" s="7">
        <f>INDEX(products!$A$1:$G$49,MATCH(orders!$D123,products!$A$1:$A$49,0),MATCH(orders!L$1,products!$A$1:$G$1,0))</f>
        <v>13.75</v>
      </c>
      <c r="M123" s="7">
        <f t="shared" si="1"/>
        <v>68.75</v>
      </c>
      <c r="N123" s="4" t="str" cm="1">
        <f t="array" ref="N123">_xlfn.IFS(I123="Rob","Robusta",I123="Exc","Excelsa",I123="Ara","Arabica",I123="Lib","Liberica")</f>
        <v>Excelsa</v>
      </c>
      <c r="O123" s="4" t="str" cm="1">
        <f t="array" ref="O123">_xlfn.IFS(J123="M","Medium",J123="L","Light",J123="D","Dark")</f>
        <v>Medium</v>
      </c>
      <c r="P123" s="4" t="str">
        <f>_xlfn.XLOOKUP(CoffeeOrderstable[[#This Row],[Customer ID]],customers!$A$1:$A$1001,customers!$I$1:$I$1001,,0)</f>
        <v>No</v>
      </c>
    </row>
    <row r="124" spans="1:16" x14ac:dyDescent="0.3">
      <c r="A124" s="3" t="s">
        <v>1174</v>
      </c>
      <c r="B124" s="5">
        <v>44268</v>
      </c>
      <c r="C124" s="3" t="s">
        <v>1175</v>
      </c>
      <c r="D124" s="4" t="s">
        <v>6158</v>
      </c>
      <c r="E124" s="3">
        <v>4</v>
      </c>
      <c r="F124" s="3" t="str">
        <f>_xlfn.XLOOKUP(C124,customers!$A$1:$A$1001,customers!$B$1:$B$1001,,0)</f>
        <v>Mahala Ludwell</v>
      </c>
      <c r="G124" s="3" t="str">
        <f>IF(_xlfn.XLOOKUP(C124,customers!$A$1:$A$1001,customers!$C$1:$C$1001,,0)=0,"", _xlfn.XLOOKUP(C124,customers!$A$1:$A$1001,customers!$C$1:$C$1001,,0))</f>
        <v>mludwell3e@blogger.com</v>
      </c>
      <c r="H124" s="3" t="str">
        <f>_xlfn.XLOOKUP(C124,customers!$A$1:$A$1001,customers!$G$1:$G$1001,,0)</f>
        <v>United States</v>
      </c>
      <c r="I124" s="4" t="str">
        <f>INDEX(products!$A$1:$G$49,MATCH(orders!$D124,products!$A$1:$A$49,0),MATCH(orders!I$1,products!$A$1:$G$1,0))</f>
        <v>Ara</v>
      </c>
      <c r="J124" s="4" t="str">
        <f>INDEX(products!$A$1:$G$49,MATCH(orders!$D124,products!$A$1:$A$49,0),MATCH(orders!J$1,products!$A$1:$G$1,0))</f>
        <v>D</v>
      </c>
      <c r="K124" s="6">
        <f>INDEX(products!$A$1:$G$49,MATCH(orders!$D124,products!$A$1:$A$49,0),MATCH(orders!K$1,products!$A$1:$G$1,0))</f>
        <v>0.5</v>
      </c>
      <c r="L124" s="7">
        <f>INDEX(products!$A$1:$G$49,MATCH(orders!$D124,products!$A$1:$A$49,0),MATCH(orders!L$1,products!$A$1:$G$1,0))</f>
        <v>5.97</v>
      </c>
      <c r="M124" s="7">
        <f t="shared" si="1"/>
        <v>23.88</v>
      </c>
      <c r="N124" s="4" t="str" cm="1">
        <f t="array" ref="N124">_xlfn.IFS(I124="Rob","Robusta",I124="Exc","Excelsa",I124="Ara","Arabica",I124="Lib","Liberica")</f>
        <v>Arabica</v>
      </c>
      <c r="O124" s="4" t="str" cm="1">
        <f t="array" ref="O124">_xlfn.IFS(J124="M","Medium",J124="L","Light",J124="D","Dark")</f>
        <v>Dark</v>
      </c>
      <c r="P124" s="4" t="str">
        <f>_xlfn.XLOOKUP(CoffeeOrderstable[[#This Row],[Customer ID]],customers!$A$1:$A$1001,customers!$I$1:$I$1001,,0)</f>
        <v>Yes</v>
      </c>
    </row>
    <row r="125" spans="1:16" x14ac:dyDescent="0.3">
      <c r="A125" s="3" t="s">
        <v>1180</v>
      </c>
      <c r="B125" s="5">
        <v>44724</v>
      </c>
      <c r="C125" s="3" t="s">
        <v>1181</v>
      </c>
      <c r="D125" s="4" t="s">
        <v>6164</v>
      </c>
      <c r="E125" s="3">
        <v>4</v>
      </c>
      <c r="F125" s="3" t="str">
        <f>_xlfn.XLOOKUP(C125,customers!$A$1:$A$1001,customers!$B$1:$B$1001,,0)</f>
        <v>Doll Beauchamp</v>
      </c>
      <c r="G125" s="3" t="str">
        <f>IF(_xlfn.XLOOKUP(C125,customers!$A$1:$A$1001,customers!$C$1:$C$1001,,0)=0,"", _xlfn.XLOOKUP(C125,customers!$A$1:$A$1001,customers!$C$1:$C$1001,,0))</f>
        <v>dbeauchamp3f@usda.gov</v>
      </c>
      <c r="H125" s="3" t="str">
        <f>_xlfn.XLOOKUP(C125,customers!$A$1:$A$1001,customers!$G$1:$G$1001,,0)</f>
        <v>United States</v>
      </c>
      <c r="I125" s="4" t="str">
        <f>INDEX(products!$A$1:$G$49,MATCH(orders!$D125,products!$A$1:$A$49,0),MATCH(orders!I$1,products!$A$1:$G$1,0))</f>
        <v>Lib</v>
      </c>
      <c r="J125" s="4" t="str">
        <f>INDEX(products!$A$1:$G$49,MATCH(orders!$D125,products!$A$1:$A$49,0),MATCH(orders!J$1,products!$A$1:$G$1,0))</f>
        <v>L</v>
      </c>
      <c r="K125" s="6">
        <f>INDEX(products!$A$1:$G$49,MATCH(orders!$D125,products!$A$1:$A$49,0),MATCH(orders!K$1,products!$A$1:$G$1,0))</f>
        <v>2.5</v>
      </c>
      <c r="L125" s="7">
        <f>INDEX(products!$A$1:$G$49,MATCH(orders!$D125,products!$A$1:$A$49,0),MATCH(orders!L$1,products!$A$1:$G$1,0))</f>
        <v>36.454999999999998</v>
      </c>
      <c r="M125" s="7">
        <f t="shared" si="1"/>
        <v>145.82</v>
      </c>
      <c r="N125" s="4" t="str" cm="1">
        <f t="array" ref="N125">_xlfn.IFS(I125="Rob","Robusta",I125="Exc","Excelsa",I125="Ara","Arabica",I125="Lib","Liberica")</f>
        <v>Liberica</v>
      </c>
      <c r="O125" s="4" t="str" cm="1">
        <f t="array" ref="O125">_xlfn.IFS(J125="M","Medium",J125="L","Light",J125="D","Dark")</f>
        <v>Light</v>
      </c>
      <c r="P125" s="4" t="str">
        <f>_xlfn.XLOOKUP(CoffeeOrderstable[[#This Row],[Customer ID]],customers!$A$1:$A$1001,customers!$I$1:$I$1001,,0)</f>
        <v>No</v>
      </c>
    </row>
    <row r="126" spans="1:16" x14ac:dyDescent="0.3">
      <c r="A126" s="3" t="s">
        <v>1186</v>
      </c>
      <c r="B126" s="5">
        <v>43582</v>
      </c>
      <c r="C126" s="3" t="s">
        <v>1187</v>
      </c>
      <c r="D126" s="4" t="s">
        <v>6159</v>
      </c>
      <c r="E126" s="3">
        <v>5</v>
      </c>
      <c r="F126" s="3" t="str">
        <f>_xlfn.XLOOKUP(C126,customers!$A$1:$A$1001,customers!$B$1:$B$1001,,0)</f>
        <v>Stanford Rodliff</v>
      </c>
      <c r="G126" s="3" t="str">
        <f>IF(_xlfn.XLOOKUP(C126,customers!$A$1:$A$1001,customers!$C$1:$C$1001,,0)=0,"", _xlfn.XLOOKUP(C126,customers!$A$1:$A$1001,customers!$C$1:$C$1001,,0))</f>
        <v>srodliff3g@ted.com</v>
      </c>
      <c r="H126" s="3" t="str">
        <f>_xlfn.XLOOKUP(C126,customers!$A$1:$A$1001,customers!$G$1:$G$1001,,0)</f>
        <v>United States</v>
      </c>
      <c r="I126" s="4" t="str">
        <f>INDEX(products!$A$1:$G$49,MATCH(orders!$D126,products!$A$1:$A$49,0),MATCH(orders!I$1,products!$A$1:$G$1,0))</f>
        <v>Lib</v>
      </c>
      <c r="J126" s="4" t="str">
        <f>INDEX(products!$A$1:$G$49,MATCH(orders!$D126,products!$A$1:$A$49,0),MATCH(orders!J$1,products!$A$1:$G$1,0))</f>
        <v>M</v>
      </c>
      <c r="K126" s="6">
        <f>INDEX(products!$A$1:$G$49,MATCH(orders!$D126,products!$A$1:$A$49,0),MATCH(orders!K$1,products!$A$1:$G$1,0))</f>
        <v>0.2</v>
      </c>
      <c r="L126" s="7">
        <f>INDEX(products!$A$1:$G$49,MATCH(orders!$D126,products!$A$1:$A$49,0),MATCH(orders!L$1,products!$A$1:$G$1,0))</f>
        <v>4.3650000000000002</v>
      </c>
      <c r="M126" s="7">
        <f t="shared" si="1"/>
        <v>21.825000000000003</v>
      </c>
      <c r="N126" s="4" t="str" cm="1">
        <f t="array" ref="N126">_xlfn.IFS(I126="Rob","Robusta",I126="Exc","Excelsa",I126="Ara","Arabica",I126="Lib","Liberica")</f>
        <v>Liberica</v>
      </c>
      <c r="O126" s="4" t="str" cm="1">
        <f t="array" ref="O126">_xlfn.IFS(J126="M","Medium",J126="L","Light",J126="D","Dark")</f>
        <v>Medium</v>
      </c>
      <c r="P126" s="4" t="str">
        <f>_xlfn.XLOOKUP(CoffeeOrderstable[[#This Row],[Customer ID]],customers!$A$1:$A$1001,customers!$I$1:$I$1001,,0)</f>
        <v>Yes</v>
      </c>
    </row>
    <row r="127" spans="1:16" x14ac:dyDescent="0.3">
      <c r="A127" s="3" t="s">
        <v>1192</v>
      </c>
      <c r="B127" s="5">
        <v>43608</v>
      </c>
      <c r="C127" s="3" t="s">
        <v>1193</v>
      </c>
      <c r="D127" s="4" t="s">
        <v>6160</v>
      </c>
      <c r="E127" s="3">
        <v>3</v>
      </c>
      <c r="F127" s="3" t="str">
        <f>_xlfn.XLOOKUP(C127,customers!$A$1:$A$1001,customers!$B$1:$B$1001,,0)</f>
        <v>Stevana Woodham</v>
      </c>
      <c r="G127" s="3" t="str">
        <f>IF(_xlfn.XLOOKUP(C127,customers!$A$1:$A$1001,customers!$C$1:$C$1001,,0)=0,"", _xlfn.XLOOKUP(C127,customers!$A$1:$A$1001,customers!$C$1:$C$1001,,0))</f>
        <v>swoodham3h@businesswire.com</v>
      </c>
      <c r="H127" s="3" t="str">
        <f>_xlfn.XLOOKUP(C127,customers!$A$1:$A$1001,customers!$G$1:$G$1001,,0)</f>
        <v>Ireland</v>
      </c>
      <c r="I127" s="4" t="str">
        <f>INDEX(products!$A$1:$G$49,MATCH(orders!$D127,products!$A$1:$A$49,0),MATCH(orders!I$1,products!$A$1:$G$1,0))</f>
        <v>Lib</v>
      </c>
      <c r="J127" s="4" t="str">
        <f>INDEX(products!$A$1:$G$49,MATCH(orders!$D127,products!$A$1:$A$49,0),MATCH(orders!J$1,products!$A$1:$G$1,0))</f>
        <v>M</v>
      </c>
      <c r="K127" s="6">
        <f>INDEX(products!$A$1:$G$49,MATCH(orders!$D127,products!$A$1:$A$49,0),MATCH(orders!K$1,products!$A$1:$G$1,0))</f>
        <v>0.5</v>
      </c>
      <c r="L127" s="7">
        <f>INDEX(products!$A$1:$G$49,MATCH(orders!$D127,products!$A$1:$A$49,0),MATCH(orders!L$1,products!$A$1:$G$1,0))</f>
        <v>8.73</v>
      </c>
      <c r="M127" s="7">
        <f t="shared" si="1"/>
        <v>26.19</v>
      </c>
      <c r="N127" s="4" t="str" cm="1">
        <f t="array" ref="N127">_xlfn.IFS(I127="Rob","Robusta",I127="Exc","Excelsa",I127="Ara","Arabica",I127="Lib","Liberica")</f>
        <v>Liberica</v>
      </c>
      <c r="O127" s="4" t="str" cm="1">
        <f t="array" ref="O127">_xlfn.IFS(J127="M","Medium",J127="L","Light",J127="D","Dark")</f>
        <v>Medium</v>
      </c>
      <c r="P127" s="4" t="str">
        <f>_xlfn.XLOOKUP(CoffeeOrderstable[[#This Row],[Customer ID]],customers!$A$1:$A$1001,customers!$I$1:$I$1001,,0)</f>
        <v>Yes</v>
      </c>
    </row>
    <row r="128" spans="1:16" x14ac:dyDescent="0.3">
      <c r="A128" s="3" t="s">
        <v>1198</v>
      </c>
      <c r="B128" s="5">
        <v>44026</v>
      </c>
      <c r="C128" s="3" t="s">
        <v>1199</v>
      </c>
      <c r="D128" s="4" t="s">
        <v>6155</v>
      </c>
      <c r="E128" s="3">
        <v>1</v>
      </c>
      <c r="F128" s="3" t="str">
        <f>_xlfn.XLOOKUP(C128,customers!$A$1:$A$1001,customers!$B$1:$B$1001,,0)</f>
        <v>Hewet Synnot</v>
      </c>
      <c r="G128" s="3" t="str">
        <f>IF(_xlfn.XLOOKUP(C128,customers!$A$1:$A$1001,customers!$C$1:$C$1001,,0)=0,"", _xlfn.XLOOKUP(C128,customers!$A$1:$A$1001,customers!$C$1:$C$1001,,0))</f>
        <v>hsynnot3i@about.com</v>
      </c>
      <c r="H128" s="3" t="str">
        <f>_xlfn.XLOOKUP(C128,customers!$A$1:$A$1001,customers!$G$1:$G$1001,,0)</f>
        <v>United States</v>
      </c>
      <c r="I128" s="4" t="str">
        <f>INDEX(products!$A$1:$G$49,MATCH(orders!$D128,products!$A$1:$A$49,0),MATCH(orders!I$1,products!$A$1:$G$1,0))</f>
        <v>Ara</v>
      </c>
      <c r="J128" s="4" t="str">
        <f>INDEX(products!$A$1:$G$49,MATCH(orders!$D128,products!$A$1:$A$49,0),MATCH(orders!J$1,products!$A$1:$G$1,0))</f>
        <v>M</v>
      </c>
      <c r="K128" s="6">
        <f>INDEX(products!$A$1:$G$49,MATCH(orders!$D128,products!$A$1:$A$49,0),MATCH(orders!K$1,products!$A$1:$G$1,0))</f>
        <v>1</v>
      </c>
      <c r="L128" s="7">
        <f>INDEX(products!$A$1:$G$49,MATCH(orders!$D128,products!$A$1:$A$49,0),MATCH(orders!L$1,products!$A$1:$G$1,0))</f>
        <v>11.25</v>
      </c>
      <c r="M128" s="7">
        <f t="shared" si="1"/>
        <v>11.25</v>
      </c>
      <c r="N128" s="4" t="str" cm="1">
        <f t="array" ref="N128">_xlfn.IFS(I128="Rob","Robusta",I128="Exc","Excelsa",I128="Ara","Arabica",I128="Lib","Liberica")</f>
        <v>Arabica</v>
      </c>
      <c r="O128" s="4" t="str" cm="1">
        <f t="array" ref="O128">_xlfn.IFS(J128="M","Medium",J128="L","Light",J128="D","Dark")</f>
        <v>Medium</v>
      </c>
      <c r="P128" s="4" t="str">
        <f>_xlfn.XLOOKUP(CoffeeOrderstable[[#This Row],[Customer ID]],customers!$A$1:$A$1001,customers!$I$1:$I$1001,,0)</f>
        <v>No</v>
      </c>
    </row>
    <row r="129" spans="1:16" x14ac:dyDescent="0.3">
      <c r="A129" s="3" t="s">
        <v>1204</v>
      </c>
      <c r="B129" s="5">
        <v>44510</v>
      </c>
      <c r="C129" s="3" t="s">
        <v>1205</v>
      </c>
      <c r="D129" s="4" t="s">
        <v>6143</v>
      </c>
      <c r="E129" s="3">
        <v>6</v>
      </c>
      <c r="F129" s="3" t="str">
        <f>_xlfn.XLOOKUP(C129,customers!$A$1:$A$1001,customers!$B$1:$B$1001,,0)</f>
        <v>Raleigh Lepere</v>
      </c>
      <c r="G129" s="3" t="str">
        <f>IF(_xlfn.XLOOKUP(C129,customers!$A$1:$A$1001,customers!$C$1:$C$1001,,0)=0,"", _xlfn.XLOOKUP(C129,customers!$A$1:$A$1001,customers!$C$1:$C$1001,,0))</f>
        <v>rlepere3j@shop-pro.jp</v>
      </c>
      <c r="H129" s="3" t="str">
        <f>_xlfn.XLOOKUP(C129,customers!$A$1:$A$1001,customers!$G$1:$G$1001,,0)</f>
        <v>Ireland</v>
      </c>
      <c r="I129" s="4" t="str">
        <f>INDEX(products!$A$1:$G$49,MATCH(orders!$D129,products!$A$1:$A$49,0),MATCH(orders!I$1,products!$A$1:$G$1,0))</f>
        <v>Lib</v>
      </c>
      <c r="J129" s="4" t="str">
        <f>INDEX(products!$A$1:$G$49,MATCH(orders!$D129,products!$A$1:$A$49,0),MATCH(orders!J$1,products!$A$1:$G$1,0))</f>
        <v>D</v>
      </c>
      <c r="K129" s="6">
        <f>INDEX(products!$A$1:$G$49,MATCH(orders!$D129,products!$A$1:$A$49,0),MATCH(orders!K$1,products!$A$1:$G$1,0))</f>
        <v>1</v>
      </c>
      <c r="L129" s="7">
        <f>INDEX(products!$A$1:$G$49,MATCH(orders!$D129,products!$A$1:$A$49,0),MATCH(orders!L$1,products!$A$1:$G$1,0))</f>
        <v>12.95</v>
      </c>
      <c r="M129" s="7">
        <f t="shared" si="1"/>
        <v>77.699999999999989</v>
      </c>
      <c r="N129" s="4" t="str" cm="1">
        <f t="array" ref="N129">_xlfn.IFS(I129="Rob","Robusta",I129="Exc","Excelsa",I129="Ara","Arabica",I129="Lib","Liberica")</f>
        <v>Liberica</v>
      </c>
      <c r="O129" s="4" t="str" cm="1">
        <f t="array" ref="O129">_xlfn.IFS(J129="M","Medium",J129="L","Light",J129="D","Dark")</f>
        <v>Dark</v>
      </c>
      <c r="P129" s="4" t="str">
        <f>_xlfn.XLOOKUP(CoffeeOrderstable[[#This Row],[Customer ID]],customers!$A$1:$A$1001,customers!$I$1:$I$1001,,0)</f>
        <v>No</v>
      </c>
    </row>
    <row r="130" spans="1:16" x14ac:dyDescent="0.3">
      <c r="A130" s="3" t="s">
        <v>1210</v>
      </c>
      <c r="B130" s="5">
        <v>44439</v>
      </c>
      <c r="C130" s="3" t="s">
        <v>1211</v>
      </c>
      <c r="D130" s="4" t="s">
        <v>6157</v>
      </c>
      <c r="E130" s="3">
        <v>1</v>
      </c>
      <c r="F130" s="3" t="str">
        <f>_xlfn.XLOOKUP(C130,customers!$A$1:$A$1001,customers!$B$1:$B$1001,,0)</f>
        <v>Timofei Woofinden</v>
      </c>
      <c r="G130" s="3" t="str">
        <f>IF(_xlfn.XLOOKUP(C130,customers!$A$1:$A$1001,customers!$C$1:$C$1001,,0)=0,"", _xlfn.XLOOKUP(C130,customers!$A$1:$A$1001,customers!$C$1:$C$1001,,0))</f>
        <v>twoofinden3k@businesswire.com</v>
      </c>
      <c r="H130" s="3" t="str">
        <f>_xlfn.XLOOKUP(C130,customers!$A$1:$A$1001,customers!$G$1:$G$1001,,0)</f>
        <v>United States</v>
      </c>
      <c r="I130" s="4" t="str">
        <f>INDEX(products!$A$1:$G$49,MATCH(orders!$D130,products!$A$1:$A$49,0),MATCH(orders!I$1,products!$A$1:$G$1,0))</f>
        <v>Ara</v>
      </c>
      <c r="J130" s="4" t="str">
        <f>INDEX(products!$A$1:$G$49,MATCH(orders!$D130,products!$A$1:$A$49,0),MATCH(orders!J$1,products!$A$1:$G$1,0))</f>
        <v>M</v>
      </c>
      <c r="K130" s="6">
        <f>INDEX(products!$A$1:$G$49,MATCH(orders!$D130,products!$A$1:$A$49,0),MATCH(orders!K$1,products!$A$1:$G$1,0))</f>
        <v>0.5</v>
      </c>
      <c r="L130" s="7">
        <f>INDEX(products!$A$1:$G$49,MATCH(orders!$D130,products!$A$1:$A$49,0),MATCH(orders!L$1,products!$A$1:$G$1,0))</f>
        <v>6.75</v>
      </c>
      <c r="M130" s="7">
        <f t="shared" si="1"/>
        <v>6.75</v>
      </c>
      <c r="N130" s="4" t="str" cm="1">
        <f t="array" ref="N130">_xlfn.IFS(I130="Rob","Robusta",I130="Exc","Excelsa",I130="Ara","Arabica",I130="Lib","Liberica")</f>
        <v>Arabica</v>
      </c>
      <c r="O130" s="4" t="str" cm="1">
        <f t="array" ref="O130">_xlfn.IFS(J130="M","Medium",J130="L","Light",J130="D","Dark")</f>
        <v>Medium</v>
      </c>
      <c r="P130" s="4" t="str">
        <f>_xlfn.XLOOKUP(CoffeeOrderstable[[#This Row],[Customer ID]],customers!$A$1:$A$1001,customers!$I$1:$I$1001,,0)</f>
        <v>No</v>
      </c>
    </row>
    <row r="131" spans="1:16" x14ac:dyDescent="0.3">
      <c r="A131" s="3" t="s">
        <v>1216</v>
      </c>
      <c r="B131" s="5">
        <v>43652</v>
      </c>
      <c r="C131" s="3" t="s">
        <v>1217</v>
      </c>
      <c r="D131" s="4" t="s">
        <v>6183</v>
      </c>
      <c r="E131" s="3">
        <v>1</v>
      </c>
      <c r="F131" s="3" t="str">
        <f>_xlfn.XLOOKUP(C131,customers!$A$1:$A$1001,customers!$B$1:$B$1001,,0)</f>
        <v>Evelina Dacca</v>
      </c>
      <c r="G131" s="3" t="str">
        <f>IF(_xlfn.XLOOKUP(C131,customers!$A$1:$A$1001,customers!$C$1:$C$1001,,0)=0,"", _xlfn.XLOOKUP(C131,customers!$A$1:$A$1001,customers!$C$1:$C$1001,,0))</f>
        <v>edacca3l@google.pl</v>
      </c>
      <c r="H131" s="3" t="str">
        <f>_xlfn.XLOOKUP(C131,customers!$A$1:$A$1001,customers!$G$1:$G$1001,,0)</f>
        <v>United States</v>
      </c>
      <c r="I131" s="4" t="str">
        <f>INDEX(products!$A$1:$G$49,MATCH(orders!$D131,products!$A$1:$A$49,0),MATCH(orders!I$1,products!$A$1:$G$1,0))</f>
        <v>Exc</v>
      </c>
      <c r="J131" s="4" t="str">
        <f>INDEX(products!$A$1:$G$49,MATCH(orders!$D131,products!$A$1:$A$49,0),MATCH(orders!J$1,products!$A$1:$G$1,0))</f>
        <v>D</v>
      </c>
      <c r="K131" s="6">
        <f>INDEX(products!$A$1:$G$49,MATCH(orders!$D131,products!$A$1:$A$49,0),MATCH(orders!K$1,products!$A$1:$G$1,0))</f>
        <v>1</v>
      </c>
      <c r="L131" s="7">
        <f>INDEX(products!$A$1:$G$49,MATCH(orders!$D131,products!$A$1:$A$49,0),MATCH(orders!L$1,products!$A$1:$G$1,0))</f>
        <v>12.15</v>
      </c>
      <c r="M131" s="7">
        <f t="shared" ref="M131:M194" si="2">L131*E131</f>
        <v>12.15</v>
      </c>
      <c r="N131" s="4" t="str" cm="1">
        <f t="array" ref="N131">_xlfn.IFS(I131="Rob","Robusta",I131="Exc","Excelsa",I131="Ara","Arabica",I131="Lib","Liberica")</f>
        <v>Excelsa</v>
      </c>
      <c r="O131" s="4" t="str" cm="1">
        <f t="array" ref="O131">_xlfn.IFS(J131="M","Medium",J131="L","Light",J131="D","Dark")</f>
        <v>Dark</v>
      </c>
      <c r="P131" s="4" t="str">
        <f>_xlfn.XLOOKUP(CoffeeOrderstable[[#This Row],[Customer ID]],customers!$A$1:$A$1001,customers!$I$1:$I$1001,,0)</f>
        <v>Yes</v>
      </c>
    </row>
    <row r="132" spans="1:16" x14ac:dyDescent="0.3">
      <c r="A132" s="3" t="s">
        <v>1222</v>
      </c>
      <c r="B132" s="5">
        <v>44624</v>
      </c>
      <c r="C132" s="3" t="s">
        <v>1223</v>
      </c>
      <c r="D132" s="4" t="s">
        <v>6182</v>
      </c>
      <c r="E132" s="3">
        <v>5</v>
      </c>
      <c r="F132" s="3" t="str">
        <f>_xlfn.XLOOKUP(C132,customers!$A$1:$A$1001,customers!$B$1:$B$1001,,0)</f>
        <v>Bidget Tremellier</v>
      </c>
      <c r="G132" s="3" t="str">
        <f>IF(_xlfn.XLOOKUP(C132,customers!$A$1:$A$1001,customers!$C$1:$C$1001,,0)=0,"", _xlfn.XLOOKUP(C132,customers!$A$1:$A$1001,customers!$C$1:$C$1001,,0))</f>
        <v/>
      </c>
      <c r="H132" s="3" t="str">
        <f>_xlfn.XLOOKUP(C132,customers!$A$1:$A$1001,customers!$G$1:$G$1001,,0)</f>
        <v>Ireland</v>
      </c>
      <c r="I132" s="4" t="str">
        <f>INDEX(products!$A$1:$G$49,MATCH(orders!$D132,products!$A$1:$A$49,0),MATCH(orders!I$1,products!$A$1:$G$1,0))</f>
        <v>Ara</v>
      </c>
      <c r="J132" s="4" t="str">
        <f>INDEX(products!$A$1:$G$49,MATCH(orders!$D132,products!$A$1:$A$49,0),MATCH(orders!J$1,products!$A$1:$G$1,0))</f>
        <v>L</v>
      </c>
      <c r="K132" s="6">
        <f>INDEX(products!$A$1:$G$49,MATCH(orders!$D132,products!$A$1:$A$49,0),MATCH(orders!K$1,products!$A$1:$G$1,0))</f>
        <v>2.5</v>
      </c>
      <c r="L132" s="7">
        <f>INDEX(products!$A$1:$G$49,MATCH(orders!$D132,products!$A$1:$A$49,0),MATCH(orders!L$1,products!$A$1:$G$1,0))</f>
        <v>29.784999999999997</v>
      </c>
      <c r="M132" s="7">
        <f t="shared" si="2"/>
        <v>148.92499999999998</v>
      </c>
      <c r="N132" s="4" t="str" cm="1">
        <f t="array" ref="N132">_xlfn.IFS(I132="Rob","Robusta",I132="Exc","Excelsa",I132="Ara","Arabica",I132="Lib","Liberica")</f>
        <v>Arabica</v>
      </c>
      <c r="O132" s="4" t="str" cm="1">
        <f t="array" ref="O132">_xlfn.IFS(J132="M","Medium",J132="L","Light",J132="D","Dark")</f>
        <v>Light</v>
      </c>
      <c r="P132" s="4" t="str">
        <f>_xlfn.XLOOKUP(CoffeeOrderstable[[#This Row],[Customer ID]],customers!$A$1:$A$1001,customers!$I$1:$I$1001,,0)</f>
        <v>Yes</v>
      </c>
    </row>
    <row r="133" spans="1:16" x14ac:dyDescent="0.3">
      <c r="A133" s="3" t="s">
        <v>1227</v>
      </c>
      <c r="B133" s="5">
        <v>44196</v>
      </c>
      <c r="C133" s="3" t="s">
        <v>1228</v>
      </c>
      <c r="D133" s="4" t="s">
        <v>6144</v>
      </c>
      <c r="E133" s="3">
        <v>2</v>
      </c>
      <c r="F133" s="3" t="str">
        <f>_xlfn.XLOOKUP(C133,customers!$A$1:$A$1001,customers!$B$1:$B$1001,,0)</f>
        <v>Bobinette Hindsberg</v>
      </c>
      <c r="G133" s="3" t="str">
        <f>IF(_xlfn.XLOOKUP(C133,customers!$A$1:$A$1001,customers!$C$1:$C$1001,,0)=0,"", _xlfn.XLOOKUP(C133,customers!$A$1:$A$1001,customers!$C$1:$C$1001,,0))</f>
        <v>bhindsberg3n@blogs.com</v>
      </c>
      <c r="H133" s="3" t="str">
        <f>_xlfn.XLOOKUP(C133,customers!$A$1:$A$1001,customers!$G$1:$G$1001,,0)</f>
        <v>United States</v>
      </c>
      <c r="I133" s="4" t="str">
        <f>INDEX(products!$A$1:$G$49,MATCH(orders!$D133,products!$A$1:$A$49,0),MATCH(orders!I$1,products!$A$1:$G$1,0))</f>
        <v>Exc</v>
      </c>
      <c r="J133" s="4" t="str">
        <f>INDEX(products!$A$1:$G$49,MATCH(orders!$D133,products!$A$1:$A$49,0),MATCH(orders!J$1,products!$A$1:$G$1,0))</f>
        <v>D</v>
      </c>
      <c r="K133" s="6">
        <f>INDEX(products!$A$1:$G$49,MATCH(orders!$D133,products!$A$1:$A$49,0),MATCH(orders!K$1,products!$A$1:$G$1,0))</f>
        <v>0.5</v>
      </c>
      <c r="L133" s="7">
        <f>INDEX(products!$A$1:$G$49,MATCH(orders!$D133,products!$A$1:$A$49,0),MATCH(orders!L$1,products!$A$1:$G$1,0))</f>
        <v>7.29</v>
      </c>
      <c r="M133" s="7">
        <f t="shared" si="2"/>
        <v>14.58</v>
      </c>
      <c r="N133" s="4" t="str" cm="1">
        <f t="array" ref="N133">_xlfn.IFS(I133="Rob","Robusta",I133="Exc","Excelsa",I133="Ara","Arabica",I133="Lib","Liberica")</f>
        <v>Excelsa</v>
      </c>
      <c r="O133" s="4" t="str" cm="1">
        <f t="array" ref="O133">_xlfn.IFS(J133="M","Medium",J133="L","Light",J133="D","Dark")</f>
        <v>Dark</v>
      </c>
      <c r="P133" s="4" t="str">
        <f>_xlfn.XLOOKUP(CoffeeOrderstable[[#This Row],[Customer ID]],customers!$A$1:$A$1001,customers!$I$1:$I$1001,,0)</f>
        <v>Yes</v>
      </c>
    </row>
    <row r="134" spans="1:16" x14ac:dyDescent="0.3">
      <c r="A134" s="3" t="s">
        <v>1233</v>
      </c>
      <c r="B134" s="5">
        <v>44043</v>
      </c>
      <c r="C134" s="3" t="s">
        <v>1234</v>
      </c>
      <c r="D134" s="4" t="s">
        <v>6182</v>
      </c>
      <c r="E134" s="3">
        <v>5</v>
      </c>
      <c r="F134" s="3" t="str">
        <f>_xlfn.XLOOKUP(C134,customers!$A$1:$A$1001,customers!$B$1:$B$1001,,0)</f>
        <v>Osbert Robins</v>
      </c>
      <c r="G134" s="3" t="str">
        <f>IF(_xlfn.XLOOKUP(C134,customers!$A$1:$A$1001,customers!$C$1:$C$1001,,0)=0,"", _xlfn.XLOOKUP(C134,customers!$A$1:$A$1001,customers!$C$1:$C$1001,,0))</f>
        <v>orobins3o@salon.com</v>
      </c>
      <c r="H134" s="3" t="str">
        <f>_xlfn.XLOOKUP(C134,customers!$A$1:$A$1001,customers!$G$1:$G$1001,,0)</f>
        <v>United States</v>
      </c>
      <c r="I134" s="4" t="str">
        <f>INDEX(products!$A$1:$G$49,MATCH(orders!$D134,products!$A$1:$A$49,0),MATCH(orders!I$1,products!$A$1:$G$1,0))</f>
        <v>Ara</v>
      </c>
      <c r="J134" s="4" t="str">
        <f>INDEX(products!$A$1:$G$49,MATCH(orders!$D134,products!$A$1:$A$49,0),MATCH(orders!J$1,products!$A$1:$G$1,0))</f>
        <v>L</v>
      </c>
      <c r="K134" s="6">
        <f>INDEX(products!$A$1:$G$49,MATCH(orders!$D134,products!$A$1:$A$49,0),MATCH(orders!K$1,products!$A$1:$G$1,0))</f>
        <v>2.5</v>
      </c>
      <c r="L134" s="7">
        <f>INDEX(products!$A$1:$G$49,MATCH(orders!$D134,products!$A$1:$A$49,0),MATCH(orders!L$1,products!$A$1:$G$1,0))</f>
        <v>29.784999999999997</v>
      </c>
      <c r="M134" s="7">
        <f t="shared" si="2"/>
        <v>148.92499999999998</v>
      </c>
      <c r="N134" s="4" t="str" cm="1">
        <f t="array" ref="N134">_xlfn.IFS(I134="Rob","Robusta",I134="Exc","Excelsa",I134="Ara","Arabica",I134="Lib","Liberica")</f>
        <v>Arabica</v>
      </c>
      <c r="O134" s="4" t="str" cm="1">
        <f t="array" ref="O134">_xlfn.IFS(J134="M","Medium",J134="L","Light",J134="D","Dark")</f>
        <v>Light</v>
      </c>
      <c r="P134" s="4" t="str">
        <f>_xlfn.XLOOKUP(CoffeeOrderstable[[#This Row],[Customer ID]],customers!$A$1:$A$1001,customers!$I$1:$I$1001,,0)</f>
        <v>Yes</v>
      </c>
    </row>
    <row r="135" spans="1:16" x14ac:dyDescent="0.3">
      <c r="A135" s="3" t="s">
        <v>1239</v>
      </c>
      <c r="B135" s="5">
        <v>44340</v>
      </c>
      <c r="C135" s="3" t="s">
        <v>1240</v>
      </c>
      <c r="D135" s="4" t="s">
        <v>6143</v>
      </c>
      <c r="E135" s="3">
        <v>1</v>
      </c>
      <c r="F135" s="3" t="str">
        <f>_xlfn.XLOOKUP(C135,customers!$A$1:$A$1001,customers!$B$1:$B$1001,,0)</f>
        <v>Othello Syseland</v>
      </c>
      <c r="G135" s="3" t="str">
        <f>IF(_xlfn.XLOOKUP(C135,customers!$A$1:$A$1001,customers!$C$1:$C$1001,,0)=0,"", _xlfn.XLOOKUP(C135,customers!$A$1:$A$1001,customers!$C$1:$C$1001,,0))</f>
        <v>osyseland3p@independent.co.uk</v>
      </c>
      <c r="H135" s="3" t="str">
        <f>_xlfn.XLOOKUP(C135,customers!$A$1:$A$1001,customers!$G$1:$G$1001,,0)</f>
        <v>United States</v>
      </c>
      <c r="I135" s="4" t="str">
        <f>INDEX(products!$A$1:$G$49,MATCH(orders!$D135,products!$A$1:$A$49,0),MATCH(orders!I$1,products!$A$1:$G$1,0))</f>
        <v>Lib</v>
      </c>
      <c r="J135" s="4" t="str">
        <f>INDEX(products!$A$1:$G$49,MATCH(orders!$D135,products!$A$1:$A$49,0),MATCH(orders!J$1,products!$A$1:$G$1,0))</f>
        <v>D</v>
      </c>
      <c r="K135" s="6">
        <f>INDEX(products!$A$1:$G$49,MATCH(orders!$D135,products!$A$1:$A$49,0),MATCH(orders!K$1,products!$A$1:$G$1,0))</f>
        <v>1</v>
      </c>
      <c r="L135" s="7">
        <f>INDEX(products!$A$1:$G$49,MATCH(orders!$D135,products!$A$1:$A$49,0),MATCH(orders!L$1,products!$A$1:$G$1,0))</f>
        <v>12.95</v>
      </c>
      <c r="M135" s="7">
        <f t="shared" si="2"/>
        <v>12.95</v>
      </c>
      <c r="N135" s="4" t="str" cm="1">
        <f t="array" ref="N135">_xlfn.IFS(I135="Rob","Robusta",I135="Exc","Excelsa",I135="Ara","Arabica",I135="Lib","Liberica")</f>
        <v>Liberica</v>
      </c>
      <c r="O135" s="4" t="str" cm="1">
        <f t="array" ref="O135">_xlfn.IFS(J135="M","Medium",J135="L","Light",J135="D","Dark")</f>
        <v>Dark</v>
      </c>
      <c r="P135" s="4" t="str">
        <f>_xlfn.XLOOKUP(CoffeeOrderstable[[#This Row],[Customer ID]],customers!$A$1:$A$1001,customers!$I$1:$I$1001,,0)</f>
        <v>No</v>
      </c>
    </row>
    <row r="136" spans="1:16" x14ac:dyDescent="0.3">
      <c r="A136" s="3" t="s">
        <v>1245</v>
      </c>
      <c r="B136" s="5">
        <v>44758</v>
      </c>
      <c r="C136" s="3" t="s">
        <v>1246</v>
      </c>
      <c r="D136" s="4" t="s">
        <v>6166</v>
      </c>
      <c r="E136" s="3">
        <v>3</v>
      </c>
      <c r="F136" s="3" t="str">
        <f>_xlfn.XLOOKUP(C136,customers!$A$1:$A$1001,customers!$B$1:$B$1001,,0)</f>
        <v>Ewell Hanby</v>
      </c>
      <c r="G136" s="3" t="str">
        <f>IF(_xlfn.XLOOKUP(C136,customers!$A$1:$A$1001,customers!$C$1:$C$1001,,0)=0,"", _xlfn.XLOOKUP(C136,customers!$A$1:$A$1001,customers!$C$1:$C$1001,,0))</f>
        <v/>
      </c>
      <c r="H136" s="3" t="str">
        <f>_xlfn.XLOOKUP(C136,customers!$A$1:$A$1001,customers!$G$1:$G$1001,,0)</f>
        <v>United States</v>
      </c>
      <c r="I136" s="4" t="str">
        <f>INDEX(products!$A$1:$G$49,MATCH(orders!$D136,products!$A$1:$A$49,0),MATCH(orders!I$1,products!$A$1:$G$1,0))</f>
        <v>Exc</v>
      </c>
      <c r="J136" s="4" t="str">
        <f>INDEX(products!$A$1:$G$49,MATCH(orders!$D136,products!$A$1:$A$49,0),MATCH(orders!J$1,products!$A$1:$G$1,0))</f>
        <v>M</v>
      </c>
      <c r="K136" s="6">
        <f>INDEX(products!$A$1:$G$49,MATCH(orders!$D136,products!$A$1:$A$49,0),MATCH(orders!K$1,products!$A$1:$G$1,0))</f>
        <v>2.5</v>
      </c>
      <c r="L136" s="7">
        <f>INDEX(products!$A$1:$G$49,MATCH(orders!$D136,products!$A$1:$A$49,0),MATCH(orders!L$1,products!$A$1:$G$1,0))</f>
        <v>31.624999999999996</v>
      </c>
      <c r="M136" s="7">
        <f t="shared" si="2"/>
        <v>94.874999999999986</v>
      </c>
      <c r="N136" s="4" t="str" cm="1">
        <f t="array" ref="N136">_xlfn.IFS(I136="Rob","Robusta",I136="Exc","Excelsa",I136="Ara","Arabica",I136="Lib","Liberica")</f>
        <v>Excelsa</v>
      </c>
      <c r="O136" s="4" t="str" cm="1">
        <f t="array" ref="O136">_xlfn.IFS(J136="M","Medium",J136="L","Light",J136="D","Dark")</f>
        <v>Medium</v>
      </c>
      <c r="P136" s="4" t="str">
        <f>_xlfn.XLOOKUP(CoffeeOrderstable[[#This Row],[Customer ID]],customers!$A$1:$A$1001,customers!$I$1:$I$1001,,0)</f>
        <v>Yes</v>
      </c>
    </row>
    <row r="137" spans="1:16" x14ac:dyDescent="0.3">
      <c r="A137" s="3" t="s">
        <v>1249</v>
      </c>
      <c r="B137" s="5">
        <v>44232</v>
      </c>
      <c r="C137" s="3" t="s">
        <v>976</v>
      </c>
      <c r="D137" s="4" t="s">
        <v>6180</v>
      </c>
      <c r="E137" s="3">
        <v>5</v>
      </c>
      <c r="F137" s="3" t="str">
        <f>_xlfn.XLOOKUP(C137,customers!$A$1:$A$1001,customers!$B$1:$B$1001,,0)</f>
        <v>Blancha McAmish</v>
      </c>
      <c r="G137" s="3" t="str">
        <f>IF(_xlfn.XLOOKUP(C137,customers!$A$1:$A$1001,customers!$C$1:$C$1001,,0)=0,"", _xlfn.XLOOKUP(C137,customers!$A$1:$A$1001,customers!$C$1:$C$1001,,0))</f>
        <v>bmcamish2e@tripadvisor.com</v>
      </c>
      <c r="H137" s="3" t="str">
        <f>_xlfn.XLOOKUP(C137,customers!$A$1:$A$1001,customers!$G$1:$G$1001,,0)</f>
        <v>United States</v>
      </c>
      <c r="I137" s="4" t="str">
        <f>INDEX(products!$A$1:$G$49,MATCH(orders!$D137,products!$A$1:$A$49,0),MATCH(orders!I$1,products!$A$1:$G$1,0))</f>
        <v>Ara</v>
      </c>
      <c r="J137" s="4" t="str">
        <f>INDEX(products!$A$1:$G$49,MATCH(orders!$D137,products!$A$1:$A$49,0),MATCH(orders!J$1,products!$A$1:$G$1,0))</f>
        <v>L</v>
      </c>
      <c r="K137" s="6">
        <f>INDEX(products!$A$1:$G$49,MATCH(orders!$D137,products!$A$1:$A$49,0),MATCH(orders!K$1,products!$A$1:$G$1,0))</f>
        <v>0.5</v>
      </c>
      <c r="L137" s="7">
        <f>INDEX(products!$A$1:$G$49,MATCH(orders!$D137,products!$A$1:$A$49,0),MATCH(orders!L$1,products!$A$1:$G$1,0))</f>
        <v>7.77</v>
      </c>
      <c r="M137" s="7">
        <f t="shared" si="2"/>
        <v>38.849999999999994</v>
      </c>
      <c r="N137" s="4" t="str" cm="1">
        <f t="array" ref="N137">_xlfn.IFS(I137="Rob","Robusta",I137="Exc","Excelsa",I137="Ara","Arabica",I137="Lib","Liberica")</f>
        <v>Arabica</v>
      </c>
      <c r="O137" s="4" t="str" cm="1">
        <f t="array" ref="O137">_xlfn.IFS(J137="M","Medium",J137="L","Light",J137="D","Dark")</f>
        <v>Light</v>
      </c>
      <c r="P137" s="4" t="str">
        <f>_xlfn.XLOOKUP(CoffeeOrderstable[[#This Row],[Customer ID]],customers!$A$1:$A$1001,customers!$I$1:$I$1001,,0)</f>
        <v>Yes</v>
      </c>
    </row>
    <row r="138" spans="1:16" x14ac:dyDescent="0.3">
      <c r="A138" s="3" t="s">
        <v>1255</v>
      </c>
      <c r="B138" s="5">
        <v>44406</v>
      </c>
      <c r="C138" s="3" t="s">
        <v>1256</v>
      </c>
      <c r="D138" s="4" t="s">
        <v>6154</v>
      </c>
      <c r="E138" s="3">
        <v>4</v>
      </c>
      <c r="F138" s="3" t="str">
        <f>_xlfn.XLOOKUP(C138,customers!$A$1:$A$1001,customers!$B$1:$B$1001,,0)</f>
        <v>Lowell Keenleyside</v>
      </c>
      <c r="G138" s="3" t="str">
        <f>IF(_xlfn.XLOOKUP(C138,customers!$A$1:$A$1001,customers!$C$1:$C$1001,,0)=0,"", _xlfn.XLOOKUP(C138,customers!$A$1:$A$1001,customers!$C$1:$C$1001,,0))</f>
        <v>lkeenleyside3s@topsy.com</v>
      </c>
      <c r="H138" s="3" t="str">
        <f>_xlfn.XLOOKUP(C138,customers!$A$1:$A$1001,customers!$G$1:$G$1001,,0)</f>
        <v>United States</v>
      </c>
      <c r="I138" s="4" t="str">
        <f>INDEX(products!$A$1:$G$49,MATCH(orders!$D138,products!$A$1:$A$49,0),MATCH(orders!I$1,products!$A$1:$G$1,0))</f>
        <v>Ara</v>
      </c>
      <c r="J138" s="4" t="str">
        <f>INDEX(products!$A$1:$G$49,MATCH(orders!$D138,products!$A$1:$A$49,0),MATCH(orders!J$1,products!$A$1:$G$1,0))</f>
        <v>D</v>
      </c>
      <c r="K138" s="6">
        <f>INDEX(products!$A$1:$G$49,MATCH(orders!$D138,products!$A$1:$A$49,0),MATCH(orders!K$1,products!$A$1:$G$1,0))</f>
        <v>0.2</v>
      </c>
      <c r="L138" s="7">
        <f>INDEX(products!$A$1:$G$49,MATCH(orders!$D138,products!$A$1:$A$49,0),MATCH(orders!L$1,products!$A$1:$G$1,0))</f>
        <v>2.9849999999999999</v>
      </c>
      <c r="M138" s="7">
        <f t="shared" si="2"/>
        <v>11.94</v>
      </c>
      <c r="N138" s="4" t="str" cm="1">
        <f t="array" ref="N138">_xlfn.IFS(I138="Rob","Robusta",I138="Exc","Excelsa",I138="Ara","Arabica",I138="Lib","Liberica")</f>
        <v>Arabica</v>
      </c>
      <c r="O138" s="4" t="str" cm="1">
        <f t="array" ref="O138">_xlfn.IFS(J138="M","Medium",J138="L","Light",J138="D","Dark")</f>
        <v>Dark</v>
      </c>
      <c r="P138" s="4" t="str">
        <f>_xlfn.XLOOKUP(CoffeeOrderstable[[#This Row],[Customer ID]],customers!$A$1:$A$1001,customers!$I$1:$I$1001,,0)</f>
        <v>No</v>
      </c>
    </row>
    <row r="139" spans="1:16" x14ac:dyDescent="0.3">
      <c r="A139" s="3" t="s">
        <v>1261</v>
      </c>
      <c r="B139" s="5">
        <v>44637</v>
      </c>
      <c r="C139" s="3" t="s">
        <v>1262</v>
      </c>
      <c r="D139" s="4" t="s">
        <v>6148</v>
      </c>
      <c r="E139" s="3">
        <v>3</v>
      </c>
      <c r="F139" s="3" t="str">
        <f>_xlfn.XLOOKUP(C139,customers!$A$1:$A$1001,customers!$B$1:$B$1001,,0)</f>
        <v>Elonore Joliffe</v>
      </c>
      <c r="G139" s="3" t="str">
        <f>IF(_xlfn.XLOOKUP(C139,customers!$A$1:$A$1001,customers!$C$1:$C$1001,,0)=0,"", _xlfn.XLOOKUP(C139,customers!$A$1:$A$1001,customers!$C$1:$C$1001,,0))</f>
        <v/>
      </c>
      <c r="H139" s="3" t="str">
        <f>_xlfn.XLOOKUP(C139,customers!$A$1:$A$1001,customers!$G$1:$G$1001,,0)</f>
        <v>Ireland</v>
      </c>
      <c r="I139" s="4" t="str">
        <f>INDEX(products!$A$1:$G$49,MATCH(orders!$D139,products!$A$1:$A$49,0),MATCH(orders!I$1,products!$A$1:$G$1,0))</f>
        <v>Exc</v>
      </c>
      <c r="J139" s="4" t="str">
        <f>INDEX(products!$A$1:$G$49,MATCH(orders!$D139,products!$A$1:$A$49,0),MATCH(orders!J$1,products!$A$1:$G$1,0))</f>
        <v>L</v>
      </c>
      <c r="K139" s="6">
        <f>INDEX(products!$A$1:$G$49,MATCH(orders!$D139,products!$A$1:$A$49,0),MATCH(orders!K$1,products!$A$1:$G$1,0))</f>
        <v>2.5</v>
      </c>
      <c r="L139" s="7">
        <f>INDEX(products!$A$1:$G$49,MATCH(orders!$D139,products!$A$1:$A$49,0),MATCH(orders!L$1,products!$A$1:$G$1,0))</f>
        <v>34.154999999999994</v>
      </c>
      <c r="M139" s="7">
        <f t="shared" si="2"/>
        <v>102.46499999999997</v>
      </c>
      <c r="N139" s="4" t="str" cm="1">
        <f t="array" ref="N139">_xlfn.IFS(I139="Rob","Robusta",I139="Exc","Excelsa",I139="Ara","Arabica",I139="Lib","Liberica")</f>
        <v>Excelsa</v>
      </c>
      <c r="O139" s="4" t="str" cm="1">
        <f t="array" ref="O139">_xlfn.IFS(J139="M","Medium",J139="L","Light",J139="D","Dark")</f>
        <v>Light</v>
      </c>
      <c r="P139" s="4" t="str">
        <f>_xlfn.XLOOKUP(CoffeeOrderstable[[#This Row],[Customer ID]],customers!$A$1:$A$1001,customers!$I$1:$I$1001,,0)</f>
        <v>No</v>
      </c>
    </row>
    <row r="140" spans="1:16" x14ac:dyDescent="0.3">
      <c r="A140" s="3" t="s">
        <v>1266</v>
      </c>
      <c r="B140" s="5">
        <v>44238</v>
      </c>
      <c r="C140" s="3" t="s">
        <v>1267</v>
      </c>
      <c r="D140" s="4" t="s">
        <v>6183</v>
      </c>
      <c r="E140" s="3">
        <v>4</v>
      </c>
      <c r="F140" s="3" t="str">
        <f>_xlfn.XLOOKUP(C140,customers!$A$1:$A$1001,customers!$B$1:$B$1001,,0)</f>
        <v>Abraham Coleman</v>
      </c>
      <c r="G140" s="3" t="str">
        <f>IF(_xlfn.XLOOKUP(C140,customers!$A$1:$A$1001,customers!$C$1:$C$1001,,0)=0,"", _xlfn.XLOOKUP(C140,customers!$A$1:$A$1001,customers!$C$1:$C$1001,,0))</f>
        <v/>
      </c>
      <c r="H140" s="3" t="str">
        <f>_xlfn.XLOOKUP(C140,customers!$A$1:$A$1001,customers!$G$1:$G$1001,,0)</f>
        <v>United States</v>
      </c>
      <c r="I140" s="4" t="str">
        <f>INDEX(products!$A$1:$G$49,MATCH(orders!$D140,products!$A$1:$A$49,0),MATCH(orders!I$1,products!$A$1:$G$1,0))</f>
        <v>Exc</v>
      </c>
      <c r="J140" s="4" t="str">
        <f>INDEX(products!$A$1:$G$49,MATCH(orders!$D140,products!$A$1:$A$49,0),MATCH(orders!J$1,products!$A$1:$G$1,0))</f>
        <v>D</v>
      </c>
      <c r="K140" s="6">
        <f>INDEX(products!$A$1:$G$49,MATCH(orders!$D140,products!$A$1:$A$49,0),MATCH(orders!K$1,products!$A$1:$G$1,0))</f>
        <v>1</v>
      </c>
      <c r="L140" s="7">
        <f>INDEX(products!$A$1:$G$49,MATCH(orders!$D140,products!$A$1:$A$49,0),MATCH(orders!L$1,products!$A$1:$G$1,0))</f>
        <v>12.15</v>
      </c>
      <c r="M140" s="7">
        <f t="shared" si="2"/>
        <v>48.6</v>
      </c>
      <c r="N140" s="4" t="str" cm="1">
        <f t="array" ref="N140">_xlfn.IFS(I140="Rob","Robusta",I140="Exc","Excelsa",I140="Ara","Arabica",I140="Lib","Liberica")</f>
        <v>Excelsa</v>
      </c>
      <c r="O140" s="4" t="str" cm="1">
        <f t="array" ref="O140">_xlfn.IFS(J140="M","Medium",J140="L","Light",J140="D","Dark")</f>
        <v>Dark</v>
      </c>
      <c r="P140" s="4" t="str">
        <f>_xlfn.XLOOKUP(CoffeeOrderstable[[#This Row],[Customer ID]],customers!$A$1:$A$1001,customers!$I$1:$I$1001,,0)</f>
        <v>No</v>
      </c>
    </row>
    <row r="141" spans="1:16" x14ac:dyDescent="0.3">
      <c r="A141" s="3" t="s">
        <v>1271</v>
      </c>
      <c r="B141" s="5">
        <v>43509</v>
      </c>
      <c r="C141" s="3" t="s">
        <v>1272</v>
      </c>
      <c r="D141" s="4" t="s">
        <v>6143</v>
      </c>
      <c r="E141" s="3">
        <v>6</v>
      </c>
      <c r="F141" s="3" t="str">
        <f>_xlfn.XLOOKUP(C141,customers!$A$1:$A$1001,customers!$B$1:$B$1001,,0)</f>
        <v>Rivy Farington</v>
      </c>
      <c r="G141" s="3" t="str">
        <f>IF(_xlfn.XLOOKUP(C141,customers!$A$1:$A$1001,customers!$C$1:$C$1001,,0)=0,"", _xlfn.XLOOKUP(C141,customers!$A$1:$A$1001,customers!$C$1:$C$1001,,0))</f>
        <v/>
      </c>
      <c r="H141" s="3" t="str">
        <f>_xlfn.XLOOKUP(C141,customers!$A$1:$A$1001,customers!$G$1:$G$1001,,0)</f>
        <v>United States</v>
      </c>
      <c r="I141" s="4" t="str">
        <f>INDEX(products!$A$1:$G$49,MATCH(orders!$D141,products!$A$1:$A$49,0),MATCH(orders!I$1,products!$A$1:$G$1,0))</f>
        <v>Lib</v>
      </c>
      <c r="J141" s="4" t="str">
        <f>INDEX(products!$A$1:$G$49,MATCH(orders!$D141,products!$A$1:$A$49,0),MATCH(orders!J$1,products!$A$1:$G$1,0))</f>
        <v>D</v>
      </c>
      <c r="K141" s="6">
        <f>INDEX(products!$A$1:$G$49,MATCH(orders!$D141,products!$A$1:$A$49,0),MATCH(orders!K$1,products!$A$1:$G$1,0))</f>
        <v>1</v>
      </c>
      <c r="L141" s="7">
        <f>INDEX(products!$A$1:$G$49,MATCH(orders!$D141,products!$A$1:$A$49,0),MATCH(orders!L$1,products!$A$1:$G$1,0))</f>
        <v>12.95</v>
      </c>
      <c r="M141" s="7">
        <f t="shared" si="2"/>
        <v>77.699999999999989</v>
      </c>
      <c r="N141" s="4" t="str" cm="1">
        <f t="array" ref="N141">_xlfn.IFS(I141="Rob","Robusta",I141="Exc","Excelsa",I141="Ara","Arabica",I141="Lib","Liberica")</f>
        <v>Liberica</v>
      </c>
      <c r="O141" s="4" t="str" cm="1">
        <f t="array" ref="O141">_xlfn.IFS(J141="M","Medium",J141="L","Light",J141="D","Dark")</f>
        <v>Dark</v>
      </c>
      <c r="P141" s="4" t="str">
        <f>_xlfn.XLOOKUP(CoffeeOrderstable[[#This Row],[Customer ID]],customers!$A$1:$A$1001,customers!$I$1:$I$1001,,0)</f>
        <v>Yes</v>
      </c>
    </row>
    <row r="142" spans="1:16" x14ac:dyDescent="0.3">
      <c r="A142" s="3" t="s">
        <v>1276</v>
      </c>
      <c r="B142" s="5">
        <v>44694</v>
      </c>
      <c r="C142" s="3" t="s">
        <v>1277</v>
      </c>
      <c r="D142" s="4" t="s">
        <v>6165</v>
      </c>
      <c r="E142" s="3">
        <v>1</v>
      </c>
      <c r="F142" s="3" t="str">
        <f>_xlfn.XLOOKUP(C142,customers!$A$1:$A$1001,customers!$B$1:$B$1001,,0)</f>
        <v>Vallie Kundt</v>
      </c>
      <c r="G142" s="3" t="str">
        <f>IF(_xlfn.XLOOKUP(C142,customers!$A$1:$A$1001,customers!$C$1:$C$1001,,0)=0,"", _xlfn.XLOOKUP(C142,customers!$A$1:$A$1001,customers!$C$1:$C$1001,,0))</f>
        <v>vkundt3w@bigcartel.com</v>
      </c>
      <c r="H142" s="3" t="str">
        <f>_xlfn.XLOOKUP(C142,customers!$A$1:$A$1001,customers!$G$1:$G$1001,,0)</f>
        <v>Ireland</v>
      </c>
      <c r="I142" s="4" t="str">
        <f>INDEX(products!$A$1:$G$49,MATCH(orders!$D142,products!$A$1:$A$49,0),MATCH(orders!I$1,products!$A$1:$G$1,0))</f>
        <v>Lib</v>
      </c>
      <c r="J142" s="4" t="str">
        <f>INDEX(products!$A$1:$G$49,MATCH(orders!$D142,products!$A$1:$A$49,0),MATCH(orders!J$1,products!$A$1:$G$1,0))</f>
        <v>D</v>
      </c>
      <c r="K142" s="6">
        <f>INDEX(products!$A$1:$G$49,MATCH(orders!$D142,products!$A$1:$A$49,0),MATCH(orders!K$1,products!$A$1:$G$1,0))</f>
        <v>2.5</v>
      </c>
      <c r="L142" s="7">
        <f>INDEX(products!$A$1:$G$49,MATCH(orders!$D142,products!$A$1:$A$49,0),MATCH(orders!L$1,products!$A$1:$G$1,0))</f>
        <v>29.784999999999997</v>
      </c>
      <c r="M142" s="7">
        <f t="shared" si="2"/>
        <v>29.784999999999997</v>
      </c>
      <c r="N142" s="4" t="str" cm="1">
        <f t="array" ref="N142">_xlfn.IFS(I142="Rob","Robusta",I142="Exc","Excelsa",I142="Ara","Arabica",I142="Lib","Liberica")</f>
        <v>Liberica</v>
      </c>
      <c r="O142" s="4" t="str" cm="1">
        <f t="array" ref="O142">_xlfn.IFS(J142="M","Medium",J142="L","Light",J142="D","Dark")</f>
        <v>Dark</v>
      </c>
      <c r="P142" s="4" t="str">
        <f>_xlfn.XLOOKUP(CoffeeOrderstable[[#This Row],[Customer ID]],customers!$A$1:$A$1001,customers!$I$1:$I$1001,,0)</f>
        <v>Yes</v>
      </c>
    </row>
    <row r="143" spans="1:16" x14ac:dyDescent="0.3">
      <c r="A143" s="3" t="s">
        <v>1283</v>
      </c>
      <c r="B143" s="5">
        <v>43970</v>
      </c>
      <c r="C143" s="3" t="s">
        <v>1284</v>
      </c>
      <c r="D143" s="4" t="s">
        <v>6167</v>
      </c>
      <c r="E143" s="3">
        <v>4</v>
      </c>
      <c r="F143" s="3" t="str">
        <f>_xlfn.XLOOKUP(C143,customers!$A$1:$A$1001,customers!$B$1:$B$1001,,0)</f>
        <v>Boyd Bett</v>
      </c>
      <c r="G143" s="3" t="str">
        <f>IF(_xlfn.XLOOKUP(C143,customers!$A$1:$A$1001,customers!$C$1:$C$1001,,0)=0,"", _xlfn.XLOOKUP(C143,customers!$A$1:$A$1001,customers!$C$1:$C$1001,,0))</f>
        <v>bbett3x@google.de</v>
      </c>
      <c r="H143" s="3" t="str">
        <f>_xlfn.XLOOKUP(C143,customers!$A$1:$A$1001,customers!$G$1:$G$1001,,0)</f>
        <v>United States</v>
      </c>
      <c r="I143" s="4" t="str">
        <f>INDEX(products!$A$1:$G$49,MATCH(orders!$D143,products!$A$1:$A$49,0),MATCH(orders!I$1,products!$A$1:$G$1,0))</f>
        <v>Ara</v>
      </c>
      <c r="J143" s="4" t="str">
        <f>INDEX(products!$A$1:$G$49,MATCH(orders!$D143,products!$A$1:$A$49,0),MATCH(orders!J$1,products!$A$1:$G$1,0))</f>
        <v>L</v>
      </c>
      <c r="K143" s="6">
        <f>INDEX(products!$A$1:$G$49,MATCH(orders!$D143,products!$A$1:$A$49,0),MATCH(orders!K$1,products!$A$1:$G$1,0))</f>
        <v>0.2</v>
      </c>
      <c r="L143" s="7">
        <f>INDEX(products!$A$1:$G$49,MATCH(orders!$D143,products!$A$1:$A$49,0),MATCH(orders!L$1,products!$A$1:$G$1,0))</f>
        <v>3.8849999999999998</v>
      </c>
      <c r="M143" s="7">
        <f t="shared" si="2"/>
        <v>15.54</v>
      </c>
      <c r="N143" s="4" t="str" cm="1">
        <f t="array" ref="N143">_xlfn.IFS(I143="Rob","Robusta",I143="Exc","Excelsa",I143="Ara","Arabica",I143="Lib","Liberica")</f>
        <v>Arabica</v>
      </c>
      <c r="O143" s="4" t="str" cm="1">
        <f t="array" ref="O143">_xlfn.IFS(J143="M","Medium",J143="L","Light",J143="D","Dark")</f>
        <v>Light</v>
      </c>
      <c r="P143" s="4" t="str">
        <f>_xlfn.XLOOKUP(CoffeeOrderstable[[#This Row],[Customer ID]],customers!$A$1:$A$1001,customers!$I$1:$I$1001,,0)</f>
        <v>Yes</v>
      </c>
    </row>
    <row r="144" spans="1:16" x14ac:dyDescent="0.3">
      <c r="A144" s="3" t="s">
        <v>1289</v>
      </c>
      <c r="B144" s="5">
        <v>44678</v>
      </c>
      <c r="C144" s="3" t="s">
        <v>1290</v>
      </c>
      <c r="D144" s="4" t="s">
        <v>6148</v>
      </c>
      <c r="E144" s="3">
        <v>4</v>
      </c>
      <c r="F144" s="3" t="str">
        <f>_xlfn.XLOOKUP(C144,customers!$A$1:$A$1001,customers!$B$1:$B$1001,,0)</f>
        <v>Julio Armytage</v>
      </c>
      <c r="G144" s="3" t="str">
        <f>IF(_xlfn.XLOOKUP(C144,customers!$A$1:$A$1001,customers!$C$1:$C$1001,,0)=0,"", _xlfn.XLOOKUP(C144,customers!$A$1:$A$1001,customers!$C$1:$C$1001,,0))</f>
        <v/>
      </c>
      <c r="H144" s="3" t="str">
        <f>_xlfn.XLOOKUP(C144,customers!$A$1:$A$1001,customers!$G$1:$G$1001,,0)</f>
        <v>Ireland</v>
      </c>
      <c r="I144" s="4" t="str">
        <f>INDEX(products!$A$1:$G$49,MATCH(orders!$D144,products!$A$1:$A$49,0),MATCH(orders!I$1,products!$A$1:$G$1,0))</f>
        <v>Exc</v>
      </c>
      <c r="J144" s="4" t="str">
        <f>INDEX(products!$A$1:$G$49,MATCH(orders!$D144,products!$A$1:$A$49,0),MATCH(orders!J$1,products!$A$1:$G$1,0))</f>
        <v>L</v>
      </c>
      <c r="K144" s="6">
        <f>INDEX(products!$A$1:$G$49,MATCH(orders!$D144,products!$A$1:$A$49,0),MATCH(orders!K$1,products!$A$1:$G$1,0))</f>
        <v>2.5</v>
      </c>
      <c r="L144" s="7">
        <f>INDEX(products!$A$1:$G$49,MATCH(orders!$D144,products!$A$1:$A$49,0),MATCH(orders!L$1,products!$A$1:$G$1,0))</f>
        <v>34.154999999999994</v>
      </c>
      <c r="M144" s="7">
        <f t="shared" si="2"/>
        <v>136.61999999999998</v>
      </c>
      <c r="N144" s="4" t="str" cm="1">
        <f t="array" ref="N144">_xlfn.IFS(I144="Rob","Robusta",I144="Exc","Excelsa",I144="Ara","Arabica",I144="Lib","Liberica")</f>
        <v>Excelsa</v>
      </c>
      <c r="O144" s="4" t="str" cm="1">
        <f t="array" ref="O144">_xlfn.IFS(J144="M","Medium",J144="L","Light",J144="D","Dark")</f>
        <v>Light</v>
      </c>
      <c r="P144" s="4" t="str">
        <f>_xlfn.XLOOKUP(CoffeeOrderstable[[#This Row],[Customer ID]],customers!$A$1:$A$1001,customers!$I$1:$I$1001,,0)</f>
        <v>Yes</v>
      </c>
    </row>
    <row r="145" spans="1:16" x14ac:dyDescent="0.3">
      <c r="A145" s="3" t="s">
        <v>1293</v>
      </c>
      <c r="B145" s="5">
        <v>44083</v>
      </c>
      <c r="C145" s="3" t="s">
        <v>1294</v>
      </c>
      <c r="D145" s="4" t="s">
        <v>6160</v>
      </c>
      <c r="E145" s="3">
        <v>2</v>
      </c>
      <c r="F145" s="3" t="str">
        <f>_xlfn.XLOOKUP(C145,customers!$A$1:$A$1001,customers!$B$1:$B$1001,,0)</f>
        <v>Deana Staite</v>
      </c>
      <c r="G145" s="3" t="str">
        <f>IF(_xlfn.XLOOKUP(C145,customers!$A$1:$A$1001,customers!$C$1:$C$1001,,0)=0,"", _xlfn.XLOOKUP(C145,customers!$A$1:$A$1001,customers!$C$1:$C$1001,,0))</f>
        <v>dstaite3z@scientificamerican.com</v>
      </c>
      <c r="H145" s="3" t="str">
        <f>_xlfn.XLOOKUP(C145,customers!$A$1:$A$1001,customers!$G$1:$G$1001,,0)</f>
        <v>United States</v>
      </c>
      <c r="I145" s="4" t="str">
        <f>INDEX(products!$A$1:$G$49,MATCH(orders!$D145,products!$A$1:$A$49,0),MATCH(orders!I$1,products!$A$1:$G$1,0))</f>
        <v>Lib</v>
      </c>
      <c r="J145" s="4" t="str">
        <f>INDEX(products!$A$1:$G$49,MATCH(orders!$D145,products!$A$1:$A$49,0),MATCH(orders!J$1,products!$A$1:$G$1,0))</f>
        <v>M</v>
      </c>
      <c r="K145" s="6">
        <f>INDEX(products!$A$1:$G$49,MATCH(orders!$D145,products!$A$1:$A$49,0),MATCH(orders!K$1,products!$A$1:$G$1,0))</f>
        <v>0.5</v>
      </c>
      <c r="L145" s="7">
        <f>INDEX(products!$A$1:$G$49,MATCH(orders!$D145,products!$A$1:$A$49,0),MATCH(orders!L$1,products!$A$1:$G$1,0))</f>
        <v>8.73</v>
      </c>
      <c r="M145" s="7">
        <f t="shared" si="2"/>
        <v>17.46</v>
      </c>
      <c r="N145" s="4" t="str" cm="1">
        <f t="array" ref="N145">_xlfn.IFS(I145="Rob","Robusta",I145="Exc","Excelsa",I145="Ara","Arabica",I145="Lib","Liberica")</f>
        <v>Liberica</v>
      </c>
      <c r="O145" s="4" t="str" cm="1">
        <f t="array" ref="O145">_xlfn.IFS(J145="M","Medium",J145="L","Light",J145="D","Dark")</f>
        <v>Medium</v>
      </c>
      <c r="P145" s="4" t="str">
        <f>_xlfn.XLOOKUP(CoffeeOrderstable[[#This Row],[Customer ID]],customers!$A$1:$A$1001,customers!$I$1:$I$1001,,0)</f>
        <v>No</v>
      </c>
    </row>
    <row r="146" spans="1:16" x14ac:dyDescent="0.3">
      <c r="A146" s="3" t="s">
        <v>1299</v>
      </c>
      <c r="B146" s="5">
        <v>44265</v>
      </c>
      <c r="C146" s="3" t="s">
        <v>1300</v>
      </c>
      <c r="D146" s="4" t="s">
        <v>6148</v>
      </c>
      <c r="E146" s="3">
        <v>2</v>
      </c>
      <c r="F146" s="3" t="str">
        <f>_xlfn.XLOOKUP(C146,customers!$A$1:$A$1001,customers!$B$1:$B$1001,,0)</f>
        <v>Winn Keyse</v>
      </c>
      <c r="G146" s="3" t="str">
        <f>IF(_xlfn.XLOOKUP(C146,customers!$A$1:$A$1001,customers!$C$1:$C$1001,,0)=0,"", _xlfn.XLOOKUP(C146,customers!$A$1:$A$1001,customers!$C$1:$C$1001,,0))</f>
        <v>wkeyse40@apple.com</v>
      </c>
      <c r="H146" s="3" t="str">
        <f>_xlfn.XLOOKUP(C146,customers!$A$1:$A$1001,customers!$G$1:$G$1001,,0)</f>
        <v>United States</v>
      </c>
      <c r="I146" s="4" t="str">
        <f>INDEX(products!$A$1:$G$49,MATCH(orders!$D146,products!$A$1:$A$49,0),MATCH(orders!I$1,products!$A$1:$G$1,0))</f>
        <v>Exc</v>
      </c>
      <c r="J146" s="4" t="str">
        <f>INDEX(products!$A$1:$G$49,MATCH(orders!$D146,products!$A$1:$A$49,0),MATCH(orders!J$1,products!$A$1:$G$1,0))</f>
        <v>L</v>
      </c>
      <c r="K146" s="6">
        <f>INDEX(products!$A$1:$G$49,MATCH(orders!$D146,products!$A$1:$A$49,0),MATCH(orders!K$1,products!$A$1:$G$1,0))</f>
        <v>2.5</v>
      </c>
      <c r="L146" s="7">
        <f>INDEX(products!$A$1:$G$49,MATCH(orders!$D146,products!$A$1:$A$49,0),MATCH(orders!L$1,products!$A$1:$G$1,0))</f>
        <v>34.154999999999994</v>
      </c>
      <c r="M146" s="7">
        <f t="shared" si="2"/>
        <v>68.309999999999988</v>
      </c>
      <c r="N146" s="4" t="str" cm="1">
        <f t="array" ref="N146">_xlfn.IFS(I146="Rob","Robusta",I146="Exc","Excelsa",I146="Ara","Arabica",I146="Lib","Liberica")</f>
        <v>Excelsa</v>
      </c>
      <c r="O146" s="4" t="str" cm="1">
        <f t="array" ref="O146">_xlfn.IFS(J146="M","Medium",J146="L","Light",J146="D","Dark")</f>
        <v>Light</v>
      </c>
      <c r="P146" s="4" t="str">
        <f>_xlfn.XLOOKUP(CoffeeOrderstable[[#This Row],[Customer ID]],customers!$A$1:$A$1001,customers!$I$1:$I$1001,,0)</f>
        <v>Yes</v>
      </c>
    </row>
    <row r="147" spans="1:16" x14ac:dyDescent="0.3">
      <c r="A147" s="3" t="s">
        <v>1305</v>
      </c>
      <c r="B147" s="5">
        <v>43562</v>
      </c>
      <c r="C147" s="3" t="s">
        <v>1306</v>
      </c>
      <c r="D147" s="4" t="s">
        <v>6159</v>
      </c>
      <c r="E147" s="3">
        <v>4</v>
      </c>
      <c r="F147" s="3" t="str">
        <f>_xlfn.XLOOKUP(C147,customers!$A$1:$A$1001,customers!$B$1:$B$1001,,0)</f>
        <v>Osmund Clausen-Thue</v>
      </c>
      <c r="G147" s="3" t="str">
        <f>IF(_xlfn.XLOOKUP(C147,customers!$A$1:$A$1001,customers!$C$1:$C$1001,,0)=0,"", _xlfn.XLOOKUP(C147,customers!$A$1:$A$1001,customers!$C$1:$C$1001,,0))</f>
        <v>oclausenthue41@marriott.com</v>
      </c>
      <c r="H147" s="3" t="str">
        <f>_xlfn.XLOOKUP(C147,customers!$A$1:$A$1001,customers!$G$1:$G$1001,,0)</f>
        <v>United States</v>
      </c>
      <c r="I147" s="4" t="str">
        <f>INDEX(products!$A$1:$G$49,MATCH(orders!$D147,products!$A$1:$A$49,0),MATCH(orders!I$1,products!$A$1:$G$1,0))</f>
        <v>Lib</v>
      </c>
      <c r="J147" s="4" t="str">
        <f>INDEX(products!$A$1:$G$49,MATCH(orders!$D147,products!$A$1:$A$49,0),MATCH(orders!J$1,products!$A$1:$G$1,0))</f>
        <v>M</v>
      </c>
      <c r="K147" s="6">
        <f>INDEX(products!$A$1:$G$49,MATCH(orders!$D147,products!$A$1:$A$49,0),MATCH(orders!K$1,products!$A$1:$G$1,0))</f>
        <v>0.2</v>
      </c>
      <c r="L147" s="7">
        <f>INDEX(products!$A$1:$G$49,MATCH(orders!$D147,products!$A$1:$A$49,0),MATCH(orders!L$1,products!$A$1:$G$1,0))</f>
        <v>4.3650000000000002</v>
      </c>
      <c r="M147" s="7">
        <f t="shared" si="2"/>
        <v>17.46</v>
      </c>
      <c r="N147" s="4" t="str" cm="1">
        <f t="array" ref="N147">_xlfn.IFS(I147="Rob","Robusta",I147="Exc","Excelsa",I147="Ara","Arabica",I147="Lib","Liberica")</f>
        <v>Liberica</v>
      </c>
      <c r="O147" s="4" t="str" cm="1">
        <f t="array" ref="O147">_xlfn.IFS(J147="M","Medium",J147="L","Light",J147="D","Dark")</f>
        <v>Medium</v>
      </c>
      <c r="P147" s="4" t="str">
        <f>_xlfn.XLOOKUP(CoffeeOrderstable[[#This Row],[Customer ID]],customers!$A$1:$A$1001,customers!$I$1:$I$1001,,0)</f>
        <v>No</v>
      </c>
    </row>
    <row r="148" spans="1:16" x14ac:dyDescent="0.3">
      <c r="A148" s="3" t="s">
        <v>1311</v>
      </c>
      <c r="B148" s="5">
        <v>44024</v>
      </c>
      <c r="C148" s="3" t="s">
        <v>1312</v>
      </c>
      <c r="D148" s="4" t="s">
        <v>6162</v>
      </c>
      <c r="E148" s="3">
        <v>3</v>
      </c>
      <c r="F148" s="3" t="str">
        <f>_xlfn.XLOOKUP(C148,customers!$A$1:$A$1001,customers!$B$1:$B$1001,,0)</f>
        <v>Leonore Francisco</v>
      </c>
      <c r="G148" s="3" t="str">
        <f>IF(_xlfn.XLOOKUP(C148,customers!$A$1:$A$1001,customers!$C$1:$C$1001,,0)=0,"", _xlfn.XLOOKUP(C148,customers!$A$1:$A$1001,customers!$C$1:$C$1001,,0))</f>
        <v>lfrancisco42@fema.gov</v>
      </c>
      <c r="H148" s="3" t="str">
        <f>_xlfn.XLOOKUP(C148,customers!$A$1:$A$1001,customers!$G$1:$G$1001,,0)</f>
        <v>United States</v>
      </c>
      <c r="I148" s="4" t="str">
        <f>INDEX(products!$A$1:$G$49,MATCH(orders!$D148,products!$A$1:$A$49,0),MATCH(orders!I$1,products!$A$1:$G$1,0))</f>
        <v>Lib</v>
      </c>
      <c r="J148" s="4" t="str">
        <f>INDEX(products!$A$1:$G$49,MATCH(orders!$D148,products!$A$1:$A$49,0),MATCH(orders!J$1,products!$A$1:$G$1,0))</f>
        <v>M</v>
      </c>
      <c r="K148" s="6">
        <f>INDEX(products!$A$1:$G$49,MATCH(orders!$D148,products!$A$1:$A$49,0),MATCH(orders!K$1,products!$A$1:$G$1,0))</f>
        <v>1</v>
      </c>
      <c r="L148" s="7">
        <f>INDEX(products!$A$1:$G$49,MATCH(orders!$D148,products!$A$1:$A$49,0),MATCH(orders!L$1,products!$A$1:$G$1,0))</f>
        <v>14.55</v>
      </c>
      <c r="M148" s="7">
        <f t="shared" si="2"/>
        <v>43.650000000000006</v>
      </c>
      <c r="N148" s="4" t="str" cm="1">
        <f t="array" ref="N148">_xlfn.IFS(I148="Rob","Robusta",I148="Exc","Excelsa",I148="Ara","Arabica",I148="Lib","Liberica")</f>
        <v>Liberica</v>
      </c>
      <c r="O148" s="4" t="str" cm="1">
        <f t="array" ref="O148">_xlfn.IFS(J148="M","Medium",J148="L","Light",J148="D","Dark")</f>
        <v>Medium</v>
      </c>
      <c r="P148" s="4" t="str">
        <f>_xlfn.XLOOKUP(CoffeeOrderstable[[#This Row],[Customer ID]],customers!$A$1:$A$1001,customers!$I$1:$I$1001,,0)</f>
        <v>No</v>
      </c>
    </row>
    <row r="149" spans="1:16" x14ac:dyDescent="0.3">
      <c r="A149" s="3" t="s">
        <v>1311</v>
      </c>
      <c r="B149" s="5">
        <v>44024</v>
      </c>
      <c r="C149" s="3" t="s">
        <v>1312</v>
      </c>
      <c r="D149" s="4" t="s">
        <v>6141</v>
      </c>
      <c r="E149" s="3">
        <v>2</v>
      </c>
      <c r="F149" s="3" t="str">
        <f>_xlfn.XLOOKUP(C149,customers!$A$1:$A$1001,customers!$B$1:$B$1001,,0)</f>
        <v>Leonore Francisco</v>
      </c>
      <c r="G149" s="3" t="str">
        <f>IF(_xlfn.XLOOKUP(C149,customers!$A$1:$A$1001,customers!$C$1:$C$1001,,0)=0,"", _xlfn.XLOOKUP(C149,customers!$A$1:$A$1001,customers!$C$1:$C$1001,,0))</f>
        <v>lfrancisco42@fema.gov</v>
      </c>
      <c r="H149" s="3" t="str">
        <f>_xlfn.XLOOKUP(C149,customers!$A$1:$A$1001,customers!$G$1:$G$1001,,0)</f>
        <v>United States</v>
      </c>
      <c r="I149" s="4" t="str">
        <f>INDEX(products!$A$1:$G$49,MATCH(orders!$D149,products!$A$1:$A$49,0),MATCH(orders!I$1,products!$A$1:$G$1,0))</f>
        <v>Exc</v>
      </c>
      <c r="J149" s="4" t="str">
        <f>INDEX(products!$A$1:$G$49,MATCH(orders!$D149,products!$A$1:$A$49,0),MATCH(orders!J$1,products!$A$1:$G$1,0))</f>
        <v>M</v>
      </c>
      <c r="K149" s="6">
        <f>INDEX(products!$A$1:$G$49,MATCH(orders!$D149,products!$A$1:$A$49,0),MATCH(orders!K$1,products!$A$1:$G$1,0))</f>
        <v>1</v>
      </c>
      <c r="L149" s="7">
        <f>INDEX(products!$A$1:$G$49,MATCH(orders!$D149,products!$A$1:$A$49,0),MATCH(orders!L$1,products!$A$1:$G$1,0))</f>
        <v>13.75</v>
      </c>
      <c r="M149" s="7">
        <f t="shared" si="2"/>
        <v>27.5</v>
      </c>
      <c r="N149" s="4" t="str" cm="1">
        <f t="array" ref="N149">_xlfn.IFS(I149="Rob","Robusta",I149="Exc","Excelsa",I149="Ara","Arabica",I149="Lib","Liberica")</f>
        <v>Excelsa</v>
      </c>
      <c r="O149" s="4" t="str" cm="1">
        <f t="array" ref="O149">_xlfn.IFS(J149="M","Medium",J149="L","Light",J149="D","Dark")</f>
        <v>Medium</v>
      </c>
      <c r="P149" s="4" t="str">
        <f>_xlfn.XLOOKUP(CoffeeOrderstable[[#This Row],[Customer ID]],customers!$A$1:$A$1001,customers!$I$1:$I$1001,,0)</f>
        <v>No</v>
      </c>
    </row>
    <row r="150" spans="1:16" x14ac:dyDescent="0.3">
      <c r="A150" s="3" t="s">
        <v>1322</v>
      </c>
      <c r="B150" s="5">
        <v>44551</v>
      </c>
      <c r="C150" s="3" t="s">
        <v>1323</v>
      </c>
      <c r="D150" s="4" t="s">
        <v>6153</v>
      </c>
      <c r="E150" s="3">
        <v>5</v>
      </c>
      <c r="F150" s="3" t="str">
        <f>_xlfn.XLOOKUP(C150,customers!$A$1:$A$1001,customers!$B$1:$B$1001,,0)</f>
        <v>Giacobo Skingle</v>
      </c>
      <c r="G150" s="3" t="str">
        <f>IF(_xlfn.XLOOKUP(C150,customers!$A$1:$A$1001,customers!$C$1:$C$1001,,0)=0,"", _xlfn.XLOOKUP(C150,customers!$A$1:$A$1001,customers!$C$1:$C$1001,,0))</f>
        <v>gskingle44@clickbank.net</v>
      </c>
      <c r="H150" s="3" t="str">
        <f>_xlfn.XLOOKUP(C150,customers!$A$1:$A$1001,customers!$G$1:$G$1001,,0)</f>
        <v>United States</v>
      </c>
      <c r="I150" s="4" t="str">
        <f>INDEX(products!$A$1:$G$49,MATCH(orders!$D150,products!$A$1:$A$49,0),MATCH(orders!I$1,products!$A$1:$G$1,0))</f>
        <v>Exc</v>
      </c>
      <c r="J150" s="4" t="str">
        <f>INDEX(products!$A$1:$G$49,MATCH(orders!$D150,products!$A$1:$A$49,0),MATCH(orders!J$1,products!$A$1:$G$1,0))</f>
        <v>D</v>
      </c>
      <c r="K150" s="6">
        <f>INDEX(products!$A$1:$G$49,MATCH(orders!$D150,products!$A$1:$A$49,0),MATCH(orders!K$1,products!$A$1:$G$1,0))</f>
        <v>0.2</v>
      </c>
      <c r="L150" s="7">
        <f>INDEX(products!$A$1:$G$49,MATCH(orders!$D150,products!$A$1:$A$49,0),MATCH(orders!L$1,products!$A$1:$G$1,0))</f>
        <v>3.645</v>
      </c>
      <c r="M150" s="7">
        <f t="shared" si="2"/>
        <v>18.225000000000001</v>
      </c>
      <c r="N150" s="4" t="str" cm="1">
        <f t="array" ref="N150">_xlfn.IFS(I150="Rob","Robusta",I150="Exc","Excelsa",I150="Ara","Arabica",I150="Lib","Liberica")</f>
        <v>Excelsa</v>
      </c>
      <c r="O150" s="4" t="str" cm="1">
        <f t="array" ref="O150">_xlfn.IFS(J150="M","Medium",J150="L","Light",J150="D","Dark")</f>
        <v>Dark</v>
      </c>
      <c r="P150" s="4" t="str">
        <f>_xlfn.XLOOKUP(CoffeeOrderstable[[#This Row],[Customer ID]],customers!$A$1:$A$1001,customers!$I$1:$I$1001,,0)</f>
        <v>Yes</v>
      </c>
    </row>
    <row r="151" spans="1:16" x14ac:dyDescent="0.3">
      <c r="A151" s="3" t="s">
        <v>1328</v>
      </c>
      <c r="B151" s="5">
        <v>44108</v>
      </c>
      <c r="C151" s="3" t="s">
        <v>1329</v>
      </c>
      <c r="D151" s="4" t="s">
        <v>6175</v>
      </c>
      <c r="E151" s="3">
        <v>2</v>
      </c>
      <c r="F151" s="3" t="str">
        <f>_xlfn.XLOOKUP(C151,customers!$A$1:$A$1001,customers!$B$1:$B$1001,,0)</f>
        <v>Gerard Pirdy</v>
      </c>
      <c r="G151" s="3" t="str">
        <f>IF(_xlfn.XLOOKUP(C151,customers!$A$1:$A$1001,customers!$C$1:$C$1001,,0)=0,"", _xlfn.XLOOKUP(C151,customers!$A$1:$A$1001,customers!$C$1:$C$1001,,0))</f>
        <v/>
      </c>
      <c r="H151" s="3" t="str">
        <f>_xlfn.XLOOKUP(C151,customers!$A$1:$A$1001,customers!$G$1:$G$1001,,0)</f>
        <v>United States</v>
      </c>
      <c r="I151" s="4" t="str">
        <f>INDEX(products!$A$1:$G$49,MATCH(orders!$D151,products!$A$1:$A$49,0),MATCH(orders!I$1,products!$A$1:$G$1,0))</f>
        <v>Ara</v>
      </c>
      <c r="J151" s="4" t="str">
        <f>INDEX(products!$A$1:$G$49,MATCH(orders!$D151,products!$A$1:$A$49,0),MATCH(orders!J$1,products!$A$1:$G$1,0))</f>
        <v>M</v>
      </c>
      <c r="K151" s="6">
        <f>INDEX(products!$A$1:$G$49,MATCH(orders!$D151,products!$A$1:$A$49,0),MATCH(orders!K$1,products!$A$1:$G$1,0))</f>
        <v>2.5</v>
      </c>
      <c r="L151" s="7">
        <f>INDEX(products!$A$1:$G$49,MATCH(orders!$D151,products!$A$1:$A$49,0),MATCH(orders!L$1,products!$A$1:$G$1,0))</f>
        <v>25.874999999999996</v>
      </c>
      <c r="M151" s="7">
        <f t="shared" si="2"/>
        <v>51.749999999999993</v>
      </c>
      <c r="N151" s="4" t="str" cm="1">
        <f t="array" ref="N151">_xlfn.IFS(I151="Rob","Robusta",I151="Exc","Excelsa",I151="Ara","Arabica",I151="Lib","Liberica")</f>
        <v>Arabica</v>
      </c>
      <c r="O151" s="4" t="str" cm="1">
        <f t="array" ref="O151">_xlfn.IFS(J151="M","Medium",J151="L","Light",J151="D","Dark")</f>
        <v>Medium</v>
      </c>
      <c r="P151" s="4" t="str">
        <f>_xlfn.XLOOKUP(CoffeeOrderstable[[#This Row],[Customer ID]],customers!$A$1:$A$1001,customers!$I$1:$I$1001,,0)</f>
        <v>Yes</v>
      </c>
    </row>
    <row r="152" spans="1:16" x14ac:dyDescent="0.3">
      <c r="A152" s="3" t="s">
        <v>1333</v>
      </c>
      <c r="B152" s="5">
        <v>44051</v>
      </c>
      <c r="C152" s="3" t="s">
        <v>1334</v>
      </c>
      <c r="D152" s="4" t="s">
        <v>6143</v>
      </c>
      <c r="E152" s="3">
        <v>1</v>
      </c>
      <c r="F152" s="3" t="str">
        <f>_xlfn.XLOOKUP(C152,customers!$A$1:$A$1001,customers!$B$1:$B$1001,,0)</f>
        <v>Jacinthe Balsillie</v>
      </c>
      <c r="G152" s="3" t="str">
        <f>IF(_xlfn.XLOOKUP(C152,customers!$A$1:$A$1001,customers!$C$1:$C$1001,,0)=0,"", _xlfn.XLOOKUP(C152,customers!$A$1:$A$1001,customers!$C$1:$C$1001,,0))</f>
        <v>jbalsillie46@princeton.edu</v>
      </c>
      <c r="H152" s="3" t="str">
        <f>_xlfn.XLOOKUP(C152,customers!$A$1:$A$1001,customers!$G$1:$G$1001,,0)</f>
        <v>United States</v>
      </c>
      <c r="I152" s="4" t="str">
        <f>INDEX(products!$A$1:$G$49,MATCH(orders!$D152,products!$A$1:$A$49,0),MATCH(orders!I$1,products!$A$1:$G$1,0))</f>
        <v>Lib</v>
      </c>
      <c r="J152" s="4" t="str">
        <f>INDEX(products!$A$1:$G$49,MATCH(orders!$D152,products!$A$1:$A$49,0),MATCH(orders!J$1,products!$A$1:$G$1,0))</f>
        <v>D</v>
      </c>
      <c r="K152" s="6">
        <f>INDEX(products!$A$1:$G$49,MATCH(orders!$D152,products!$A$1:$A$49,0),MATCH(orders!K$1,products!$A$1:$G$1,0))</f>
        <v>1</v>
      </c>
      <c r="L152" s="7">
        <f>INDEX(products!$A$1:$G$49,MATCH(orders!$D152,products!$A$1:$A$49,0),MATCH(orders!L$1,products!$A$1:$G$1,0))</f>
        <v>12.95</v>
      </c>
      <c r="M152" s="7">
        <f t="shared" si="2"/>
        <v>12.95</v>
      </c>
      <c r="N152" s="4" t="str" cm="1">
        <f t="array" ref="N152">_xlfn.IFS(I152="Rob","Robusta",I152="Exc","Excelsa",I152="Ara","Arabica",I152="Lib","Liberica")</f>
        <v>Liberica</v>
      </c>
      <c r="O152" s="4" t="str" cm="1">
        <f t="array" ref="O152">_xlfn.IFS(J152="M","Medium",J152="L","Light",J152="D","Dark")</f>
        <v>Dark</v>
      </c>
      <c r="P152" s="4" t="str">
        <f>_xlfn.XLOOKUP(CoffeeOrderstable[[#This Row],[Customer ID]],customers!$A$1:$A$1001,customers!$I$1:$I$1001,,0)</f>
        <v>Yes</v>
      </c>
    </row>
    <row r="153" spans="1:16" x14ac:dyDescent="0.3">
      <c r="A153" s="3" t="s">
        <v>1339</v>
      </c>
      <c r="B153" s="5">
        <v>44115</v>
      </c>
      <c r="C153" s="3" t="s">
        <v>1340</v>
      </c>
      <c r="D153" s="4" t="s">
        <v>6155</v>
      </c>
      <c r="E153" s="3">
        <v>3</v>
      </c>
      <c r="F153" s="3" t="str">
        <f>_xlfn.XLOOKUP(C153,customers!$A$1:$A$1001,customers!$B$1:$B$1001,,0)</f>
        <v>Quinton Fouracres</v>
      </c>
      <c r="G153" s="3" t="str">
        <f>IF(_xlfn.XLOOKUP(C153,customers!$A$1:$A$1001,customers!$C$1:$C$1001,,0)=0,"", _xlfn.XLOOKUP(C153,customers!$A$1:$A$1001,customers!$C$1:$C$1001,,0))</f>
        <v/>
      </c>
      <c r="H153" s="3" t="str">
        <f>_xlfn.XLOOKUP(C153,customers!$A$1:$A$1001,customers!$G$1:$G$1001,,0)</f>
        <v>United States</v>
      </c>
      <c r="I153" s="4" t="str">
        <f>INDEX(products!$A$1:$G$49,MATCH(orders!$D153,products!$A$1:$A$49,0),MATCH(orders!I$1,products!$A$1:$G$1,0))</f>
        <v>Ara</v>
      </c>
      <c r="J153" s="4" t="str">
        <f>INDEX(products!$A$1:$G$49,MATCH(orders!$D153,products!$A$1:$A$49,0),MATCH(orders!J$1,products!$A$1:$G$1,0))</f>
        <v>M</v>
      </c>
      <c r="K153" s="6">
        <f>INDEX(products!$A$1:$G$49,MATCH(orders!$D153,products!$A$1:$A$49,0),MATCH(orders!K$1,products!$A$1:$G$1,0))</f>
        <v>1</v>
      </c>
      <c r="L153" s="7">
        <f>INDEX(products!$A$1:$G$49,MATCH(orders!$D153,products!$A$1:$A$49,0),MATCH(orders!L$1,products!$A$1:$G$1,0))</f>
        <v>11.25</v>
      </c>
      <c r="M153" s="7">
        <f t="shared" si="2"/>
        <v>33.75</v>
      </c>
      <c r="N153" s="4" t="str" cm="1">
        <f t="array" ref="N153">_xlfn.IFS(I153="Rob","Robusta",I153="Exc","Excelsa",I153="Ara","Arabica",I153="Lib","Liberica")</f>
        <v>Arabica</v>
      </c>
      <c r="O153" s="4" t="str" cm="1">
        <f t="array" ref="O153">_xlfn.IFS(J153="M","Medium",J153="L","Light",J153="D","Dark")</f>
        <v>Medium</v>
      </c>
      <c r="P153" s="4" t="str">
        <f>_xlfn.XLOOKUP(CoffeeOrderstable[[#This Row],[Customer ID]],customers!$A$1:$A$1001,customers!$I$1:$I$1001,,0)</f>
        <v>Yes</v>
      </c>
    </row>
    <row r="154" spans="1:16" x14ac:dyDescent="0.3">
      <c r="A154" s="3" t="s">
        <v>1344</v>
      </c>
      <c r="B154" s="5">
        <v>44510</v>
      </c>
      <c r="C154" s="3" t="s">
        <v>1345</v>
      </c>
      <c r="D154" s="4" t="s">
        <v>6151</v>
      </c>
      <c r="E154" s="3">
        <v>3</v>
      </c>
      <c r="F154" s="3" t="str">
        <f>_xlfn.XLOOKUP(C154,customers!$A$1:$A$1001,customers!$B$1:$B$1001,,0)</f>
        <v>Bettina Leffek</v>
      </c>
      <c r="G154" s="3" t="str">
        <f>IF(_xlfn.XLOOKUP(C154,customers!$A$1:$A$1001,customers!$C$1:$C$1001,,0)=0,"", _xlfn.XLOOKUP(C154,customers!$A$1:$A$1001,customers!$C$1:$C$1001,,0))</f>
        <v>bleffek48@ning.com</v>
      </c>
      <c r="H154" s="3" t="str">
        <f>_xlfn.XLOOKUP(C154,customers!$A$1:$A$1001,customers!$G$1:$G$1001,,0)</f>
        <v>United States</v>
      </c>
      <c r="I154" s="4" t="str">
        <f>INDEX(products!$A$1:$G$49,MATCH(orders!$D154,products!$A$1:$A$49,0),MATCH(orders!I$1,products!$A$1:$G$1,0))</f>
        <v>Rob</v>
      </c>
      <c r="J154" s="4" t="str">
        <f>INDEX(products!$A$1:$G$49,MATCH(orders!$D154,products!$A$1:$A$49,0),MATCH(orders!J$1,products!$A$1:$G$1,0))</f>
        <v>M</v>
      </c>
      <c r="K154" s="6">
        <f>INDEX(products!$A$1:$G$49,MATCH(orders!$D154,products!$A$1:$A$49,0),MATCH(orders!K$1,products!$A$1:$G$1,0))</f>
        <v>2.5</v>
      </c>
      <c r="L154" s="7">
        <f>INDEX(products!$A$1:$G$49,MATCH(orders!$D154,products!$A$1:$A$49,0),MATCH(orders!L$1,products!$A$1:$G$1,0))</f>
        <v>22.884999999999998</v>
      </c>
      <c r="M154" s="7">
        <f t="shared" si="2"/>
        <v>68.655000000000001</v>
      </c>
      <c r="N154" s="4" t="str" cm="1">
        <f t="array" ref="N154">_xlfn.IFS(I154="Rob","Robusta",I154="Exc","Excelsa",I154="Ara","Arabica",I154="Lib","Liberica")</f>
        <v>Robusta</v>
      </c>
      <c r="O154" s="4" t="str" cm="1">
        <f t="array" ref="O154">_xlfn.IFS(J154="M","Medium",J154="L","Light",J154="D","Dark")</f>
        <v>Medium</v>
      </c>
      <c r="P154" s="4" t="str">
        <f>_xlfn.XLOOKUP(CoffeeOrderstable[[#This Row],[Customer ID]],customers!$A$1:$A$1001,customers!$I$1:$I$1001,,0)</f>
        <v>Yes</v>
      </c>
    </row>
    <row r="155" spans="1:16" x14ac:dyDescent="0.3">
      <c r="A155" s="3" t="s">
        <v>1350</v>
      </c>
      <c r="B155" s="5">
        <v>44367</v>
      </c>
      <c r="C155" s="3" t="s">
        <v>1351</v>
      </c>
      <c r="D155" s="4" t="s">
        <v>6163</v>
      </c>
      <c r="E155" s="3">
        <v>1</v>
      </c>
      <c r="F155" s="3" t="str">
        <f>_xlfn.XLOOKUP(C155,customers!$A$1:$A$1001,customers!$B$1:$B$1001,,0)</f>
        <v>Hetti Penson</v>
      </c>
      <c r="G155" s="3" t="str">
        <f>IF(_xlfn.XLOOKUP(C155,customers!$A$1:$A$1001,customers!$C$1:$C$1001,,0)=0,"", _xlfn.XLOOKUP(C155,customers!$A$1:$A$1001,customers!$C$1:$C$1001,,0))</f>
        <v/>
      </c>
      <c r="H155" s="3" t="str">
        <f>_xlfn.XLOOKUP(C155,customers!$A$1:$A$1001,customers!$G$1:$G$1001,,0)</f>
        <v>United States</v>
      </c>
      <c r="I155" s="4" t="str">
        <f>INDEX(products!$A$1:$G$49,MATCH(orders!$D155,products!$A$1:$A$49,0),MATCH(orders!I$1,products!$A$1:$G$1,0))</f>
        <v>Rob</v>
      </c>
      <c r="J155" s="4" t="str">
        <f>INDEX(products!$A$1:$G$49,MATCH(orders!$D155,products!$A$1:$A$49,0),MATCH(orders!J$1,products!$A$1:$G$1,0))</f>
        <v>D</v>
      </c>
      <c r="K155" s="6">
        <f>INDEX(products!$A$1:$G$49,MATCH(orders!$D155,products!$A$1:$A$49,0),MATCH(orders!K$1,products!$A$1:$G$1,0))</f>
        <v>0.2</v>
      </c>
      <c r="L155" s="7">
        <f>INDEX(products!$A$1:$G$49,MATCH(orders!$D155,products!$A$1:$A$49,0),MATCH(orders!L$1,products!$A$1:$G$1,0))</f>
        <v>2.6849999999999996</v>
      </c>
      <c r="M155" s="7">
        <f t="shared" si="2"/>
        <v>2.6849999999999996</v>
      </c>
      <c r="N155" s="4" t="str" cm="1">
        <f t="array" ref="N155">_xlfn.IFS(I155="Rob","Robusta",I155="Exc","Excelsa",I155="Ara","Arabica",I155="Lib","Liberica")</f>
        <v>Robusta</v>
      </c>
      <c r="O155" s="4" t="str" cm="1">
        <f t="array" ref="O155">_xlfn.IFS(J155="M","Medium",J155="L","Light",J155="D","Dark")</f>
        <v>Dark</v>
      </c>
      <c r="P155" s="4" t="str">
        <f>_xlfn.XLOOKUP(CoffeeOrderstable[[#This Row],[Customer ID]],customers!$A$1:$A$1001,customers!$I$1:$I$1001,,0)</f>
        <v>No</v>
      </c>
    </row>
    <row r="156" spans="1:16" x14ac:dyDescent="0.3">
      <c r="A156" s="3" t="s">
        <v>1355</v>
      </c>
      <c r="B156" s="5">
        <v>44473</v>
      </c>
      <c r="C156" s="3" t="s">
        <v>1356</v>
      </c>
      <c r="D156" s="4" t="s">
        <v>6168</v>
      </c>
      <c r="E156" s="3">
        <v>5</v>
      </c>
      <c r="F156" s="3" t="str">
        <f>_xlfn.XLOOKUP(C156,customers!$A$1:$A$1001,customers!$B$1:$B$1001,,0)</f>
        <v>Jocko Pray</v>
      </c>
      <c r="G156" s="3" t="str">
        <f>IF(_xlfn.XLOOKUP(C156,customers!$A$1:$A$1001,customers!$C$1:$C$1001,,0)=0,"", _xlfn.XLOOKUP(C156,customers!$A$1:$A$1001,customers!$C$1:$C$1001,,0))</f>
        <v>jpray4a@youtube.com</v>
      </c>
      <c r="H156" s="3" t="str">
        <f>_xlfn.XLOOKUP(C156,customers!$A$1:$A$1001,customers!$G$1:$G$1001,,0)</f>
        <v>United States</v>
      </c>
      <c r="I156" s="4" t="str">
        <f>INDEX(products!$A$1:$G$49,MATCH(orders!$D156,products!$A$1:$A$49,0),MATCH(orders!I$1,products!$A$1:$G$1,0))</f>
        <v>Ara</v>
      </c>
      <c r="J156" s="4" t="str">
        <f>INDEX(products!$A$1:$G$49,MATCH(orders!$D156,products!$A$1:$A$49,0),MATCH(orders!J$1,products!$A$1:$G$1,0))</f>
        <v>D</v>
      </c>
      <c r="K156" s="6">
        <f>INDEX(products!$A$1:$G$49,MATCH(orders!$D156,products!$A$1:$A$49,0),MATCH(orders!K$1,products!$A$1:$G$1,0))</f>
        <v>2.5</v>
      </c>
      <c r="L156" s="7">
        <f>INDEX(products!$A$1:$G$49,MATCH(orders!$D156,products!$A$1:$A$49,0),MATCH(orders!L$1,products!$A$1:$G$1,0))</f>
        <v>22.884999999999998</v>
      </c>
      <c r="M156" s="7">
        <f t="shared" si="2"/>
        <v>114.42499999999998</v>
      </c>
      <c r="N156" s="4" t="str" cm="1">
        <f t="array" ref="N156">_xlfn.IFS(I156="Rob","Robusta",I156="Exc","Excelsa",I156="Ara","Arabica",I156="Lib","Liberica")</f>
        <v>Arabica</v>
      </c>
      <c r="O156" s="4" t="str" cm="1">
        <f t="array" ref="O156">_xlfn.IFS(J156="M","Medium",J156="L","Light",J156="D","Dark")</f>
        <v>Dark</v>
      </c>
      <c r="P156" s="4" t="str">
        <f>_xlfn.XLOOKUP(CoffeeOrderstable[[#This Row],[Customer ID]],customers!$A$1:$A$1001,customers!$I$1:$I$1001,,0)</f>
        <v>No</v>
      </c>
    </row>
    <row r="157" spans="1:16" x14ac:dyDescent="0.3">
      <c r="A157" s="3" t="s">
        <v>1361</v>
      </c>
      <c r="B157" s="5">
        <v>43640</v>
      </c>
      <c r="C157" s="3" t="s">
        <v>1362</v>
      </c>
      <c r="D157" s="4" t="s">
        <v>6175</v>
      </c>
      <c r="E157" s="3">
        <v>6</v>
      </c>
      <c r="F157" s="3" t="str">
        <f>_xlfn.XLOOKUP(C157,customers!$A$1:$A$1001,customers!$B$1:$B$1001,,0)</f>
        <v>Grete Holborn</v>
      </c>
      <c r="G157" s="3" t="str">
        <f>IF(_xlfn.XLOOKUP(C157,customers!$A$1:$A$1001,customers!$C$1:$C$1001,,0)=0,"", _xlfn.XLOOKUP(C157,customers!$A$1:$A$1001,customers!$C$1:$C$1001,,0))</f>
        <v>gholborn4b@ow.ly</v>
      </c>
      <c r="H157" s="3" t="str">
        <f>_xlfn.XLOOKUP(C157,customers!$A$1:$A$1001,customers!$G$1:$G$1001,,0)</f>
        <v>United States</v>
      </c>
      <c r="I157" s="4" t="str">
        <f>INDEX(products!$A$1:$G$49,MATCH(orders!$D157,products!$A$1:$A$49,0),MATCH(orders!I$1,products!$A$1:$G$1,0))</f>
        <v>Ara</v>
      </c>
      <c r="J157" s="4" t="str">
        <f>INDEX(products!$A$1:$G$49,MATCH(orders!$D157,products!$A$1:$A$49,0),MATCH(orders!J$1,products!$A$1:$G$1,0))</f>
        <v>M</v>
      </c>
      <c r="K157" s="6">
        <f>INDEX(products!$A$1:$G$49,MATCH(orders!$D157,products!$A$1:$A$49,0),MATCH(orders!K$1,products!$A$1:$G$1,0))</f>
        <v>2.5</v>
      </c>
      <c r="L157" s="7">
        <f>INDEX(products!$A$1:$G$49,MATCH(orders!$D157,products!$A$1:$A$49,0),MATCH(orders!L$1,products!$A$1:$G$1,0))</f>
        <v>25.874999999999996</v>
      </c>
      <c r="M157" s="7">
        <f t="shared" si="2"/>
        <v>155.24999999999997</v>
      </c>
      <c r="N157" s="4" t="str" cm="1">
        <f t="array" ref="N157">_xlfn.IFS(I157="Rob","Robusta",I157="Exc","Excelsa",I157="Ara","Arabica",I157="Lib","Liberica")</f>
        <v>Arabica</v>
      </c>
      <c r="O157" s="4" t="str" cm="1">
        <f t="array" ref="O157">_xlfn.IFS(J157="M","Medium",J157="L","Light",J157="D","Dark")</f>
        <v>Medium</v>
      </c>
      <c r="P157" s="4" t="str">
        <f>_xlfn.XLOOKUP(CoffeeOrderstable[[#This Row],[Customer ID]],customers!$A$1:$A$1001,customers!$I$1:$I$1001,,0)</f>
        <v>Yes</v>
      </c>
    </row>
    <row r="158" spans="1:16" x14ac:dyDescent="0.3">
      <c r="A158" s="3" t="s">
        <v>1367</v>
      </c>
      <c r="B158" s="5">
        <v>43764</v>
      </c>
      <c r="C158" s="3" t="s">
        <v>1368</v>
      </c>
      <c r="D158" s="4" t="s">
        <v>6175</v>
      </c>
      <c r="E158" s="3">
        <v>3</v>
      </c>
      <c r="F158" s="3" t="str">
        <f>_xlfn.XLOOKUP(C158,customers!$A$1:$A$1001,customers!$B$1:$B$1001,,0)</f>
        <v>Fielding Keinrat</v>
      </c>
      <c r="G158" s="3" t="str">
        <f>IF(_xlfn.XLOOKUP(C158,customers!$A$1:$A$1001,customers!$C$1:$C$1001,,0)=0,"", _xlfn.XLOOKUP(C158,customers!$A$1:$A$1001,customers!$C$1:$C$1001,,0))</f>
        <v>fkeinrat4c@dailymail.co.uk</v>
      </c>
      <c r="H158" s="3" t="str">
        <f>_xlfn.XLOOKUP(C158,customers!$A$1:$A$1001,customers!$G$1:$G$1001,,0)</f>
        <v>United States</v>
      </c>
      <c r="I158" s="4" t="str">
        <f>INDEX(products!$A$1:$G$49,MATCH(orders!$D158,products!$A$1:$A$49,0),MATCH(orders!I$1,products!$A$1:$G$1,0))</f>
        <v>Ara</v>
      </c>
      <c r="J158" s="4" t="str">
        <f>INDEX(products!$A$1:$G$49,MATCH(orders!$D158,products!$A$1:$A$49,0),MATCH(orders!J$1,products!$A$1:$G$1,0))</f>
        <v>M</v>
      </c>
      <c r="K158" s="6">
        <f>INDEX(products!$A$1:$G$49,MATCH(orders!$D158,products!$A$1:$A$49,0),MATCH(orders!K$1,products!$A$1:$G$1,0))</f>
        <v>2.5</v>
      </c>
      <c r="L158" s="7">
        <f>INDEX(products!$A$1:$G$49,MATCH(orders!$D158,products!$A$1:$A$49,0),MATCH(orders!L$1,products!$A$1:$G$1,0))</f>
        <v>25.874999999999996</v>
      </c>
      <c r="M158" s="7">
        <f t="shared" si="2"/>
        <v>77.624999999999986</v>
      </c>
      <c r="N158" s="4" t="str" cm="1">
        <f t="array" ref="N158">_xlfn.IFS(I158="Rob","Robusta",I158="Exc","Excelsa",I158="Ara","Arabica",I158="Lib","Liberica")</f>
        <v>Arabica</v>
      </c>
      <c r="O158" s="4" t="str" cm="1">
        <f t="array" ref="O158">_xlfn.IFS(J158="M","Medium",J158="L","Light",J158="D","Dark")</f>
        <v>Medium</v>
      </c>
      <c r="P158" s="4" t="str">
        <f>_xlfn.XLOOKUP(CoffeeOrderstable[[#This Row],[Customer ID]],customers!$A$1:$A$1001,customers!$I$1:$I$1001,,0)</f>
        <v>Yes</v>
      </c>
    </row>
    <row r="159" spans="1:16" x14ac:dyDescent="0.3">
      <c r="A159" s="3" t="s">
        <v>1373</v>
      </c>
      <c r="B159" s="5">
        <v>44374</v>
      </c>
      <c r="C159" s="3" t="s">
        <v>1374</v>
      </c>
      <c r="D159" s="4" t="s">
        <v>6149</v>
      </c>
      <c r="E159" s="3">
        <v>3</v>
      </c>
      <c r="F159" s="3" t="str">
        <f>_xlfn.XLOOKUP(C159,customers!$A$1:$A$1001,customers!$B$1:$B$1001,,0)</f>
        <v>Paulo Yea</v>
      </c>
      <c r="G159" s="3" t="str">
        <f>IF(_xlfn.XLOOKUP(C159,customers!$A$1:$A$1001,customers!$C$1:$C$1001,,0)=0,"", _xlfn.XLOOKUP(C159,customers!$A$1:$A$1001,customers!$C$1:$C$1001,,0))</f>
        <v>pyea4d@aol.com</v>
      </c>
      <c r="H159" s="3" t="str">
        <f>_xlfn.XLOOKUP(C159,customers!$A$1:$A$1001,customers!$G$1:$G$1001,,0)</f>
        <v>Ireland</v>
      </c>
      <c r="I159" s="4" t="str">
        <f>INDEX(products!$A$1:$G$49,MATCH(orders!$D159,products!$A$1:$A$49,0),MATCH(orders!I$1,products!$A$1:$G$1,0))</f>
        <v>Rob</v>
      </c>
      <c r="J159" s="4" t="str">
        <f>INDEX(products!$A$1:$G$49,MATCH(orders!$D159,products!$A$1:$A$49,0),MATCH(orders!J$1,products!$A$1:$G$1,0))</f>
        <v>D</v>
      </c>
      <c r="K159" s="6">
        <f>INDEX(products!$A$1:$G$49,MATCH(orders!$D159,products!$A$1:$A$49,0),MATCH(orders!K$1,products!$A$1:$G$1,0))</f>
        <v>2.5</v>
      </c>
      <c r="L159" s="7">
        <f>INDEX(products!$A$1:$G$49,MATCH(orders!$D159,products!$A$1:$A$49,0),MATCH(orders!L$1,products!$A$1:$G$1,0))</f>
        <v>20.584999999999997</v>
      </c>
      <c r="M159" s="7">
        <f t="shared" si="2"/>
        <v>61.754999999999995</v>
      </c>
      <c r="N159" s="4" t="str" cm="1">
        <f t="array" ref="N159">_xlfn.IFS(I159="Rob","Robusta",I159="Exc","Excelsa",I159="Ara","Arabica",I159="Lib","Liberica")</f>
        <v>Robusta</v>
      </c>
      <c r="O159" s="4" t="str" cm="1">
        <f t="array" ref="O159">_xlfn.IFS(J159="M","Medium",J159="L","Light",J159="D","Dark")</f>
        <v>Dark</v>
      </c>
      <c r="P159" s="4" t="str">
        <f>_xlfn.XLOOKUP(CoffeeOrderstable[[#This Row],[Customer ID]],customers!$A$1:$A$1001,customers!$I$1:$I$1001,,0)</f>
        <v>No</v>
      </c>
    </row>
    <row r="160" spans="1:16" x14ac:dyDescent="0.3">
      <c r="A160" s="3" t="s">
        <v>1379</v>
      </c>
      <c r="B160" s="5">
        <v>43714</v>
      </c>
      <c r="C160" s="3" t="s">
        <v>1380</v>
      </c>
      <c r="D160" s="4" t="s">
        <v>6149</v>
      </c>
      <c r="E160" s="3">
        <v>6</v>
      </c>
      <c r="F160" s="3" t="str">
        <f>_xlfn.XLOOKUP(C160,customers!$A$1:$A$1001,customers!$B$1:$B$1001,,0)</f>
        <v>Say Risborough</v>
      </c>
      <c r="G160" s="3" t="str">
        <f>IF(_xlfn.XLOOKUP(C160,customers!$A$1:$A$1001,customers!$C$1:$C$1001,,0)=0,"", _xlfn.XLOOKUP(C160,customers!$A$1:$A$1001,customers!$C$1:$C$1001,,0))</f>
        <v/>
      </c>
      <c r="H160" s="3" t="str">
        <f>_xlfn.XLOOKUP(C160,customers!$A$1:$A$1001,customers!$G$1:$G$1001,,0)</f>
        <v>United States</v>
      </c>
      <c r="I160" s="4" t="str">
        <f>INDEX(products!$A$1:$G$49,MATCH(orders!$D160,products!$A$1:$A$49,0),MATCH(orders!I$1,products!$A$1:$G$1,0))</f>
        <v>Rob</v>
      </c>
      <c r="J160" s="4" t="str">
        <f>INDEX(products!$A$1:$G$49,MATCH(orders!$D160,products!$A$1:$A$49,0),MATCH(orders!J$1,products!$A$1:$G$1,0))</f>
        <v>D</v>
      </c>
      <c r="K160" s="6">
        <f>INDEX(products!$A$1:$G$49,MATCH(orders!$D160,products!$A$1:$A$49,0),MATCH(orders!K$1,products!$A$1:$G$1,0))</f>
        <v>2.5</v>
      </c>
      <c r="L160" s="7">
        <f>INDEX(products!$A$1:$G$49,MATCH(orders!$D160,products!$A$1:$A$49,0),MATCH(orders!L$1,products!$A$1:$G$1,0))</f>
        <v>20.584999999999997</v>
      </c>
      <c r="M160" s="7">
        <f t="shared" si="2"/>
        <v>123.50999999999999</v>
      </c>
      <c r="N160" s="4" t="str" cm="1">
        <f t="array" ref="N160">_xlfn.IFS(I160="Rob","Robusta",I160="Exc","Excelsa",I160="Ara","Arabica",I160="Lib","Liberica")</f>
        <v>Robusta</v>
      </c>
      <c r="O160" s="4" t="str" cm="1">
        <f t="array" ref="O160">_xlfn.IFS(J160="M","Medium",J160="L","Light",J160="D","Dark")</f>
        <v>Dark</v>
      </c>
      <c r="P160" s="4" t="str">
        <f>_xlfn.XLOOKUP(CoffeeOrderstable[[#This Row],[Customer ID]],customers!$A$1:$A$1001,customers!$I$1:$I$1001,,0)</f>
        <v>Yes</v>
      </c>
    </row>
    <row r="161" spans="1:16" x14ac:dyDescent="0.3">
      <c r="A161" s="3" t="s">
        <v>1384</v>
      </c>
      <c r="B161" s="5">
        <v>44316</v>
      </c>
      <c r="C161" s="3" t="s">
        <v>1385</v>
      </c>
      <c r="D161" s="4" t="s">
        <v>6164</v>
      </c>
      <c r="E161" s="3">
        <v>6</v>
      </c>
      <c r="F161" s="3" t="str">
        <f>_xlfn.XLOOKUP(C161,customers!$A$1:$A$1001,customers!$B$1:$B$1001,,0)</f>
        <v>Alexa Sizey</v>
      </c>
      <c r="G161" s="3" t="str">
        <f>IF(_xlfn.XLOOKUP(C161,customers!$A$1:$A$1001,customers!$C$1:$C$1001,,0)=0,"", _xlfn.XLOOKUP(C161,customers!$A$1:$A$1001,customers!$C$1:$C$1001,,0))</f>
        <v/>
      </c>
      <c r="H161" s="3" t="str">
        <f>_xlfn.XLOOKUP(C161,customers!$A$1:$A$1001,customers!$G$1:$G$1001,,0)</f>
        <v>United States</v>
      </c>
      <c r="I161" s="4" t="str">
        <f>INDEX(products!$A$1:$G$49,MATCH(orders!$D161,products!$A$1:$A$49,0),MATCH(orders!I$1,products!$A$1:$G$1,0))</f>
        <v>Lib</v>
      </c>
      <c r="J161" s="4" t="str">
        <f>INDEX(products!$A$1:$G$49,MATCH(orders!$D161,products!$A$1:$A$49,0),MATCH(orders!J$1,products!$A$1:$G$1,0))</f>
        <v>L</v>
      </c>
      <c r="K161" s="6">
        <f>INDEX(products!$A$1:$G$49,MATCH(orders!$D161,products!$A$1:$A$49,0),MATCH(orders!K$1,products!$A$1:$G$1,0))</f>
        <v>2.5</v>
      </c>
      <c r="L161" s="7">
        <f>INDEX(products!$A$1:$G$49,MATCH(orders!$D161,products!$A$1:$A$49,0),MATCH(orders!L$1,products!$A$1:$G$1,0))</f>
        <v>36.454999999999998</v>
      </c>
      <c r="M161" s="7">
        <f t="shared" si="2"/>
        <v>218.73</v>
      </c>
      <c r="N161" s="4" t="str" cm="1">
        <f t="array" ref="N161">_xlfn.IFS(I161="Rob","Robusta",I161="Exc","Excelsa",I161="Ara","Arabica",I161="Lib","Liberica")</f>
        <v>Liberica</v>
      </c>
      <c r="O161" s="4" t="str" cm="1">
        <f t="array" ref="O161">_xlfn.IFS(J161="M","Medium",J161="L","Light",J161="D","Dark")</f>
        <v>Light</v>
      </c>
      <c r="P161" s="4" t="str">
        <f>_xlfn.XLOOKUP(CoffeeOrderstable[[#This Row],[Customer ID]],customers!$A$1:$A$1001,customers!$I$1:$I$1001,,0)</f>
        <v>No</v>
      </c>
    </row>
    <row r="162" spans="1:16" x14ac:dyDescent="0.3">
      <c r="A162" s="3" t="s">
        <v>1389</v>
      </c>
      <c r="B162" s="5">
        <v>43837</v>
      </c>
      <c r="C162" s="3" t="s">
        <v>1390</v>
      </c>
      <c r="D162" s="4" t="s">
        <v>6139</v>
      </c>
      <c r="E162" s="3">
        <v>4</v>
      </c>
      <c r="F162" s="3" t="str">
        <f>_xlfn.XLOOKUP(C162,customers!$A$1:$A$1001,customers!$B$1:$B$1001,,0)</f>
        <v>Kari Swede</v>
      </c>
      <c r="G162" s="3" t="str">
        <f>IF(_xlfn.XLOOKUP(C162,customers!$A$1:$A$1001,customers!$C$1:$C$1001,,0)=0,"", _xlfn.XLOOKUP(C162,customers!$A$1:$A$1001,customers!$C$1:$C$1001,,0))</f>
        <v>kswede4g@addthis.com</v>
      </c>
      <c r="H162" s="3" t="str">
        <f>_xlfn.XLOOKUP(C162,customers!$A$1:$A$1001,customers!$G$1:$G$1001,,0)</f>
        <v>United States</v>
      </c>
      <c r="I162" s="4" t="str">
        <f>INDEX(products!$A$1:$G$49,MATCH(orders!$D162,products!$A$1:$A$49,0),MATCH(orders!I$1,products!$A$1:$G$1,0))</f>
        <v>Exc</v>
      </c>
      <c r="J162" s="4" t="str">
        <f>INDEX(products!$A$1:$G$49,MATCH(orders!$D162,products!$A$1:$A$49,0),MATCH(orders!J$1,products!$A$1:$G$1,0))</f>
        <v>M</v>
      </c>
      <c r="K162" s="6">
        <f>INDEX(products!$A$1:$G$49,MATCH(orders!$D162,products!$A$1:$A$49,0),MATCH(orders!K$1,products!$A$1:$G$1,0))</f>
        <v>0.5</v>
      </c>
      <c r="L162" s="7">
        <f>INDEX(products!$A$1:$G$49,MATCH(orders!$D162,products!$A$1:$A$49,0),MATCH(orders!L$1,products!$A$1:$G$1,0))</f>
        <v>8.25</v>
      </c>
      <c r="M162" s="7">
        <f t="shared" si="2"/>
        <v>33</v>
      </c>
      <c r="N162" s="4" t="str" cm="1">
        <f t="array" ref="N162">_xlfn.IFS(I162="Rob","Robusta",I162="Exc","Excelsa",I162="Ara","Arabica",I162="Lib","Liberica")</f>
        <v>Excelsa</v>
      </c>
      <c r="O162" s="4" t="str" cm="1">
        <f t="array" ref="O162">_xlfn.IFS(J162="M","Medium",J162="L","Light",J162="D","Dark")</f>
        <v>Medium</v>
      </c>
      <c r="P162" s="4" t="str">
        <f>_xlfn.XLOOKUP(CoffeeOrderstable[[#This Row],[Customer ID]],customers!$A$1:$A$1001,customers!$I$1:$I$1001,,0)</f>
        <v>No</v>
      </c>
    </row>
    <row r="163" spans="1:16" x14ac:dyDescent="0.3">
      <c r="A163" s="3" t="s">
        <v>1395</v>
      </c>
      <c r="B163" s="5">
        <v>44207</v>
      </c>
      <c r="C163" s="3" t="s">
        <v>1396</v>
      </c>
      <c r="D163" s="4" t="s">
        <v>6180</v>
      </c>
      <c r="E163" s="3">
        <v>3</v>
      </c>
      <c r="F163" s="3" t="str">
        <f>_xlfn.XLOOKUP(C163,customers!$A$1:$A$1001,customers!$B$1:$B$1001,,0)</f>
        <v>Leontine Rubrow</v>
      </c>
      <c r="G163" s="3" t="str">
        <f>IF(_xlfn.XLOOKUP(C163,customers!$A$1:$A$1001,customers!$C$1:$C$1001,,0)=0,"", _xlfn.XLOOKUP(C163,customers!$A$1:$A$1001,customers!$C$1:$C$1001,,0))</f>
        <v>lrubrow4h@microsoft.com</v>
      </c>
      <c r="H163" s="3" t="str">
        <f>_xlfn.XLOOKUP(C163,customers!$A$1:$A$1001,customers!$G$1:$G$1001,,0)</f>
        <v>United States</v>
      </c>
      <c r="I163" s="4" t="str">
        <f>INDEX(products!$A$1:$G$49,MATCH(orders!$D163,products!$A$1:$A$49,0),MATCH(orders!I$1,products!$A$1:$G$1,0))</f>
        <v>Ara</v>
      </c>
      <c r="J163" s="4" t="str">
        <f>INDEX(products!$A$1:$G$49,MATCH(orders!$D163,products!$A$1:$A$49,0),MATCH(orders!J$1,products!$A$1:$G$1,0))</f>
        <v>L</v>
      </c>
      <c r="K163" s="6">
        <f>INDEX(products!$A$1:$G$49,MATCH(orders!$D163,products!$A$1:$A$49,0),MATCH(orders!K$1,products!$A$1:$G$1,0))</f>
        <v>0.5</v>
      </c>
      <c r="L163" s="7">
        <f>INDEX(products!$A$1:$G$49,MATCH(orders!$D163,products!$A$1:$A$49,0),MATCH(orders!L$1,products!$A$1:$G$1,0))</f>
        <v>7.77</v>
      </c>
      <c r="M163" s="7">
        <f t="shared" si="2"/>
        <v>23.31</v>
      </c>
      <c r="N163" s="4" t="str" cm="1">
        <f t="array" ref="N163">_xlfn.IFS(I163="Rob","Robusta",I163="Exc","Excelsa",I163="Ara","Arabica",I163="Lib","Liberica")</f>
        <v>Arabica</v>
      </c>
      <c r="O163" s="4" t="str" cm="1">
        <f t="array" ref="O163">_xlfn.IFS(J163="M","Medium",J163="L","Light",J163="D","Dark")</f>
        <v>Light</v>
      </c>
      <c r="P163" s="4" t="str">
        <f>_xlfn.XLOOKUP(CoffeeOrderstable[[#This Row],[Customer ID]],customers!$A$1:$A$1001,customers!$I$1:$I$1001,,0)</f>
        <v>No</v>
      </c>
    </row>
    <row r="164" spans="1:16" x14ac:dyDescent="0.3">
      <c r="A164" s="3" t="s">
        <v>1401</v>
      </c>
      <c r="B164" s="5">
        <v>44515</v>
      </c>
      <c r="C164" s="3" t="s">
        <v>1402</v>
      </c>
      <c r="D164" s="4" t="s">
        <v>6144</v>
      </c>
      <c r="E164" s="3">
        <v>3</v>
      </c>
      <c r="F164" s="3" t="str">
        <f>_xlfn.XLOOKUP(C164,customers!$A$1:$A$1001,customers!$B$1:$B$1001,,0)</f>
        <v>Dottie Tift</v>
      </c>
      <c r="G164" s="3" t="str">
        <f>IF(_xlfn.XLOOKUP(C164,customers!$A$1:$A$1001,customers!$C$1:$C$1001,,0)=0,"", _xlfn.XLOOKUP(C164,customers!$A$1:$A$1001,customers!$C$1:$C$1001,,0))</f>
        <v>dtift4i@netvibes.com</v>
      </c>
      <c r="H164" s="3" t="str">
        <f>_xlfn.XLOOKUP(C164,customers!$A$1:$A$1001,customers!$G$1:$G$1001,,0)</f>
        <v>United States</v>
      </c>
      <c r="I164" s="4" t="str">
        <f>INDEX(products!$A$1:$G$49,MATCH(orders!$D164,products!$A$1:$A$49,0),MATCH(orders!I$1,products!$A$1:$G$1,0))</f>
        <v>Exc</v>
      </c>
      <c r="J164" s="4" t="str">
        <f>INDEX(products!$A$1:$G$49,MATCH(orders!$D164,products!$A$1:$A$49,0),MATCH(orders!J$1,products!$A$1:$G$1,0))</f>
        <v>D</v>
      </c>
      <c r="K164" s="6">
        <f>INDEX(products!$A$1:$G$49,MATCH(orders!$D164,products!$A$1:$A$49,0),MATCH(orders!K$1,products!$A$1:$G$1,0))</f>
        <v>0.5</v>
      </c>
      <c r="L164" s="7">
        <f>INDEX(products!$A$1:$G$49,MATCH(orders!$D164,products!$A$1:$A$49,0),MATCH(orders!L$1,products!$A$1:$G$1,0))</f>
        <v>7.29</v>
      </c>
      <c r="M164" s="7">
        <f t="shared" si="2"/>
        <v>21.87</v>
      </c>
      <c r="N164" s="4" t="str" cm="1">
        <f t="array" ref="N164">_xlfn.IFS(I164="Rob","Robusta",I164="Exc","Excelsa",I164="Ara","Arabica",I164="Lib","Liberica")</f>
        <v>Excelsa</v>
      </c>
      <c r="O164" s="4" t="str" cm="1">
        <f t="array" ref="O164">_xlfn.IFS(J164="M","Medium",J164="L","Light",J164="D","Dark")</f>
        <v>Dark</v>
      </c>
      <c r="P164" s="4" t="str">
        <f>_xlfn.XLOOKUP(CoffeeOrderstable[[#This Row],[Customer ID]],customers!$A$1:$A$1001,customers!$I$1:$I$1001,,0)</f>
        <v>Yes</v>
      </c>
    </row>
    <row r="165" spans="1:16" x14ac:dyDescent="0.3">
      <c r="A165" s="3" t="s">
        <v>1407</v>
      </c>
      <c r="B165" s="5">
        <v>43619</v>
      </c>
      <c r="C165" s="3" t="s">
        <v>1408</v>
      </c>
      <c r="D165" s="4" t="s">
        <v>6163</v>
      </c>
      <c r="E165" s="3">
        <v>6</v>
      </c>
      <c r="F165" s="3" t="str">
        <f>_xlfn.XLOOKUP(C165,customers!$A$1:$A$1001,customers!$B$1:$B$1001,,0)</f>
        <v>Gerardo Schonfeld</v>
      </c>
      <c r="G165" s="3" t="str">
        <f>IF(_xlfn.XLOOKUP(C165,customers!$A$1:$A$1001,customers!$C$1:$C$1001,,0)=0,"", _xlfn.XLOOKUP(C165,customers!$A$1:$A$1001,customers!$C$1:$C$1001,,0))</f>
        <v>gschonfeld4j@oracle.com</v>
      </c>
      <c r="H165" s="3" t="str">
        <f>_xlfn.XLOOKUP(C165,customers!$A$1:$A$1001,customers!$G$1:$G$1001,,0)</f>
        <v>United States</v>
      </c>
      <c r="I165" s="4" t="str">
        <f>INDEX(products!$A$1:$G$49,MATCH(orders!$D165,products!$A$1:$A$49,0),MATCH(orders!I$1,products!$A$1:$G$1,0))</f>
        <v>Rob</v>
      </c>
      <c r="J165" s="4" t="str">
        <f>INDEX(products!$A$1:$G$49,MATCH(orders!$D165,products!$A$1:$A$49,0),MATCH(orders!J$1,products!$A$1:$G$1,0))</f>
        <v>D</v>
      </c>
      <c r="K165" s="6">
        <f>INDEX(products!$A$1:$G$49,MATCH(orders!$D165,products!$A$1:$A$49,0),MATCH(orders!K$1,products!$A$1:$G$1,0))</f>
        <v>0.2</v>
      </c>
      <c r="L165" s="7">
        <f>INDEX(products!$A$1:$G$49,MATCH(orders!$D165,products!$A$1:$A$49,0),MATCH(orders!L$1,products!$A$1:$G$1,0))</f>
        <v>2.6849999999999996</v>
      </c>
      <c r="M165" s="7">
        <f t="shared" si="2"/>
        <v>16.11</v>
      </c>
      <c r="N165" s="4" t="str" cm="1">
        <f t="array" ref="N165">_xlfn.IFS(I165="Rob","Robusta",I165="Exc","Excelsa",I165="Ara","Arabica",I165="Lib","Liberica")</f>
        <v>Robusta</v>
      </c>
      <c r="O165" s="4" t="str" cm="1">
        <f t="array" ref="O165">_xlfn.IFS(J165="M","Medium",J165="L","Light",J165="D","Dark")</f>
        <v>Dark</v>
      </c>
      <c r="P165" s="4" t="str">
        <f>_xlfn.XLOOKUP(CoffeeOrderstable[[#This Row],[Customer ID]],customers!$A$1:$A$1001,customers!$I$1:$I$1001,,0)</f>
        <v>No</v>
      </c>
    </row>
    <row r="166" spans="1:16" x14ac:dyDescent="0.3">
      <c r="A166" s="3" t="s">
        <v>1413</v>
      </c>
      <c r="B166" s="5">
        <v>44182</v>
      </c>
      <c r="C166" s="3" t="s">
        <v>1414</v>
      </c>
      <c r="D166" s="4" t="s">
        <v>6144</v>
      </c>
      <c r="E166" s="3">
        <v>4</v>
      </c>
      <c r="F166" s="3" t="str">
        <f>_xlfn.XLOOKUP(C166,customers!$A$1:$A$1001,customers!$B$1:$B$1001,,0)</f>
        <v>Claiborne Feye</v>
      </c>
      <c r="G166" s="3" t="str">
        <f>IF(_xlfn.XLOOKUP(C166,customers!$A$1:$A$1001,customers!$C$1:$C$1001,,0)=0,"", _xlfn.XLOOKUP(C166,customers!$A$1:$A$1001,customers!$C$1:$C$1001,,0))</f>
        <v>cfeye4k@google.co.jp</v>
      </c>
      <c r="H166" s="3" t="str">
        <f>_xlfn.XLOOKUP(C166,customers!$A$1:$A$1001,customers!$G$1:$G$1001,,0)</f>
        <v>Ireland</v>
      </c>
      <c r="I166" s="4" t="str">
        <f>INDEX(products!$A$1:$G$49,MATCH(orders!$D166,products!$A$1:$A$49,0),MATCH(orders!I$1,products!$A$1:$G$1,0))</f>
        <v>Exc</v>
      </c>
      <c r="J166" s="4" t="str">
        <f>INDEX(products!$A$1:$G$49,MATCH(orders!$D166,products!$A$1:$A$49,0),MATCH(orders!J$1,products!$A$1:$G$1,0))</f>
        <v>D</v>
      </c>
      <c r="K166" s="6">
        <f>INDEX(products!$A$1:$G$49,MATCH(orders!$D166,products!$A$1:$A$49,0),MATCH(orders!K$1,products!$A$1:$G$1,0))</f>
        <v>0.5</v>
      </c>
      <c r="L166" s="7">
        <f>INDEX(products!$A$1:$G$49,MATCH(orders!$D166,products!$A$1:$A$49,0),MATCH(orders!L$1,products!$A$1:$G$1,0))</f>
        <v>7.29</v>
      </c>
      <c r="M166" s="7">
        <f t="shared" si="2"/>
        <v>29.16</v>
      </c>
      <c r="N166" s="4" t="str" cm="1">
        <f t="array" ref="N166">_xlfn.IFS(I166="Rob","Robusta",I166="Exc","Excelsa",I166="Ara","Arabica",I166="Lib","Liberica")</f>
        <v>Excelsa</v>
      </c>
      <c r="O166" s="4" t="str" cm="1">
        <f t="array" ref="O166">_xlfn.IFS(J166="M","Medium",J166="L","Light",J166="D","Dark")</f>
        <v>Dark</v>
      </c>
      <c r="P166" s="4" t="str">
        <f>_xlfn.XLOOKUP(CoffeeOrderstable[[#This Row],[Customer ID]],customers!$A$1:$A$1001,customers!$I$1:$I$1001,,0)</f>
        <v>No</v>
      </c>
    </row>
    <row r="167" spans="1:16" x14ac:dyDescent="0.3">
      <c r="A167" s="3" t="s">
        <v>1420</v>
      </c>
      <c r="B167" s="5">
        <v>44234</v>
      </c>
      <c r="C167" s="3" t="s">
        <v>1421</v>
      </c>
      <c r="D167" s="4" t="s">
        <v>6177</v>
      </c>
      <c r="E167" s="3">
        <v>6</v>
      </c>
      <c r="F167" s="3" t="str">
        <f>_xlfn.XLOOKUP(C167,customers!$A$1:$A$1001,customers!$B$1:$B$1001,,0)</f>
        <v>Mina Elstone</v>
      </c>
      <c r="G167" s="3" t="str">
        <f>IF(_xlfn.XLOOKUP(C167,customers!$A$1:$A$1001,customers!$C$1:$C$1001,,0)=0,"", _xlfn.XLOOKUP(C167,customers!$A$1:$A$1001,customers!$C$1:$C$1001,,0))</f>
        <v/>
      </c>
      <c r="H167" s="3" t="str">
        <f>_xlfn.XLOOKUP(C167,customers!$A$1:$A$1001,customers!$G$1:$G$1001,,0)</f>
        <v>United States</v>
      </c>
      <c r="I167" s="4" t="str">
        <f>INDEX(products!$A$1:$G$49,MATCH(orders!$D167,products!$A$1:$A$49,0),MATCH(orders!I$1,products!$A$1:$G$1,0))</f>
        <v>Rob</v>
      </c>
      <c r="J167" s="4" t="str">
        <f>INDEX(products!$A$1:$G$49,MATCH(orders!$D167,products!$A$1:$A$49,0),MATCH(orders!J$1,products!$A$1:$G$1,0))</f>
        <v>D</v>
      </c>
      <c r="K167" s="6">
        <f>INDEX(products!$A$1:$G$49,MATCH(orders!$D167,products!$A$1:$A$49,0),MATCH(orders!K$1,products!$A$1:$G$1,0))</f>
        <v>1</v>
      </c>
      <c r="L167" s="7">
        <f>INDEX(products!$A$1:$G$49,MATCH(orders!$D167,products!$A$1:$A$49,0),MATCH(orders!L$1,products!$A$1:$G$1,0))</f>
        <v>8.9499999999999993</v>
      </c>
      <c r="M167" s="7">
        <f t="shared" si="2"/>
        <v>53.699999999999996</v>
      </c>
      <c r="N167" s="4" t="str" cm="1">
        <f t="array" ref="N167">_xlfn.IFS(I167="Rob","Robusta",I167="Exc","Excelsa",I167="Ara","Arabica",I167="Lib","Liberica")</f>
        <v>Robusta</v>
      </c>
      <c r="O167" s="4" t="str" cm="1">
        <f t="array" ref="O167">_xlfn.IFS(J167="M","Medium",J167="L","Light",J167="D","Dark")</f>
        <v>Dark</v>
      </c>
      <c r="P167" s="4" t="str">
        <f>_xlfn.XLOOKUP(CoffeeOrderstable[[#This Row],[Customer ID]],customers!$A$1:$A$1001,customers!$I$1:$I$1001,,0)</f>
        <v>Yes</v>
      </c>
    </row>
    <row r="168" spans="1:16" x14ac:dyDescent="0.3">
      <c r="A168" s="3" t="s">
        <v>1425</v>
      </c>
      <c r="B168" s="5">
        <v>44270</v>
      </c>
      <c r="C168" s="3" t="s">
        <v>1426</v>
      </c>
      <c r="D168" s="4" t="s">
        <v>6172</v>
      </c>
      <c r="E168" s="3">
        <v>5</v>
      </c>
      <c r="F168" s="3" t="str">
        <f>_xlfn.XLOOKUP(C168,customers!$A$1:$A$1001,customers!$B$1:$B$1001,,0)</f>
        <v>Sherman Mewrcik</v>
      </c>
      <c r="G168" s="3" t="str">
        <f>IF(_xlfn.XLOOKUP(C168,customers!$A$1:$A$1001,customers!$C$1:$C$1001,,0)=0,"", _xlfn.XLOOKUP(C168,customers!$A$1:$A$1001,customers!$C$1:$C$1001,,0))</f>
        <v/>
      </c>
      <c r="H168" s="3" t="str">
        <f>_xlfn.XLOOKUP(C168,customers!$A$1:$A$1001,customers!$G$1:$G$1001,,0)</f>
        <v>United States</v>
      </c>
      <c r="I168" s="4" t="str">
        <f>INDEX(products!$A$1:$G$49,MATCH(orders!$D168,products!$A$1:$A$49,0),MATCH(orders!I$1,products!$A$1:$G$1,0))</f>
        <v>Rob</v>
      </c>
      <c r="J168" s="4" t="str">
        <f>INDEX(products!$A$1:$G$49,MATCH(orders!$D168,products!$A$1:$A$49,0),MATCH(orders!J$1,products!$A$1:$G$1,0))</f>
        <v>D</v>
      </c>
      <c r="K168" s="6">
        <f>INDEX(products!$A$1:$G$49,MATCH(orders!$D168,products!$A$1:$A$49,0),MATCH(orders!K$1,products!$A$1:$G$1,0))</f>
        <v>0.5</v>
      </c>
      <c r="L168" s="7">
        <f>INDEX(products!$A$1:$G$49,MATCH(orders!$D168,products!$A$1:$A$49,0),MATCH(orders!L$1,products!$A$1:$G$1,0))</f>
        <v>5.3699999999999992</v>
      </c>
      <c r="M168" s="7">
        <f t="shared" si="2"/>
        <v>26.849999999999994</v>
      </c>
      <c r="N168" s="4" t="str" cm="1">
        <f t="array" ref="N168">_xlfn.IFS(I168="Rob","Robusta",I168="Exc","Excelsa",I168="Ara","Arabica",I168="Lib","Liberica")</f>
        <v>Robusta</v>
      </c>
      <c r="O168" s="4" t="str" cm="1">
        <f t="array" ref="O168">_xlfn.IFS(J168="M","Medium",J168="L","Light",J168="D","Dark")</f>
        <v>Dark</v>
      </c>
      <c r="P168" s="4" t="str">
        <f>_xlfn.XLOOKUP(CoffeeOrderstable[[#This Row],[Customer ID]],customers!$A$1:$A$1001,customers!$I$1:$I$1001,,0)</f>
        <v>Yes</v>
      </c>
    </row>
    <row r="169" spans="1:16" x14ac:dyDescent="0.3">
      <c r="A169" s="3" t="s">
        <v>1430</v>
      </c>
      <c r="B169" s="5">
        <v>44777</v>
      </c>
      <c r="C169" s="3" t="s">
        <v>1431</v>
      </c>
      <c r="D169" s="4" t="s">
        <v>6139</v>
      </c>
      <c r="E169" s="3">
        <v>5</v>
      </c>
      <c r="F169" s="3" t="str">
        <f>_xlfn.XLOOKUP(C169,customers!$A$1:$A$1001,customers!$B$1:$B$1001,,0)</f>
        <v>Tamarah Fero</v>
      </c>
      <c r="G169" s="3" t="str">
        <f>IF(_xlfn.XLOOKUP(C169,customers!$A$1:$A$1001,customers!$C$1:$C$1001,,0)=0,"", _xlfn.XLOOKUP(C169,customers!$A$1:$A$1001,customers!$C$1:$C$1001,,0))</f>
        <v>tfero4n@comsenz.com</v>
      </c>
      <c r="H169" s="3" t="str">
        <f>_xlfn.XLOOKUP(C169,customers!$A$1:$A$1001,customers!$G$1:$G$1001,,0)</f>
        <v>United States</v>
      </c>
      <c r="I169" s="4" t="str">
        <f>INDEX(products!$A$1:$G$49,MATCH(orders!$D169,products!$A$1:$A$49,0),MATCH(orders!I$1,products!$A$1:$G$1,0))</f>
        <v>Exc</v>
      </c>
      <c r="J169" s="4" t="str">
        <f>INDEX(products!$A$1:$G$49,MATCH(orders!$D169,products!$A$1:$A$49,0),MATCH(orders!J$1,products!$A$1:$G$1,0))</f>
        <v>M</v>
      </c>
      <c r="K169" s="6">
        <f>INDEX(products!$A$1:$G$49,MATCH(orders!$D169,products!$A$1:$A$49,0),MATCH(orders!K$1,products!$A$1:$G$1,0))</f>
        <v>0.5</v>
      </c>
      <c r="L169" s="7">
        <f>INDEX(products!$A$1:$G$49,MATCH(orders!$D169,products!$A$1:$A$49,0),MATCH(orders!L$1,products!$A$1:$G$1,0))</f>
        <v>8.25</v>
      </c>
      <c r="M169" s="7">
        <f t="shared" si="2"/>
        <v>41.25</v>
      </c>
      <c r="N169" s="4" t="str" cm="1">
        <f t="array" ref="N169">_xlfn.IFS(I169="Rob","Robusta",I169="Exc","Excelsa",I169="Ara","Arabica",I169="Lib","Liberica")</f>
        <v>Excelsa</v>
      </c>
      <c r="O169" s="4" t="str" cm="1">
        <f t="array" ref="O169">_xlfn.IFS(J169="M","Medium",J169="L","Light",J169="D","Dark")</f>
        <v>Medium</v>
      </c>
      <c r="P169" s="4" t="str">
        <f>_xlfn.XLOOKUP(CoffeeOrderstable[[#This Row],[Customer ID]],customers!$A$1:$A$1001,customers!$I$1:$I$1001,,0)</f>
        <v>Yes</v>
      </c>
    </row>
    <row r="170" spans="1:16" x14ac:dyDescent="0.3">
      <c r="A170" s="3" t="s">
        <v>1436</v>
      </c>
      <c r="B170" s="5">
        <v>43484</v>
      </c>
      <c r="C170" s="3" t="s">
        <v>1437</v>
      </c>
      <c r="D170" s="4" t="s">
        <v>6157</v>
      </c>
      <c r="E170" s="3">
        <v>6</v>
      </c>
      <c r="F170" s="3" t="str">
        <f>_xlfn.XLOOKUP(C170,customers!$A$1:$A$1001,customers!$B$1:$B$1001,,0)</f>
        <v>Stanislaus Valsler</v>
      </c>
      <c r="G170" s="3" t="str">
        <f>IF(_xlfn.XLOOKUP(C170,customers!$A$1:$A$1001,customers!$C$1:$C$1001,,0)=0,"", _xlfn.XLOOKUP(C170,customers!$A$1:$A$1001,customers!$C$1:$C$1001,,0))</f>
        <v/>
      </c>
      <c r="H170" s="3" t="str">
        <f>_xlfn.XLOOKUP(C170,customers!$A$1:$A$1001,customers!$G$1:$G$1001,,0)</f>
        <v>Ireland</v>
      </c>
      <c r="I170" s="4" t="str">
        <f>INDEX(products!$A$1:$G$49,MATCH(orders!$D170,products!$A$1:$A$49,0),MATCH(orders!I$1,products!$A$1:$G$1,0))</f>
        <v>Ara</v>
      </c>
      <c r="J170" s="4" t="str">
        <f>INDEX(products!$A$1:$G$49,MATCH(orders!$D170,products!$A$1:$A$49,0),MATCH(orders!J$1,products!$A$1:$G$1,0))</f>
        <v>M</v>
      </c>
      <c r="K170" s="6">
        <f>INDEX(products!$A$1:$G$49,MATCH(orders!$D170,products!$A$1:$A$49,0),MATCH(orders!K$1,products!$A$1:$G$1,0))</f>
        <v>0.5</v>
      </c>
      <c r="L170" s="7">
        <f>INDEX(products!$A$1:$G$49,MATCH(orders!$D170,products!$A$1:$A$49,0),MATCH(orders!L$1,products!$A$1:$G$1,0))</f>
        <v>6.75</v>
      </c>
      <c r="M170" s="7">
        <f t="shared" si="2"/>
        <v>40.5</v>
      </c>
      <c r="N170" s="4" t="str" cm="1">
        <f t="array" ref="N170">_xlfn.IFS(I170="Rob","Robusta",I170="Exc","Excelsa",I170="Ara","Arabica",I170="Lib","Liberica")</f>
        <v>Arabica</v>
      </c>
      <c r="O170" s="4" t="str" cm="1">
        <f t="array" ref="O170">_xlfn.IFS(J170="M","Medium",J170="L","Light",J170="D","Dark")</f>
        <v>Medium</v>
      </c>
      <c r="P170" s="4" t="str">
        <f>_xlfn.XLOOKUP(CoffeeOrderstable[[#This Row],[Customer ID]],customers!$A$1:$A$1001,customers!$I$1:$I$1001,,0)</f>
        <v>No</v>
      </c>
    </row>
    <row r="171" spans="1:16" x14ac:dyDescent="0.3">
      <c r="A171" s="3" t="s">
        <v>1441</v>
      </c>
      <c r="B171" s="5">
        <v>44643</v>
      </c>
      <c r="C171" s="3" t="s">
        <v>1442</v>
      </c>
      <c r="D171" s="4" t="s">
        <v>6177</v>
      </c>
      <c r="E171" s="3">
        <v>2</v>
      </c>
      <c r="F171" s="3" t="str">
        <f>_xlfn.XLOOKUP(C171,customers!$A$1:$A$1001,customers!$B$1:$B$1001,,0)</f>
        <v>Felita Dauney</v>
      </c>
      <c r="G171" s="3" t="str">
        <f>IF(_xlfn.XLOOKUP(C171,customers!$A$1:$A$1001,customers!$C$1:$C$1001,,0)=0,"", _xlfn.XLOOKUP(C171,customers!$A$1:$A$1001,customers!$C$1:$C$1001,,0))</f>
        <v>fdauney4p@sphinn.com</v>
      </c>
      <c r="H171" s="3" t="str">
        <f>_xlfn.XLOOKUP(C171,customers!$A$1:$A$1001,customers!$G$1:$G$1001,,0)</f>
        <v>Ireland</v>
      </c>
      <c r="I171" s="4" t="str">
        <f>INDEX(products!$A$1:$G$49,MATCH(orders!$D171,products!$A$1:$A$49,0),MATCH(orders!I$1,products!$A$1:$G$1,0))</f>
        <v>Rob</v>
      </c>
      <c r="J171" s="4" t="str">
        <f>INDEX(products!$A$1:$G$49,MATCH(orders!$D171,products!$A$1:$A$49,0),MATCH(orders!J$1,products!$A$1:$G$1,0))</f>
        <v>D</v>
      </c>
      <c r="K171" s="6">
        <f>INDEX(products!$A$1:$G$49,MATCH(orders!$D171,products!$A$1:$A$49,0),MATCH(orders!K$1,products!$A$1:$G$1,0))</f>
        <v>1</v>
      </c>
      <c r="L171" s="7">
        <f>INDEX(products!$A$1:$G$49,MATCH(orders!$D171,products!$A$1:$A$49,0),MATCH(orders!L$1,products!$A$1:$G$1,0))</f>
        <v>8.9499999999999993</v>
      </c>
      <c r="M171" s="7">
        <f t="shared" si="2"/>
        <v>17.899999999999999</v>
      </c>
      <c r="N171" s="4" t="str" cm="1">
        <f t="array" ref="N171">_xlfn.IFS(I171="Rob","Robusta",I171="Exc","Excelsa",I171="Ara","Arabica",I171="Lib","Liberica")</f>
        <v>Robusta</v>
      </c>
      <c r="O171" s="4" t="str" cm="1">
        <f t="array" ref="O171">_xlfn.IFS(J171="M","Medium",J171="L","Light",J171="D","Dark")</f>
        <v>Dark</v>
      </c>
      <c r="P171" s="4" t="str">
        <f>_xlfn.XLOOKUP(CoffeeOrderstable[[#This Row],[Customer ID]],customers!$A$1:$A$1001,customers!$I$1:$I$1001,,0)</f>
        <v>No</v>
      </c>
    </row>
    <row r="172" spans="1:16" x14ac:dyDescent="0.3">
      <c r="A172" s="3" t="s">
        <v>1448</v>
      </c>
      <c r="B172" s="5">
        <v>44476</v>
      </c>
      <c r="C172" s="3" t="s">
        <v>1449</v>
      </c>
      <c r="D172" s="4" t="s">
        <v>6148</v>
      </c>
      <c r="E172" s="3">
        <v>2</v>
      </c>
      <c r="F172" s="3" t="str">
        <f>_xlfn.XLOOKUP(C172,customers!$A$1:$A$1001,customers!$B$1:$B$1001,,0)</f>
        <v>Serena Earley</v>
      </c>
      <c r="G172" s="3" t="str">
        <f>IF(_xlfn.XLOOKUP(C172,customers!$A$1:$A$1001,customers!$C$1:$C$1001,,0)=0,"", _xlfn.XLOOKUP(C172,customers!$A$1:$A$1001,customers!$C$1:$C$1001,,0))</f>
        <v>searley4q@youku.com</v>
      </c>
      <c r="H172" s="3" t="str">
        <f>_xlfn.XLOOKUP(C172,customers!$A$1:$A$1001,customers!$G$1:$G$1001,,0)</f>
        <v>United Kingdom</v>
      </c>
      <c r="I172" s="4" t="str">
        <f>INDEX(products!$A$1:$G$49,MATCH(orders!$D172,products!$A$1:$A$49,0),MATCH(orders!I$1,products!$A$1:$G$1,0))</f>
        <v>Exc</v>
      </c>
      <c r="J172" s="4" t="str">
        <f>INDEX(products!$A$1:$G$49,MATCH(orders!$D172,products!$A$1:$A$49,0),MATCH(orders!J$1,products!$A$1:$G$1,0))</f>
        <v>L</v>
      </c>
      <c r="K172" s="6">
        <f>INDEX(products!$A$1:$G$49,MATCH(orders!$D172,products!$A$1:$A$49,0),MATCH(orders!K$1,products!$A$1:$G$1,0))</f>
        <v>2.5</v>
      </c>
      <c r="L172" s="7">
        <f>INDEX(products!$A$1:$G$49,MATCH(orders!$D172,products!$A$1:$A$49,0),MATCH(orders!L$1,products!$A$1:$G$1,0))</f>
        <v>34.154999999999994</v>
      </c>
      <c r="M172" s="7">
        <f t="shared" si="2"/>
        <v>68.309999999999988</v>
      </c>
      <c r="N172" s="4" t="str" cm="1">
        <f t="array" ref="N172">_xlfn.IFS(I172="Rob","Robusta",I172="Exc","Excelsa",I172="Ara","Arabica",I172="Lib","Liberica")</f>
        <v>Excelsa</v>
      </c>
      <c r="O172" s="4" t="str" cm="1">
        <f t="array" ref="O172">_xlfn.IFS(J172="M","Medium",J172="L","Light",J172="D","Dark")</f>
        <v>Light</v>
      </c>
      <c r="P172" s="4" t="str">
        <f>_xlfn.XLOOKUP(CoffeeOrderstable[[#This Row],[Customer ID]],customers!$A$1:$A$1001,customers!$I$1:$I$1001,,0)</f>
        <v>No</v>
      </c>
    </row>
    <row r="173" spans="1:16" x14ac:dyDescent="0.3">
      <c r="A173" s="3" t="s">
        <v>1453</v>
      </c>
      <c r="B173" s="5">
        <v>43544</v>
      </c>
      <c r="C173" s="3" t="s">
        <v>1454</v>
      </c>
      <c r="D173" s="4" t="s">
        <v>6166</v>
      </c>
      <c r="E173" s="3">
        <v>2</v>
      </c>
      <c r="F173" s="3" t="str">
        <f>_xlfn.XLOOKUP(C173,customers!$A$1:$A$1001,customers!$B$1:$B$1001,,0)</f>
        <v>Minny Chamberlayne</v>
      </c>
      <c r="G173" s="3" t="str">
        <f>IF(_xlfn.XLOOKUP(C173,customers!$A$1:$A$1001,customers!$C$1:$C$1001,,0)=0,"", _xlfn.XLOOKUP(C173,customers!$A$1:$A$1001,customers!$C$1:$C$1001,,0))</f>
        <v>mchamberlayne4r@bigcartel.com</v>
      </c>
      <c r="H173" s="3" t="str">
        <f>_xlfn.XLOOKUP(C173,customers!$A$1:$A$1001,customers!$G$1:$G$1001,,0)</f>
        <v>United States</v>
      </c>
      <c r="I173" s="4" t="str">
        <f>INDEX(products!$A$1:$G$49,MATCH(orders!$D173,products!$A$1:$A$49,0),MATCH(orders!I$1,products!$A$1:$G$1,0))</f>
        <v>Exc</v>
      </c>
      <c r="J173" s="4" t="str">
        <f>INDEX(products!$A$1:$G$49,MATCH(orders!$D173,products!$A$1:$A$49,0),MATCH(orders!J$1,products!$A$1:$G$1,0))</f>
        <v>M</v>
      </c>
      <c r="K173" s="6">
        <f>INDEX(products!$A$1:$G$49,MATCH(orders!$D173,products!$A$1:$A$49,0),MATCH(orders!K$1,products!$A$1:$G$1,0))</f>
        <v>2.5</v>
      </c>
      <c r="L173" s="7">
        <f>INDEX(products!$A$1:$G$49,MATCH(orders!$D173,products!$A$1:$A$49,0),MATCH(orders!L$1,products!$A$1:$G$1,0))</f>
        <v>31.624999999999996</v>
      </c>
      <c r="M173" s="7">
        <f t="shared" si="2"/>
        <v>63.249999999999993</v>
      </c>
      <c r="N173" s="4" t="str" cm="1">
        <f t="array" ref="N173">_xlfn.IFS(I173="Rob","Robusta",I173="Exc","Excelsa",I173="Ara","Arabica",I173="Lib","Liberica")</f>
        <v>Excelsa</v>
      </c>
      <c r="O173" s="4" t="str" cm="1">
        <f t="array" ref="O173">_xlfn.IFS(J173="M","Medium",J173="L","Light",J173="D","Dark")</f>
        <v>Medium</v>
      </c>
      <c r="P173" s="4" t="str">
        <f>_xlfn.XLOOKUP(CoffeeOrderstable[[#This Row],[Customer ID]],customers!$A$1:$A$1001,customers!$I$1:$I$1001,,0)</f>
        <v>Yes</v>
      </c>
    </row>
    <row r="174" spans="1:16" x14ac:dyDescent="0.3">
      <c r="A174" s="3" t="s">
        <v>1459</v>
      </c>
      <c r="B174" s="5">
        <v>44545</v>
      </c>
      <c r="C174" s="3" t="s">
        <v>1460</v>
      </c>
      <c r="D174" s="4" t="s">
        <v>6144</v>
      </c>
      <c r="E174" s="3">
        <v>3</v>
      </c>
      <c r="F174" s="3" t="str">
        <f>_xlfn.XLOOKUP(C174,customers!$A$1:$A$1001,customers!$B$1:$B$1001,,0)</f>
        <v>Bartholemy Flaherty</v>
      </c>
      <c r="G174" s="3" t="str">
        <f>IF(_xlfn.XLOOKUP(C174,customers!$A$1:$A$1001,customers!$C$1:$C$1001,,0)=0,"", _xlfn.XLOOKUP(C174,customers!$A$1:$A$1001,customers!$C$1:$C$1001,,0))</f>
        <v>bflaherty4s@moonfruit.com</v>
      </c>
      <c r="H174" s="3" t="str">
        <f>_xlfn.XLOOKUP(C174,customers!$A$1:$A$1001,customers!$G$1:$G$1001,,0)</f>
        <v>Ireland</v>
      </c>
      <c r="I174" s="4" t="str">
        <f>INDEX(products!$A$1:$G$49,MATCH(orders!$D174,products!$A$1:$A$49,0),MATCH(orders!I$1,products!$A$1:$G$1,0))</f>
        <v>Exc</v>
      </c>
      <c r="J174" s="4" t="str">
        <f>INDEX(products!$A$1:$G$49,MATCH(orders!$D174,products!$A$1:$A$49,0),MATCH(orders!J$1,products!$A$1:$G$1,0))</f>
        <v>D</v>
      </c>
      <c r="K174" s="6">
        <f>INDEX(products!$A$1:$G$49,MATCH(orders!$D174,products!$A$1:$A$49,0),MATCH(orders!K$1,products!$A$1:$G$1,0))</f>
        <v>0.5</v>
      </c>
      <c r="L174" s="7">
        <f>INDEX(products!$A$1:$G$49,MATCH(orders!$D174,products!$A$1:$A$49,0),MATCH(orders!L$1,products!$A$1:$G$1,0))</f>
        <v>7.29</v>
      </c>
      <c r="M174" s="7">
        <f t="shared" si="2"/>
        <v>21.87</v>
      </c>
      <c r="N174" s="4" t="str" cm="1">
        <f t="array" ref="N174">_xlfn.IFS(I174="Rob","Robusta",I174="Exc","Excelsa",I174="Ara","Arabica",I174="Lib","Liberica")</f>
        <v>Excelsa</v>
      </c>
      <c r="O174" s="4" t="str" cm="1">
        <f t="array" ref="O174">_xlfn.IFS(J174="M","Medium",J174="L","Light",J174="D","Dark")</f>
        <v>Dark</v>
      </c>
      <c r="P174" s="4" t="str">
        <f>_xlfn.XLOOKUP(CoffeeOrderstable[[#This Row],[Customer ID]],customers!$A$1:$A$1001,customers!$I$1:$I$1001,,0)</f>
        <v>No</v>
      </c>
    </row>
    <row r="175" spans="1:16" x14ac:dyDescent="0.3">
      <c r="A175" s="3" t="s">
        <v>1464</v>
      </c>
      <c r="B175" s="5">
        <v>44720</v>
      </c>
      <c r="C175" s="3" t="s">
        <v>1465</v>
      </c>
      <c r="D175" s="4" t="s">
        <v>6151</v>
      </c>
      <c r="E175" s="3">
        <v>4</v>
      </c>
      <c r="F175" s="3" t="str">
        <f>_xlfn.XLOOKUP(C175,customers!$A$1:$A$1001,customers!$B$1:$B$1001,,0)</f>
        <v>Oran Colbeck</v>
      </c>
      <c r="G175" s="3" t="str">
        <f>IF(_xlfn.XLOOKUP(C175,customers!$A$1:$A$1001,customers!$C$1:$C$1001,,0)=0,"", _xlfn.XLOOKUP(C175,customers!$A$1:$A$1001,customers!$C$1:$C$1001,,0))</f>
        <v>ocolbeck4t@sina.com.cn</v>
      </c>
      <c r="H175" s="3" t="str">
        <f>_xlfn.XLOOKUP(C175,customers!$A$1:$A$1001,customers!$G$1:$G$1001,,0)</f>
        <v>United States</v>
      </c>
      <c r="I175" s="4" t="str">
        <f>INDEX(products!$A$1:$G$49,MATCH(orders!$D175,products!$A$1:$A$49,0),MATCH(orders!I$1,products!$A$1:$G$1,0))</f>
        <v>Rob</v>
      </c>
      <c r="J175" s="4" t="str">
        <f>INDEX(products!$A$1:$G$49,MATCH(orders!$D175,products!$A$1:$A$49,0),MATCH(orders!J$1,products!$A$1:$G$1,0))</f>
        <v>M</v>
      </c>
      <c r="K175" s="6">
        <f>INDEX(products!$A$1:$G$49,MATCH(orders!$D175,products!$A$1:$A$49,0),MATCH(orders!K$1,products!$A$1:$G$1,0))</f>
        <v>2.5</v>
      </c>
      <c r="L175" s="7">
        <f>INDEX(products!$A$1:$G$49,MATCH(orders!$D175,products!$A$1:$A$49,0),MATCH(orders!L$1,products!$A$1:$G$1,0))</f>
        <v>22.884999999999998</v>
      </c>
      <c r="M175" s="7">
        <f t="shared" si="2"/>
        <v>91.539999999999992</v>
      </c>
      <c r="N175" s="4" t="str" cm="1">
        <f t="array" ref="N175">_xlfn.IFS(I175="Rob","Robusta",I175="Exc","Excelsa",I175="Ara","Arabica",I175="Lib","Liberica")</f>
        <v>Robusta</v>
      </c>
      <c r="O175" s="4" t="str" cm="1">
        <f t="array" ref="O175">_xlfn.IFS(J175="M","Medium",J175="L","Light",J175="D","Dark")</f>
        <v>Medium</v>
      </c>
      <c r="P175" s="4" t="str">
        <f>_xlfn.XLOOKUP(CoffeeOrderstable[[#This Row],[Customer ID]],customers!$A$1:$A$1001,customers!$I$1:$I$1001,,0)</f>
        <v>No</v>
      </c>
    </row>
    <row r="176" spans="1:16" x14ac:dyDescent="0.3">
      <c r="A176" s="3" t="s">
        <v>1470</v>
      </c>
      <c r="B176" s="5">
        <v>43813</v>
      </c>
      <c r="C176" s="3" t="s">
        <v>1471</v>
      </c>
      <c r="D176" s="4" t="s">
        <v>6148</v>
      </c>
      <c r="E176" s="3">
        <v>6</v>
      </c>
      <c r="F176" s="3" t="str">
        <f>_xlfn.XLOOKUP(C176,customers!$A$1:$A$1001,customers!$B$1:$B$1001,,0)</f>
        <v>Elysee Sketch</v>
      </c>
      <c r="G176" s="3" t="str">
        <f>IF(_xlfn.XLOOKUP(C176,customers!$A$1:$A$1001,customers!$C$1:$C$1001,,0)=0,"", _xlfn.XLOOKUP(C176,customers!$A$1:$A$1001,customers!$C$1:$C$1001,,0))</f>
        <v/>
      </c>
      <c r="H176" s="3" t="str">
        <f>_xlfn.XLOOKUP(C176,customers!$A$1:$A$1001,customers!$G$1:$G$1001,,0)</f>
        <v>United States</v>
      </c>
      <c r="I176" s="4" t="str">
        <f>INDEX(products!$A$1:$G$49,MATCH(orders!$D176,products!$A$1:$A$49,0),MATCH(orders!I$1,products!$A$1:$G$1,0))</f>
        <v>Exc</v>
      </c>
      <c r="J176" s="4" t="str">
        <f>INDEX(products!$A$1:$G$49,MATCH(orders!$D176,products!$A$1:$A$49,0),MATCH(orders!J$1,products!$A$1:$G$1,0))</f>
        <v>L</v>
      </c>
      <c r="K176" s="6">
        <f>INDEX(products!$A$1:$G$49,MATCH(orders!$D176,products!$A$1:$A$49,0),MATCH(orders!K$1,products!$A$1:$G$1,0))</f>
        <v>2.5</v>
      </c>
      <c r="L176" s="7">
        <f>INDEX(products!$A$1:$G$49,MATCH(orders!$D176,products!$A$1:$A$49,0),MATCH(orders!L$1,products!$A$1:$G$1,0))</f>
        <v>34.154999999999994</v>
      </c>
      <c r="M176" s="7">
        <f t="shared" si="2"/>
        <v>204.92999999999995</v>
      </c>
      <c r="N176" s="4" t="str" cm="1">
        <f t="array" ref="N176">_xlfn.IFS(I176="Rob","Robusta",I176="Exc","Excelsa",I176="Ara","Arabica",I176="Lib","Liberica")</f>
        <v>Excelsa</v>
      </c>
      <c r="O176" s="4" t="str" cm="1">
        <f t="array" ref="O176">_xlfn.IFS(J176="M","Medium",J176="L","Light",J176="D","Dark")</f>
        <v>Light</v>
      </c>
      <c r="P176" s="4" t="str">
        <f>_xlfn.XLOOKUP(CoffeeOrderstable[[#This Row],[Customer ID]],customers!$A$1:$A$1001,customers!$I$1:$I$1001,,0)</f>
        <v>Yes</v>
      </c>
    </row>
    <row r="177" spans="1:16" x14ac:dyDescent="0.3">
      <c r="A177" s="3" t="s">
        <v>1475</v>
      </c>
      <c r="B177" s="5">
        <v>44296</v>
      </c>
      <c r="C177" s="3" t="s">
        <v>1476</v>
      </c>
      <c r="D177" s="4" t="s">
        <v>6166</v>
      </c>
      <c r="E177" s="3">
        <v>2</v>
      </c>
      <c r="F177" s="3" t="str">
        <f>_xlfn.XLOOKUP(C177,customers!$A$1:$A$1001,customers!$B$1:$B$1001,,0)</f>
        <v>Ethelda Hobbing</v>
      </c>
      <c r="G177" s="3" t="str">
        <f>IF(_xlfn.XLOOKUP(C177,customers!$A$1:$A$1001,customers!$C$1:$C$1001,,0)=0,"", _xlfn.XLOOKUP(C177,customers!$A$1:$A$1001,customers!$C$1:$C$1001,,0))</f>
        <v>ehobbing4v@nsw.gov.au</v>
      </c>
      <c r="H177" s="3" t="str">
        <f>_xlfn.XLOOKUP(C177,customers!$A$1:$A$1001,customers!$G$1:$G$1001,,0)</f>
        <v>United States</v>
      </c>
      <c r="I177" s="4" t="str">
        <f>INDEX(products!$A$1:$G$49,MATCH(orders!$D177,products!$A$1:$A$49,0),MATCH(orders!I$1,products!$A$1:$G$1,0))</f>
        <v>Exc</v>
      </c>
      <c r="J177" s="4" t="str">
        <f>INDEX(products!$A$1:$G$49,MATCH(orders!$D177,products!$A$1:$A$49,0),MATCH(orders!J$1,products!$A$1:$G$1,0))</f>
        <v>M</v>
      </c>
      <c r="K177" s="6">
        <f>INDEX(products!$A$1:$G$49,MATCH(orders!$D177,products!$A$1:$A$49,0),MATCH(orders!K$1,products!$A$1:$G$1,0))</f>
        <v>2.5</v>
      </c>
      <c r="L177" s="7">
        <f>INDEX(products!$A$1:$G$49,MATCH(orders!$D177,products!$A$1:$A$49,0),MATCH(orders!L$1,products!$A$1:$G$1,0))</f>
        <v>31.624999999999996</v>
      </c>
      <c r="M177" s="7">
        <f t="shared" si="2"/>
        <v>63.249999999999993</v>
      </c>
      <c r="N177" s="4" t="str" cm="1">
        <f t="array" ref="N177">_xlfn.IFS(I177="Rob","Robusta",I177="Exc","Excelsa",I177="Ara","Arabica",I177="Lib","Liberica")</f>
        <v>Excelsa</v>
      </c>
      <c r="O177" s="4" t="str" cm="1">
        <f t="array" ref="O177">_xlfn.IFS(J177="M","Medium",J177="L","Light",J177="D","Dark")</f>
        <v>Medium</v>
      </c>
      <c r="P177" s="4" t="str">
        <f>_xlfn.XLOOKUP(CoffeeOrderstable[[#This Row],[Customer ID]],customers!$A$1:$A$1001,customers!$I$1:$I$1001,,0)</f>
        <v>Yes</v>
      </c>
    </row>
    <row r="178" spans="1:16" x14ac:dyDescent="0.3">
      <c r="A178" s="3" t="s">
        <v>1481</v>
      </c>
      <c r="B178" s="5">
        <v>43900</v>
      </c>
      <c r="C178" s="3" t="s">
        <v>1482</v>
      </c>
      <c r="D178" s="4" t="s">
        <v>6148</v>
      </c>
      <c r="E178" s="3">
        <v>1</v>
      </c>
      <c r="F178" s="3" t="str">
        <f>_xlfn.XLOOKUP(C178,customers!$A$1:$A$1001,customers!$B$1:$B$1001,,0)</f>
        <v>Odille Thynne</v>
      </c>
      <c r="G178" s="3" t="str">
        <f>IF(_xlfn.XLOOKUP(C178,customers!$A$1:$A$1001,customers!$C$1:$C$1001,,0)=0,"", _xlfn.XLOOKUP(C178,customers!$A$1:$A$1001,customers!$C$1:$C$1001,,0))</f>
        <v>othynne4w@auda.org.au</v>
      </c>
      <c r="H178" s="3" t="str">
        <f>_xlfn.XLOOKUP(C178,customers!$A$1:$A$1001,customers!$G$1:$G$1001,,0)</f>
        <v>United States</v>
      </c>
      <c r="I178" s="4" t="str">
        <f>INDEX(products!$A$1:$G$49,MATCH(orders!$D178,products!$A$1:$A$49,0),MATCH(orders!I$1,products!$A$1:$G$1,0))</f>
        <v>Exc</v>
      </c>
      <c r="J178" s="4" t="str">
        <f>INDEX(products!$A$1:$G$49,MATCH(orders!$D178,products!$A$1:$A$49,0),MATCH(orders!J$1,products!$A$1:$G$1,0))</f>
        <v>L</v>
      </c>
      <c r="K178" s="6">
        <f>INDEX(products!$A$1:$G$49,MATCH(orders!$D178,products!$A$1:$A$49,0),MATCH(orders!K$1,products!$A$1:$G$1,0))</f>
        <v>2.5</v>
      </c>
      <c r="L178" s="7">
        <f>INDEX(products!$A$1:$G$49,MATCH(orders!$D178,products!$A$1:$A$49,0),MATCH(orders!L$1,products!$A$1:$G$1,0))</f>
        <v>34.154999999999994</v>
      </c>
      <c r="M178" s="7">
        <f t="shared" si="2"/>
        <v>34.154999999999994</v>
      </c>
      <c r="N178" s="4" t="str" cm="1">
        <f t="array" ref="N178">_xlfn.IFS(I178="Rob","Robusta",I178="Exc","Excelsa",I178="Ara","Arabica",I178="Lib","Liberica")</f>
        <v>Excelsa</v>
      </c>
      <c r="O178" s="4" t="str" cm="1">
        <f t="array" ref="O178">_xlfn.IFS(J178="M","Medium",J178="L","Light",J178="D","Dark")</f>
        <v>Light</v>
      </c>
      <c r="P178" s="4" t="str">
        <f>_xlfn.XLOOKUP(CoffeeOrderstable[[#This Row],[Customer ID]],customers!$A$1:$A$1001,customers!$I$1:$I$1001,,0)</f>
        <v>Yes</v>
      </c>
    </row>
    <row r="179" spans="1:16" x14ac:dyDescent="0.3">
      <c r="A179" s="3" t="s">
        <v>1487</v>
      </c>
      <c r="B179" s="5">
        <v>44120</v>
      </c>
      <c r="C179" s="3" t="s">
        <v>1488</v>
      </c>
      <c r="D179" s="4" t="s">
        <v>6142</v>
      </c>
      <c r="E179" s="3">
        <v>4</v>
      </c>
      <c r="F179" s="3" t="str">
        <f>_xlfn.XLOOKUP(C179,customers!$A$1:$A$1001,customers!$B$1:$B$1001,,0)</f>
        <v>Emlynne Heining</v>
      </c>
      <c r="G179" s="3" t="str">
        <f>IF(_xlfn.XLOOKUP(C179,customers!$A$1:$A$1001,customers!$C$1:$C$1001,,0)=0,"", _xlfn.XLOOKUP(C179,customers!$A$1:$A$1001,customers!$C$1:$C$1001,,0))</f>
        <v>eheining4x@flickr.com</v>
      </c>
      <c r="H179" s="3" t="str">
        <f>_xlfn.XLOOKUP(C179,customers!$A$1:$A$1001,customers!$G$1:$G$1001,,0)</f>
        <v>United States</v>
      </c>
      <c r="I179" s="4" t="str">
        <f>INDEX(products!$A$1:$G$49,MATCH(orders!$D179,products!$A$1:$A$49,0),MATCH(orders!I$1,products!$A$1:$G$1,0))</f>
        <v>Rob</v>
      </c>
      <c r="J179" s="4" t="str">
        <f>INDEX(products!$A$1:$G$49,MATCH(orders!$D179,products!$A$1:$A$49,0),MATCH(orders!J$1,products!$A$1:$G$1,0))</f>
        <v>L</v>
      </c>
      <c r="K179" s="6">
        <f>INDEX(products!$A$1:$G$49,MATCH(orders!$D179,products!$A$1:$A$49,0),MATCH(orders!K$1,products!$A$1:$G$1,0))</f>
        <v>2.5</v>
      </c>
      <c r="L179" s="7">
        <f>INDEX(products!$A$1:$G$49,MATCH(orders!$D179,products!$A$1:$A$49,0),MATCH(orders!L$1,products!$A$1:$G$1,0))</f>
        <v>27.484999999999996</v>
      </c>
      <c r="M179" s="7">
        <f t="shared" si="2"/>
        <v>109.93999999999998</v>
      </c>
      <c r="N179" s="4" t="str" cm="1">
        <f t="array" ref="N179">_xlfn.IFS(I179="Rob","Robusta",I179="Exc","Excelsa",I179="Ara","Arabica",I179="Lib","Liberica")</f>
        <v>Robusta</v>
      </c>
      <c r="O179" s="4" t="str" cm="1">
        <f t="array" ref="O179">_xlfn.IFS(J179="M","Medium",J179="L","Light",J179="D","Dark")</f>
        <v>Light</v>
      </c>
      <c r="P179" s="4" t="str">
        <f>_xlfn.XLOOKUP(CoffeeOrderstable[[#This Row],[Customer ID]],customers!$A$1:$A$1001,customers!$I$1:$I$1001,,0)</f>
        <v>Yes</v>
      </c>
    </row>
    <row r="180" spans="1:16" x14ac:dyDescent="0.3">
      <c r="A180" s="3" t="s">
        <v>1492</v>
      </c>
      <c r="B180" s="5">
        <v>43746</v>
      </c>
      <c r="C180" s="3" t="s">
        <v>1493</v>
      </c>
      <c r="D180" s="4" t="s">
        <v>6140</v>
      </c>
      <c r="E180" s="3">
        <v>2</v>
      </c>
      <c r="F180" s="3" t="str">
        <f>_xlfn.XLOOKUP(C180,customers!$A$1:$A$1001,customers!$B$1:$B$1001,,0)</f>
        <v>Katerina Melloi</v>
      </c>
      <c r="G180" s="3" t="str">
        <f>IF(_xlfn.XLOOKUP(C180,customers!$A$1:$A$1001,customers!$C$1:$C$1001,,0)=0,"", _xlfn.XLOOKUP(C180,customers!$A$1:$A$1001,customers!$C$1:$C$1001,,0))</f>
        <v>kmelloi4y@imdb.com</v>
      </c>
      <c r="H180" s="3" t="str">
        <f>_xlfn.XLOOKUP(C180,customers!$A$1:$A$1001,customers!$G$1:$G$1001,,0)</f>
        <v>United States</v>
      </c>
      <c r="I180" s="4" t="str">
        <f>INDEX(products!$A$1:$G$49,MATCH(orders!$D180,products!$A$1:$A$49,0),MATCH(orders!I$1,products!$A$1:$G$1,0))</f>
        <v>Ara</v>
      </c>
      <c r="J180" s="4" t="str">
        <f>INDEX(products!$A$1:$G$49,MATCH(orders!$D180,products!$A$1:$A$49,0),MATCH(orders!J$1,products!$A$1:$G$1,0))</f>
        <v>L</v>
      </c>
      <c r="K180" s="6">
        <f>INDEX(products!$A$1:$G$49,MATCH(orders!$D180,products!$A$1:$A$49,0),MATCH(orders!K$1,products!$A$1:$G$1,0))</f>
        <v>1</v>
      </c>
      <c r="L180" s="7">
        <f>INDEX(products!$A$1:$G$49,MATCH(orders!$D180,products!$A$1:$A$49,0),MATCH(orders!L$1,products!$A$1:$G$1,0))</f>
        <v>12.95</v>
      </c>
      <c r="M180" s="7">
        <f t="shared" si="2"/>
        <v>25.9</v>
      </c>
      <c r="N180" s="4" t="str" cm="1">
        <f t="array" ref="N180">_xlfn.IFS(I180="Rob","Robusta",I180="Exc","Excelsa",I180="Ara","Arabica",I180="Lib","Liberica")</f>
        <v>Arabica</v>
      </c>
      <c r="O180" s="4" t="str" cm="1">
        <f t="array" ref="O180">_xlfn.IFS(J180="M","Medium",J180="L","Light",J180="D","Dark")</f>
        <v>Light</v>
      </c>
      <c r="P180" s="4" t="str">
        <f>_xlfn.XLOOKUP(CoffeeOrderstable[[#This Row],[Customer ID]],customers!$A$1:$A$1001,customers!$I$1:$I$1001,,0)</f>
        <v>No</v>
      </c>
    </row>
    <row r="181" spans="1:16" x14ac:dyDescent="0.3">
      <c r="A181" s="3" t="s">
        <v>1498</v>
      </c>
      <c r="B181" s="5">
        <v>43830</v>
      </c>
      <c r="C181" s="3" t="s">
        <v>1499</v>
      </c>
      <c r="D181" s="4" t="s">
        <v>6154</v>
      </c>
      <c r="E181" s="3">
        <v>1</v>
      </c>
      <c r="F181" s="3" t="str">
        <f>_xlfn.XLOOKUP(C181,customers!$A$1:$A$1001,customers!$B$1:$B$1001,,0)</f>
        <v>Tiffany Scardafield</v>
      </c>
      <c r="G181" s="3" t="str">
        <f>IF(_xlfn.XLOOKUP(C181,customers!$A$1:$A$1001,customers!$C$1:$C$1001,,0)=0,"", _xlfn.XLOOKUP(C181,customers!$A$1:$A$1001,customers!$C$1:$C$1001,,0))</f>
        <v/>
      </c>
      <c r="H181" s="3" t="str">
        <f>_xlfn.XLOOKUP(C181,customers!$A$1:$A$1001,customers!$G$1:$G$1001,,0)</f>
        <v>Ireland</v>
      </c>
      <c r="I181" s="4" t="str">
        <f>INDEX(products!$A$1:$G$49,MATCH(orders!$D181,products!$A$1:$A$49,0),MATCH(orders!I$1,products!$A$1:$G$1,0))</f>
        <v>Ara</v>
      </c>
      <c r="J181" s="4" t="str">
        <f>INDEX(products!$A$1:$G$49,MATCH(orders!$D181,products!$A$1:$A$49,0),MATCH(orders!J$1,products!$A$1:$G$1,0))</f>
        <v>D</v>
      </c>
      <c r="K181" s="6">
        <f>INDEX(products!$A$1:$G$49,MATCH(orders!$D181,products!$A$1:$A$49,0),MATCH(orders!K$1,products!$A$1:$G$1,0))</f>
        <v>0.2</v>
      </c>
      <c r="L181" s="7">
        <f>INDEX(products!$A$1:$G$49,MATCH(orders!$D181,products!$A$1:$A$49,0),MATCH(orders!L$1,products!$A$1:$G$1,0))</f>
        <v>2.9849999999999999</v>
      </c>
      <c r="M181" s="7">
        <f t="shared" si="2"/>
        <v>2.9849999999999999</v>
      </c>
      <c r="N181" s="4" t="str" cm="1">
        <f t="array" ref="N181">_xlfn.IFS(I181="Rob","Robusta",I181="Exc","Excelsa",I181="Ara","Arabica",I181="Lib","Liberica")</f>
        <v>Arabica</v>
      </c>
      <c r="O181" s="4" t="str" cm="1">
        <f t="array" ref="O181">_xlfn.IFS(J181="M","Medium",J181="L","Light",J181="D","Dark")</f>
        <v>Dark</v>
      </c>
      <c r="P181" s="4" t="str">
        <f>_xlfn.XLOOKUP(CoffeeOrderstable[[#This Row],[Customer ID]],customers!$A$1:$A$1001,customers!$I$1:$I$1001,,0)</f>
        <v>No</v>
      </c>
    </row>
    <row r="182" spans="1:16" x14ac:dyDescent="0.3">
      <c r="A182" s="3" t="s">
        <v>1503</v>
      </c>
      <c r="B182" s="5">
        <v>43910</v>
      </c>
      <c r="C182" s="3" t="s">
        <v>1504</v>
      </c>
      <c r="D182" s="4" t="s">
        <v>6184</v>
      </c>
      <c r="E182" s="3">
        <v>5</v>
      </c>
      <c r="F182" s="3" t="str">
        <f>_xlfn.XLOOKUP(C182,customers!$A$1:$A$1001,customers!$B$1:$B$1001,,0)</f>
        <v>Abrahan Mussen</v>
      </c>
      <c r="G182" s="3" t="str">
        <f>IF(_xlfn.XLOOKUP(C182,customers!$A$1:$A$1001,customers!$C$1:$C$1001,,0)=0,"", _xlfn.XLOOKUP(C182,customers!$A$1:$A$1001,customers!$C$1:$C$1001,,0))</f>
        <v>amussen50@51.la</v>
      </c>
      <c r="H182" s="3" t="str">
        <f>_xlfn.XLOOKUP(C182,customers!$A$1:$A$1001,customers!$G$1:$G$1001,,0)</f>
        <v>United States</v>
      </c>
      <c r="I182" s="4" t="str">
        <f>INDEX(products!$A$1:$G$49,MATCH(orders!$D182,products!$A$1:$A$49,0),MATCH(orders!I$1,products!$A$1:$G$1,0))</f>
        <v>Exc</v>
      </c>
      <c r="J182" s="4" t="str">
        <f>INDEX(products!$A$1:$G$49,MATCH(orders!$D182,products!$A$1:$A$49,0),MATCH(orders!J$1,products!$A$1:$G$1,0))</f>
        <v>L</v>
      </c>
      <c r="K182" s="6">
        <f>INDEX(products!$A$1:$G$49,MATCH(orders!$D182,products!$A$1:$A$49,0),MATCH(orders!K$1,products!$A$1:$G$1,0))</f>
        <v>0.2</v>
      </c>
      <c r="L182" s="7">
        <f>INDEX(products!$A$1:$G$49,MATCH(orders!$D182,products!$A$1:$A$49,0),MATCH(orders!L$1,products!$A$1:$G$1,0))</f>
        <v>4.4550000000000001</v>
      </c>
      <c r="M182" s="7">
        <f t="shared" si="2"/>
        <v>22.274999999999999</v>
      </c>
      <c r="N182" s="4" t="str" cm="1">
        <f t="array" ref="N182">_xlfn.IFS(I182="Rob","Robusta",I182="Exc","Excelsa",I182="Ara","Arabica",I182="Lib","Liberica")</f>
        <v>Excelsa</v>
      </c>
      <c r="O182" s="4" t="str" cm="1">
        <f t="array" ref="O182">_xlfn.IFS(J182="M","Medium",J182="L","Light",J182="D","Dark")</f>
        <v>Light</v>
      </c>
      <c r="P182" s="4" t="str">
        <f>_xlfn.XLOOKUP(CoffeeOrderstable[[#This Row],[Customer ID]],customers!$A$1:$A$1001,customers!$I$1:$I$1001,,0)</f>
        <v>No</v>
      </c>
    </row>
    <row r="183" spans="1:16" x14ac:dyDescent="0.3">
      <c r="A183" s="3" t="s">
        <v>1503</v>
      </c>
      <c r="B183" s="5">
        <v>43910</v>
      </c>
      <c r="C183" s="3" t="s">
        <v>1504</v>
      </c>
      <c r="D183" s="4" t="s">
        <v>6158</v>
      </c>
      <c r="E183" s="3">
        <v>5</v>
      </c>
      <c r="F183" s="3" t="str">
        <f>_xlfn.XLOOKUP(C183,customers!$A$1:$A$1001,customers!$B$1:$B$1001,,0)</f>
        <v>Abrahan Mussen</v>
      </c>
      <c r="G183" s="3" t="str">
        <f>IF(_xlfn.XLOOKUP(C183,customers!$A$1:$A$1001,customers!$C$1:$C$1001,,0)=0,"", _xlfn.XLOOKUP(C183,customers!$A$1:$A$1001,customers!$C$1:$C$1001,,0))</f>
        <v>amussen50@51.la</v>
      </c>
      <c r="H183" s="3" t="str">
        <f>_xlfn.XLOOKUP(C183,customers!$A$1:$A$1001,customers!$G$1:$G$1001,,0)</f>
        <v>United States</v>
      </c>
      <c r="I183" s="4" t="str">
        <f>INDEX(products!$A$1:$G$49,MATCH(orders!$D183,products!$A$1:$A$49,0),MATCH(orders!I$1,products!$A$1:$G$1,0))</f>
        <v>Ara</v>
      </c>
      <c r="J183" s="4" t="str">
        <f>INDEX(products!$A$1:$G$49,MATCH(orders!$D183,products!$A$1:$A$49,0),MATCH(orders!J$1,products!$A$1:$G$1,0))</f>
        <v>D</v>
      </c>
      <c r="K183" s="6">
        <f>INDEX(products!$A$1:$G$49,MATCH(orders!$D183,products!$A$1:$A$49,0),MATCH(orders!K$1,products!$A$1:$G$1,0))</f>
        <v>0.5</v>
      </c>
      <c r="L183" s="7">
        <f>INDEX(products!$A$1:$G$49,MATCH(orders!$D183,products!$A$1:$A$49,0),MATCH(orders!L$1,products!$A$1:$G$1,0))</f>
        <v>5.97</v>
      </c>
      <c r="M183" s="7">
        <f t="shared" si="2"/>
        <v>29.849999999999998</v>
      </c>
      <c r="N183" s="4" t="str" cm="1">
        <f t="array" ref="N183">_xlfn.IFS(I183="Rob","Robusta",I183="Exc","Excelsa",I183="Ara","Arabica",I183="Lib","Liberica")</f>
        <v>Arabica</v>
      </c>
      <c r="O183" s="4" t="str" cm="1">
        <f t="array" ref="O183">_xlfn.IFS(J183="M","Medium",J183="L","Light",J183="D","Dark")</f>
        <v>Dark</v>
      </c>
      <c r="P183" s="4" t="str">
        <f>_xlfn.XLOOKUP(CoffeeOrderstable[[#This Row],[Customer ID]],customers!$A$1:$A$1001,customers!$I$1:$I$1001,,0)</f>
        <v>No</v>
      </c>
    </row>
    <row r="184" spans="1:16" x14ac:dyDescent="0.3">
      <c r="A184" s="3" t="s">
        <v>1514</v>
      </c>
      <c r="B184" s="5">
        <v>44284</v>
      </c>
      <c r="C184" s="3" t="s">
        <v>1515</v>
      </c>
      <c r="D184" s="4" t="s">
        <v>6172</v>
      </c>
      <c r="E184" s="3">
        <v>6</v>
      </c>
      <c r="F184" s="3" t="str">
        <f>_xlfn.XLOOKUP(C184,customers!$A$1:$A$1001,customers!$B$1:$B$1001,,0)</f>
        <v>Anny Mundford</v>
      </c>
      <c r="G184" s="3" t="str">
        <f>IF(_xlfn.XLOOKUP(C184,customers!$A$1:$A$1001,customers!$C$1:$C$1001,,0)=0,"", _xlfn.XLOOKUP(C184,customers!$A$1:$A$1001,customers!$C$1:$C$1001,,0))</f>
        <v>amundford52@nbcnews.com</v>
      </c>
      <c r="H184" s="3" t="str">
        <f>_xlfn.XLOOKUP(C184,customers!$A$1:$A$1001,customers!$G$1:$G$1001,,0)</f>
        <v>United States</v>
      </c>
      <c r="I184" s="4" t="str">
        <f>INDEX(products!$A$1:$G$49,MATCH(orders!$D184,products!$A$1:$A$49,0),MATCH(orders!I$1,products!$A$1:$G$1,0))</f>
        <v>Rob</v>
      </c>
      <c r="J184" s="4" t="str">
        <f>INDEX(products!$A$1:$G$49,MATCH(orders!$D184,products!$A$1:$A$49,0),MATCH(orders!J$1,products!$A$1:$G$1,0))</f>
        <v>D</v>
      </c>
      <c r="K184" s="6">
        <f>INDEX(products!$A$1:$G$49,MATCH(orders!$D184,products!$A$1:$A$49,0),MATCH(orders!K$1,products!$A$1:$G$1,0))</f>
        <v>0.5</v>
      </c>
      <c r="L184" s="7">
        <f>INDEX(products!$A$1:$G$49,MATCH(orders!$D184,products!$A$1:$A$49,0),MATCH(orders!L$1,products!$A$1:$G$1,0))</f>
        <v>5.3699999999999992</v>
      </c>
      <c r="M184" s="7">
        <f t="shared" si="2"/>
        <v>32.22</v>
      </c>
      <c r="N184" s="4" t="str" cm="1">
        <f t="array" ref="N184">_xlfn.IFS(I184="Rob","Robusta",I184="Exc","Excelsa",I184="Ara","Arabica",I184="Lib","Liberica")</f>
        <v>Robusta</v>
      </c>
      <c r="O184" s="4" t="str" cm="1">
        <f t="array" ref="O184">_xlfn.IFS(J184="M","Medium",J184="L","Light",J184="D","Dark")</f>
        <v>Dark</v>
      </c>
      <c r="P184" s="4" t="str">
        <f>_xlfn.XLOOKUP(CoffeeOrderstable[[#This Row],[Customer ID]],customers!$A$1:$A$1001,customers!$I$1:$I$1001,,0)</f>
        <v>No</v>
      </c>
    </row>
    <row r="185" spans="1:16" x14ac:dyDescent="0.3">
      <c r="A185" s="3" t="s">
        <v>1520</v>
      </c>
      <c r="B185" s="5">
        <v>44512</v>
      </c>
      <c r="C185" s="3" t="s">
        <v>1521</v>
      </c>
      <c r="D185" s="4" t="s">
        <v>6156</v>
      </c>
      <c r="E185" s="3">
        <v>2</v>
      </c>
      <c r="F185" s="3" t="str">
        <f>_xlfn.XLOOKUP(C185,customers!$A$1:$A$1001,customers!$B$1:$B$1001,,0)</f>
        <v>Tory Walas</v>
      </c>
      <c r="G185" s="3" t="str">
        <f>IF(_xlfn.XLOOKUP(C185,customers!$A$1:$A$1001,customers!$C$1:$C$1001,,0)=0,"", _xlfn.XLOOKUP(C185,customers!$A$1:$A$1001,customers!$C$1:$C$1001,,0))</f>
        <v>twalas53@google.ca</v>
      </c>
      <c r="H185" s="3" t="str">
        <f>_xlfn.XLOOKUP(C185,customers!$A$1:$A$1001,customers!$G$1:$G$1001,,0)</f>
        <v>United States</v>
      </c>
      <c r="I185" s="4" t="str">
        <f>INDEX(products!$A$1:$G$49,MATCH(orders!$D185,products!$A$1:$A$49,0),MATCH(orders!I$1,products!$A$1:$G$1,0))</f>
        <v>Exc</v>
      </c>
      <c r="J185" s="4" t="str">
        <f>INDEX(products!$A$1:$G$49,MATCH(orders!$D185,products!$A$1:$A$49,0),MATCH(orders!J$1,products!$A$1:$G$1,0))</f>
        <v>M</v>
      </c>
      <c r="K185" s="6">
        <f>INDEX(products!$A$1:$G$49,MATCH(orders!$D185,products!$A$1:$A$49,0),MATCH(orders!K$1,products!$A$1:$G$1,0))</f>
        <v>0.2</v>
      </c>
      <c r="L185" s="7">
        <f>INDEX(products!$A$1:$G$49,MATCH(orders!$D185,products!$A$1:$A$49,0),MATCH(orders!L$1,products!$A$1:$G$1,0))</f>
        <v>4.125</v>
      </c>
      <c r="M185" s="7">
        <f t="shared" si="2"/>
        <v>8.25</v>
      </c>
      <c r="N185" s="4" t="str" cm="1">
        <f t="array" ref="N185">_xlfn.IFS(I185="Rob","Robusta",I185="Exc","Excelsa",I185="Ara","Arabica",I185="Lib","Liberica")</f>
        <v>Excelsa</v>
      </c>
      <c r="O185" s="4" t="str" cm="1">
        <f t="array" ref="O185">_xlfn.IFS(J185="M","Medium",J185="L","Light",J185="D","Dark")</f>
        <v>Medium</v>
      </c>
      <c r="P185" s="4" t="str">
        <f>_xlfn.XLOOKUP(CoffeeOrderstable[[#This Row],[Customer ID]],customers!$A$1:$A$1001,customers!$I$1:$I$1001,,0)</f>
        <v>No</v>
      </c>
    </row>
    <row r="186" spans="1:16" x14ac:dyDescent="0.3">
      <c r="A186" s="3" t="s">
        <v>1526</v>
      </c>
      <c r="B186" s="5">
        <v>44397</v>
      </c>
      <c r="C186" s="3" t="s">
        <v>1527</v>
      </c>
      <c r="D186" s="4" t="s">
        <v>6180</v>
      </c>
      <c r="E186" s="3">
        <v>4</v>
      </c>
      <c r="F186" s="3" t="str">
        <f>_xlfn.XLOOKUP(C186,customers!$A$1:$A$1001,customers!$B$1:$B$1001,,0)</f>
        <v>Isa Blazewicz</v>
      </c>
      <c r="G186" s="3" t="str">
        <f>IF(_xlfn.XLOOKUP(C186,customers!$A$1:$A$1001,customers!$C$1:$C$1001,,0)=0,"", _xlfn.XLOOKUP(C186,customers!$A$1:$A$1001,customers!$C$1:$C$1001,,0))</f>
        <v>iblazewicz54@thetimes.co.uk</v>
      </c>
      <c r="H186" s="3" t="str">
        <f>_xlfn.XLOOKUP(C186,customers!$A$1:$A$1001,customers!$G$1:$G$1001,,0)</f>
        <v>United States</v>
      </c>
      <c r="I186" s="4" t="str">
        <f>INDEX(products!$A$1:$G$49,MATCH(orders!$D186,products!$A$1:$A$49,0),MATCH(orders!I$1,products!$A$1:$G$1,0))</f>
        <v>Ara</v>
      </c>
      <c r="J186" s="4" t="str">
        <f>INDEX(products!$A$1:$G$49,MATCH(orders!$D186,products!$A$1:$A$49,0),MATCH(orders!J$1,products!$A$1:$G$1,0))</f>
        <v>L</v>
      </c>
      <c r="K186" s="6">
        <f>INDEX(products!$A$1:$G$49,MATCH(orders!$D186,products!$A$1:$A$49,0),MATCH(orders!K$1,products!$A$1:$G$1,0))</f>
        <v>0.5</v>
      </c>
      <c r="L186" s="7">
        <f>INDEX(products!$A$1:$G$49,MATCH(orders!$D186,products!$A$1:$A$49,0),MATCH(orders!L$1,products!$A$1:$G$1,0))</f>
        <v>7.77</v>
      </c>
      <c r="M186" s="7">
        <f t="shared" si="2"/>
        <v>31.08</v>
      </c>
      <c r="N186" s="4" t="str" cm="1">
        <f t="array" ref="N186">_xlfn.IFS(I186="Rob","Robusta",I186="Exc","Excelsa",I186="Ara","Arabica",I186="Lib","Liberica")</f>
        <v>Arabica</v>
      </c>
      <c r="O186" s="4" t="str" cm="1">
        <f t="array" ref="O186">_xlfn.IFS(J186="M","Medium",J186="L","Light",J186="D","Dark")</f>
        <v>Light</v>
      </c>
      <c r="P186" s="4" t="str">
        <f>_xlfn.XLOOKUP(CoffeeOrderstable[[#This Row],[Customer ID]],customers!$A$1:$A$1001,customers!$I$1:$I$1001,,0)</f>
        <v>No</v>
      </c>
    </row>
    <row r="187" spans="1:16" x14ac:dyDescent="0.3">
      <c r="A187" s="3" t="s">
        <v>1532</v>
      </c>
      <c r="B187" s="5">
        <v>43483</v>
      </c>
      <c r="C187" s="3" t="s">
        <v>1533</v>
      </c>
      <c r="D187" s="4" t="s">
        <v>6144</v>
      </c>
      <c r="E187" s="3">
        <v>5</v>
      </c>
      <c r="F187" s="3" t="str">
        <f>_xlfn.XLOOKUP(C187,customers!$A$1:$A$1001,customers!$B$1:$B$1001,,0)</f>
        <v>Angie Rizzetti</v>
      </c>
      <c r="G187" s="3" t="str">
        <f>IF(_xlfn.XLOOKUP(C187,customers!$A$1:$A$1001,customers!$C$1:$C$1001,,0)=0,"", _xlfn.XLOOKUP(C187,customers!$A$1:$A$1001,customers!$C$1:$C$1001,,0))</f>
        <v>arizzetti55@naver.com</v>
      </c>
      <c r="H187" s="3" t="str">
        <f>_xlfn.XLOOKUP(C187,customers!$A$1:$A$1001,customers!$G$1:$G$1001,,0)</f>
        <v>United States</v>
      </c>
      <c r="I187" s="4" t="str">
        <f>INDEX(products!$A$1:$G$49,MATCH(orders!$D187,products!$A$1:$A$49,0),MATCH(orders!I$1,products!$A$1:$G$1,0))</f>
        <v>Exc</v>
      </c>
      <c r="J187" s="4" t="str">
        <f>INDEX(products!$A$1:$G$49,MATCH(orders!$D187,products!$A$1:$A$49,0),MATCH(orders!J$1,products!$A$1:$G$1,0))</f>
        <v>D</v>
      </c>
      <c r="K187" s="6">
        <f>INDEX(products!$A$1:$G$49,MATCH(orders!$D187,products!$A$1:$A$49,0),MATCH(orders!K$1,products!$A$1:$G$1,0))</f>
        <v>0.5</v>
      </c>
      <c r="L187" s="7">
        <f>INDEX(products!$A$1:$G$49,MATCH(orders!$D187,products!$A$1:$A$49,0),MATCH(orders!L$1,products!$A$1:$G$1,0))</f>
        <v>7.29</v>
      </c>
      <c r="M187" s="7">
        <f t="shared" si="2"/>
        <v>36.450000000000003</v>
      </c>
      <c r="N187" s="4" t="str" cm="1">
        <f t="array" ref="N187">_xlfn.IFS(I187="Rob","Robusta",I187="Exc","Excelsa",I187="Ara","Arabica",I187="Lib","Liberica")</f>
        <v>Excelsa</v>
      </c>
      <c r="O187" s="4" t="str" cm="1">
        <f t="array" ref="O187">_xlfn.IFS(J187="M","Medium",J187="L","Light",J187="D","Dark")</f>
        <v>Dark</v>
      </c>
      <c r="P187" s="4" t="str">
        <f>_xlfn.XLOOKUP(CoffeeOrderstable[[#This Row],[Customer ID]],customers!$A$1:$A$1001,customers!$I$1:$I$1001,,0)</f>
        <v>Yes</v>
      </c>
    </row>
    <row r="188" spans="1:16" x14ac:dyDescent="0.3">
      <c r="A188" s="3" t="s">
        <v>1538</v>
      </c>
      <c r="B188" s="5">
        <v>43684</v>
      </c>
      <c r="C188" s="3" t="s">
        <v>1539</v>
      </c>
      <c r="D188" s="4" t="s">
        <v>6151</v>
      </c>
      <c r="E188" s="3">
        <v>3</v>
      </c>
      <c r="F188" s="3" t="str">
        <f>_xlfn.XLOOKUP(C188,customers!$A$1:$A$1001,customers!$B$1:$B$1001,,0)</f>
        <v>Mord Meriet</v>
      </c>
      <c r="G188" s="3" t="str">
        <f>IF(_xlfn.XLOOKUP(C188,customers!$A$1:$A$1001,customers!$C$1:$C$1001,,0)=0,"", _xlfn.XLOOKUP(C188,customers!$A$1:$A$1001,customers!$C$1:$C$1001,,0))</f>
        <v>mmeriet56@noaa.gov</v>
      </c>
      <c r="H188" s="3" t="str">
        <f>_xlfn.XLOOKUP(C188,customers!$A$1:$A$1001,customers!$G$1:$G$1001,,0)</f>
        <v>United States</v>
      </c>
      <c r="I188" s="4" t="str">
        <f>INDEX(products!$A$1:$G$49,MATCH(orders!$D188,products!$A$1:$A$49,0),MATCH(orders!I$1,products!$A$1:$G$1,0))</f>
        <v>Rob</v>
      </c>
      <c r="J188" s="4" t="str">
        <f>INDEX(products!$A$1:$G$49,MATCH(orders!$D188,products!$A$1:$A$49,0),MATCH(orders!J$1,products!$A$1:$G$1,0))</f>
        <v>M</v>
      </c>
      <c r="K188" s="6">
        <f>INDEX(products!$A$1:$G$49,MATCH(orders!$D188,products!$A$1:$A$49,0),MATCH(orders!K$1,products!$A$1:$G$1,0))</f>
        <v>2.5</v>
      </c>
      <c r="L188" s="7">
        <f>INDEX(products!$A$1:$G$49,MATCH(orders!$D188,products!$A$1:$A$49,0),MATCH(orders!L$1,products!$A$1:$G$1,0))</f>
        <v>22.884999999999998</v>
      </c>
      <c r="M188" s="7">
        <f t="shared" si="2"/>
        <v>68.655000000000001</v>
      </c>
      <c r="N188" s="4" t="str" cm="1">
        <f t="array" ref="N188">_xlfn.IFS(I188="Rob","Robusta",I188="Exc","Excelsa",I188="Ara","Arabica",I188="Lib","Liberica")</f>
        <v>Robusta</v>
      </c>
      <c r="O188" s="4" t="str" cm="1">
        <f t="array" ref="O188">_xlfn.IFS(J188="M","Medium",J188="L","Light",J188="D","Dark")</f>
        <v>Medium</v>
      </c>
      <c r="P188" s="4" t="str">
        <f>_xlfn.XLOOKUP(CoffeeOrderstable[[#This Row],[Customer ID]],customers!$A$1:$A$1001,customers!$I$1:$I$1001,,0)</f>
        <v>No</v>
      </c>
    </row>
    <row r="189" spans="1:16" x14ac:dyDescent="0.3">
      <c r="A189" s="3" t="s">
        <v>1544</v>
      </c>
      <c r="B189" s="5">
        <v>44633</v>
      </c>
      <c r="C189" s="3" t="s">
        <v>1545</v>
      </c>
      <c r="D189" s="4" t="s">
        <v>6160</v>
      </c>
      <c r="E189" s="3">
        <v>5</v>
      </c>
      <c r="F189" s="3" t="str">
        <f>_xlfn.XLOOKUP(C189,customers!$A$1:$A$1001,customers!$B$1:$B$1001,,0)</f>
        <v>Lawrence Pratt</v>
      </c>
      <c r="G189" s="3" t="str">
        <f>IF(_xlfn.XLOOKUP(C189,customers!$A$1:$A$1001,customers!$C$1:$C$1001,,0)=0,"", _xlfn.XLOOKUP(C189,customers!$A$1:$A$1001,customers!$C$1:$C$1001,,0))</f>
        <v>lpratt57@netvibes.com</v>
      </c>
      <c r="H189" s="3" t="str">
        <f>_xlfn.XLOOKUP(C189,customers!$A$1:$A$1001,customers!$G$1:$G$1001,,0)</f>
        <v>United States</v>
      </c>
      <c r="I189" s="4" t="str">
        <f>INDEX(products!$A$1:$G$49,MATCH(orders!$D189,products!$A$1:$A$49,0),MATCH(orders!I$1,products!$A$1:$G$1,0))</f>
        <v>Lib</v>
      </c>
      <c r="J189" s="4" t="str">
        <f>INDEX(products!$A$1:$G$49,MATCH(orders!$D189,products!$A$1:$A$49,0),MATCH(orders!J$1,products!$A$1:$G$1,0))</f>
        <v>M</v>
      </c>
      <c r="K189" s="6">
        <f>INDEX(products!$A$1:$G$49,MATCH(orders!$D189,products!$A$1:$A$49,0),MATCH(orders!K$1,products!$A$1:$G$1,0))</f>
        <v>0.5</v>
      </c>
      <c r="L189" s="7">
        <f>INDEX(products!$A$1:$G$49,MATCH(orders!$D189,products!$A$1:$A$49,0),MATCH(orders!L$1,products!$A$1:$G$1,0))</f>
        <v>8.73</v>
      </c>
      <c r="M189" s="7">
        <f t="shared" si="2"/>
        <v>43.650000000000006</v>
      </c>
      <c r="N189" s="4" t="str" cm="1">
        <f t="array" ref="N189">_xlfn.IFS(I189="Rob","Robusta",I189="Exc","Excelsa",I189="Ara","Arabica",I189="Lib","Liberica")</f>
        <v>Liberica</v>
      </c>
      <c r="O189" s="4" t="str" cm="1">
        <f t="array" ref="O189">_xlfn.IFS(J189="M","Medium",J189="L","Light",J189="D","Dark")</f>
        <v>Medium</v>
      </c>
      <c r="P189" s="4" t="str">
        <f>_xlfn.XLOOKUP(CoffeeOrderstable[[#This Row],[Customer ID]],customers!$A$1:$A$1001,customers!$I$1:$I$1001,,0)</f>
        <v>Yes</v>
      </c>
    </row>
    <row r="190" spans="1:16" x14ac:dyDescent="0.3">
      <c r="A190" s="3" t="s">
        <v>1549</v>
      </c>
      <c r="B190" s="5">
        <v>44698</v>
      </c>
      <c r="C190" s="3" t="s">
        <v>1550</v>
      </c>
      <c r="D190" s="4" t="s">
        <v>6184</v>
      </c>
      <c r="E190" s="3">
        <v>1</v>
      </c>
      <c r="F190" s="3" t="str">
        <f>_xlfn.XLOOKUP(C190,customers!$A$1:$A$1001,customers!$B$1:$B$1001,,0)</f>
        <v>Astrix Kitchingham</v>
      </c>
      <c r="G190" s="3" t="str">
        <f>IF(_xlfn.XLOOKUP(C190,customers!$A$1:$A$1001,customers!$C$1:$C$1001,,0)=0,"", _xlfn.XLOOKUP(C190,customers!$A$1:$A$1001,customers!$C$1:$C$1001,,0))</f>
        <v>akitchingham58@com.com</v>
      </c>
      <c r="H190" s="3" t="str">
        <f>_xlfn.XLOOKUP(C190,customers!$A$1:$A$1001,customers!$G$1:$G$1001,,0)</f>
        <v>United States</v>
      </c>
      <c r="I190" s="4" t="str">
        <f>INDEX(products!$A$1:$G$49,MATCH(orders!$D190,products!$A$1:$A$49,0),MATCH(orders!I$1,products!$A$1:$G$1,0))</f>
        <v>Exc</v>
      </c>
      <c r="J190" s="4" t="str">
        <f>INDEX(products!$A$1:$G$49,MATCH(orders!$D190,products!$A$1:$A$49,0),MATCH(orders!J$1,products!$A$1:$G$1,0))</f>
        <v>L</v>
      </c>
      <c r="K190" s="6">
        <f>INDEX(products!$A$1:$G$49,MATCH(orders!$D190,products!$A$1:$A$49,0),MATCH(orders!K$1,products!$A$1:$G$1,0))</f>
        <v>0.2</v>
      </c>
      <c r="L190" s="7">
        <f>INDEX(products!$A$1:$G$49,MATCH(orders!$D190,products!$A$1:$A$49,0),MATCH(orders!L$1,products!$A$1:$G$1,0))</f>
        <v>4.4550000000000001</v>
      </c>
      <c r="M190" s="7">
        <f t="shared" si="2"/>
        <v>4.4550000000000001</v>
      </c>
      <c r="N190" s="4" t="str" cm="1">
        <f t="array" ref="N190">_xlfn.IFS(I190="Rob","Robusta",I190="Exc","Excelsa",I190="Ara","Arabica",I190="Lib","Liberica")</f>
        <v>Excelsa</v>
      </c>
      <c r="O190" s="4" t="str" cm="1">
        <f t="array" ref="O190">_xlfn.IFS(J190="M","Medium",J190="L","Light",J190="D","Dark")</f>
        <v>Light</v>
      </c>
      <c r="P190" s="4" t="str">
        <f>_xlfn.XLOOKUP(CoffeeOrderstable[[#This Row],[Customer ID]],customers!$A$1:$A$1001,customers!$I$1:$I$1001,,0)</f>
        <v>Yes</v>
      </c>
    </row>
    <row r="191" spans="1:16" x14ac:dyDescent="0.3">
      <c r="A191" s="3" t="s">
        <v>1555</v>
      </c>
      <c r="B191" s="5">
        <v>43813</v>
      </c>
      <c r="C191" s="3" t="s">
        <v>1556</v>
      </c>
      <c r="D191" s="4" t="s">
        <v>6162</v>
      </c>
      <c r="E191" s="3">
        <v>3</v>
      </c>
      <c r="F191" s="3" t="str">
        <f>_xlfn.XLOOKUP(C191,customers!$A$1:$A$1001,customers!$B$1:$B$1001,,0)</f>
        <v>Burnard Bartholin</v>
      </c>
      <c r="G191" s="3" t="str">
        <f>IF(_xlfn.XLOOKUP(C191,customers!$A$1:$A$1001,customers!$C$1:$C$1001,,0)=0,"", _xlfn.XLOOKUP(C191,customers!$A$1:$A$1001,customers!$C$1:$C$1001,,0))</f>
        <v>bbartholin59@xinhuanet.com</v>
      </c>
      <c r="H191" s="3" t="str">
        <f>_xlfn.XLOOKUP(C191,customers!$A$1:$A$1001,customers!$G$1:$G$1001,,0)</f>
        <v>United States</v>
      </c>
      <c r="I191" s="4" t="str">
        <f>INDEX(products!$A$1:$G$49,MATCH(orders!$D191,products!$A$1:$A$49,0),MATCH(orders!I$1,products!$A$1:$G$1,0))</f>
        <v>Lib</v>
      </c>
      <c r="J191" s="4" t="str">
        <f>INDEX(products!$A$1:$G$49,MATCH(orders!$D191,products!$A$1:$A$49,0),MATCH(orders!J$1,products!$A$1:$G$1,0))</f>
        <v>M</v>
      </c>
      <c r="K191" s="6">
        <f>INDEX(products!$A$1:$G$49,MATCH(orders!$D191,products!$A$1:$A$49,0),MATCH(orders!K$1,products!$A$1:$G$1,0))</f>
        <v>1</v>
      </c>
      <c r="L191" s="7">
        <f>INDEX(products!$A$1:$G$49,MATCH(orders!$D191,products!$A$1:$A$49,0),MATCH(orders!L$1,products!$A$1:$G$1,0))</f>
        <v>14.55</v>
      </c>
      <c r="M191" s="7">
        <f t="shared" si="2"/>
        <v>43.650000000000006</v>
      </c>
      <c r="N191" s="4" t="str" cm="1">
        <f t="array" ref="N191">_xlfn.IFS(I191="Rob","Robusta",I191="Exc","Excelsa",I191="Ara","Arabica",I191="Lib","Liberica")</f>
        <v>Liberica</v>
      </c>
      <c r="O191" s="4" t="str" cm="1">
        <f t="array" ref="O191">_xlfn.IFS(J191="M","Medium",J191="L","Light",J191="D","Dark")</f>
        <v>Medium</v>
      </c>
      <c r="P191" s="4" t="str">
        <f>_xlfn.XLOOKUP(CoffeeOrderstable[[#This Row],[Customer ID]],customers!$A$1:$A$1001,customers!$I$1:$I$1001,,0)</f>
        <v>Yes</v>
      </c>
    </row>
    <row r="192" spans="1:16" x14ac:dyDescent="0.3">
      <c r="A192" s="3" t="s">
        <v>1561</v>
      </c>
      <c r="B192" s="5">
        <v>43845</v>
      </c>
      <c r="C192" s="3" t="s">
        <v>1562</v>
      </c>
      <c r="D192" s="4" t="s">
        <v>6181</v>
      </c>
      <c r="E192" s="3">
        <v>1</v>
      </c>
      <c r="F192" s="3" t="str">
        <f>_xlfn.XLOOKUP(C192,customers!$A$1:$A$1001,customers!$B$1:$B$1001,,0)</f>
        <v>Madelene Prinn</v>
      </c>
      <c r="G192" s="3" t="str">
        <f>IF(_xlfn.XLOOKUP(C192,customers!$A$1:$A$1001,customers!$C$1:$C$1001,,0)=0,"", _xlfn.XLOOKUP(C192,customers!$A$1:$A$1001,customers!$C$1:$C$1001,,0))</f>
        <v>mprinn5a@usa.gov</v>
      </c>
      <c r="H192" s="3" t="str">
        <f>_xlfn.XLOOKUP(C192,customers!$A$1:$A$1001,customers!$G$1:$G$1001,,0)</f>
        <v>United States</v>
      </c>
      <c r="I192" s="4" t="str">
        <f>INDEX(products!$A$1:$G$49,MATCH(orders!$D192,products!$A$1:$A$49,0),MATCH(orders!I$1,products!$A$1:$G$1,0))</f>
        <v>Lib</v>
      </c>
      <c r="J192" s="4" t="str">
        <f>INDEX(products!$A$1:$G$49,MATCH(orders!$D192,products!$A$1:$A$49,0),MATCH(orders!J$1,products!$A$1:$G$1,0))</f>
        <v>M</v>
      </c>
      <c r="K192" s="6">
        <f>INDEX(products!$A$1:$G$49,MATCH(orders!$D192,products!$A$1:$A$49,0),MATCH(orders!K$1,products!$A$1:$G$1,0))</f>
        <v>2.5</v>
      </c>
      <c r="L192" s="7">
        <f>INDEX(products!$A$1:$G$49,MATCH(orders!$D192,products!$A$1:$A$49,0),MATCH(orders!L$1,products!$A$1:$G$1,0))</f>
        <v>33.464999999999996</v>
      </c>
      <c r="M192" s="7">
        <f t="shared" si="2"/>
        <v>33.464999999999996</v>
      </c>
      <c r="N192" s="4" t="str" cm="1">
        <f t="array" ref="N192">_xlfn.IFS(I192="Rob","Robusta",I192="Exc","Excelsa",I192="Ara","Arabica",I192="Lib","Liberica")</f>
        <v>Liberica</v>
      </c>
      <c r="O192" s="4" t="str" cm="1">
        <f t="array" ref="O192">_xlfn.IFS(J192="M","Medium",J192="L","Light",J192="D","Dark")</f>
        <v>Medium</v>
      </c>
      <c r="P192" s="4" t="str">
        <f>_xlfn.XLOOKUP(CoffeeOrderstable[[#This Row],[Customer ID]],customers!$A$1:$A$1001,customers!$I$1:$I$1001,,0)</f>
        <v>Yes</v>
      </c>
    </row>
    <row r="193" spans="1:16" x14ac:dyDescent="0.3">
      <c r="A193" s="3" t="s">
        <v>1567</v>
      </c>
      <c r="B193" s="5">
        <v>43567</v>
      </c>
      <c r="C193" s="3" t="s">
        <v>1568</v>
      </c>
      <c r="D193" s="4" t="s">
        <v>6150</v>
      </c>
      <c r="E193" s="3">
        <v>5</v>
      </c>
      <c r="F193" s="3" t="str">
        <f>_xlfn.XLOOKUP(C193,customers!$A$1:$A$1001,customers!$B$1:$B$1001,,0)</f>
        <v>Alisun Baudino</v>
      </c>
      <c r="G193" s="3" t="str">
        <f>IF(_xlfn.XLOOKUP(C193,customers!$A$1:$A$1001,customers!$C$1:$C$1001,,0)=0,"", _xlfn.XLOOKUP(C193,customers!$A$1:$A$1001,customers!$C$1:$C$1001,,0))</f>
        <v>abaudino5b@netvibes.com</v>
      </c>
      <c r="H193" s="3" t="str">
        <f>_xlfn.XLOOKUP(C193,customers!$A$1:$A$1001,customers!$G$1:$G$1001,,0)</f>
        <v>United States</v>
      </c>
      <c r="I193" s="4" t="str">
        <f>INDEX(products!$A$1:$G$49,MATCH(orders!$D193,products!$A$1:$A$49,0),MATCH(orders!I$1,products!$A$1:$G$1,0))</f>
        <v>Lib</v>
      </c>
      <c r="J193" s="4" t="str">
        <f>INDEX(products!$A$1:$G$49,MATCH(orders!$D193,products!$A$1:$A$49,0),MATCH(orders!J$1,products!$A$1:$G$1,0))</f>
        <v>D</v>
      </c>
      <c r="K193" s="6">
        <f>INDEX(products!$A$1:$G$49,MATCH(orders!$D193,products!$A$1:$A$49,0),MATCH(orders!K$1,products!$A$1:$G$1,0))</f>
        <v>0.2</v>
      </c>
      <c r="L193" s="7">
        <f>INDEX(products!$A$1:$G$49,MATCH(orders!$D193,products!$A$1:$A$49,0),MATCH(orders!L$1,products!$A$1:$G$1,0))</f>
        <v>3.8849999999999998</v>
      </c>
      <c r="M193" s="7">
        <f t="shared" si="2"/>
        <v>19.424999999999997</v>
      </c>
      <c r="N193" s="4" t="str" cm="1">
        <f t="array" ref="N193">_xlfn.IFS(I193="Rob","Robusta",I193="Exc","Excelsa",I193="Ara","Arabica",I193="Lib","Liberica")</f>
        <v>Liberica</v>
      </c>
      <c r="O193" s="4" t="str" cm="1">
        <f t="array" ref="O193">_xlfn.IFS(J193="M","Medium",J193="L","Light",J193="D","Dark")</f>
        <v>Dark</v>
      </c>
      <c r="P193" s="4" t="str">
        <f>_xlfn.XLOOKUP(CoffeeOrderstable[[#This Row],[Customer ID]],customers!$A$1:$A$1001,customers!$I$1:$I$1001,,0)</f>
        <v>Yes</v>
      </c>
    </row>
    <row r="194" spans="1:16" x14ac:dyDescent="0.3">
      <c r="A194" s="3" t="s">
        <v>1573</v>
      </c>
      <c r="B194" s="5">
        <v>43919</v>
      </c>
      <c r="C194" s="3" t="s">
        <v>1574</v>
      </c>
      <c r="D194" s="4" t="s">
        <v>6183</v>
      </c>
      <c r="E194" s="3">
        <v>6</v>
      </c>
      <c r="F194" s="3" t="str">
        <f>_xlfn.XLOOKUP(C194,customers!$A$1:$A$1001,customers!$B$1:$B$1001,,0)</f>
        <v>Philipa Petrushanko</v>
      </c>
      <c r="G194" s="3" t="str">
        <f>IF(_xlfn.XLOOKUP(C194,customers!$A$1:$A$1001,customers!$C$1:$C$1001,,0)=0,"", _xlfn.XLOOKUP(C194,customers!$A$1:$A$1001,customers!$C$1:$C$1001,,0))</f>
        <v>ppetrushanko5c@blinklist.com</v>
      </c>
      <c r="H194" s="3" t="str">
        <f>_xlfn.XLOOKUP(C194,customers!$A$1:$A$1001,customers!$G$1:$G$1001,,0)</f>
        <v>Ireland</v>
      </c>
      <c r="I194" s="4" t="str">
        <f>INDEX(products!$A$1:$G$49,MATCH(orders!$D194,products!$A$1:$A$49,0),MATCH(orders!I$1,products!$A$1:$G$1,0))</f>
        <v>Exc</v>
      </c>
      <c r="J194" s="4" t="str">
        <f>INDEX(products!$A$1:$G$49,MATCH(orders!$D194,products!$A$1:$A$49,0),MATCH(orders!J$1,products!$A$1:$G$1,0))</f>
        <v>D</v>
      </c>
      <c r="K194" s="6">
        <f>INDEX(products!$A$1:$G$49,MATCH(orders!$D194,products!$A$1:$A$49,0),MATCH(orders!K$1,products!$A$1:$G$1,0))</f>
        <v>1</v>
      </c>
      <c r="L194" s="7">
        <f>INDEX(products!$A$1:$G$49,MATCH(orders!$D194,products!$A$1:$A$49,0),MATCH(orders!L$1,products!$A$1:$G$1,0))</f>
        <v>12.15</v>
      </c>
      <c r="M194" s="7">
        <f t="shared" si="2"/>
        <v>72.900000000000006</v>
      </c>
      <c r="N194" s="4" t="str" cm="1">
        <f t="array" ref="N194">_xlfn.IFS(I194="Rob","Robusta",I194="Exc","Excelsa",I194="Ara","Arabica",I194="Lib","Liberica")</f>
        <v>Excelsa</v>
      </c>
      <c r="O194" s="4" t="str" cm="1">
        <f t="array" ref="O194">_xlfn.IFS(J194="M","Medium",J194="L","Light",J194="D","Dark")</f>
        <v>Dark</v>
      </c>
      <c r="P194" s="4" t="str">
        <f>_xlfn.XLOOKUP(CoffeeOrderstable[[#This Row],[Customer ID]],customers!$A$1:$A$1001,customers!$I$1:$I$1001,,0)</f>
        <v>Yes</v>
      </c>
    </row>
    <row r="195" spans="1:16" x14ac:dyDescent="0.3">
      <c r="A195" s="3" t="s">
        <v>1579</v>
      </c>
      <c r="B195" s="5">
        <v>44644</v>
      </c>
      <c r="C195" s="3" t="s">
        <v>1580</v>
      </c>
      <c r="D195" s="4" t="s">
        <v>6171</v>
      </c>
      <c r="E195" s="3">
        <v>3</v>
      </c>
      <c r="F195" s="3" t="str">
        <f>_xlfn.XLOOKUP(C195,customers!$A$1:$A$1001,customers!$B$1:$B$1001,,0)</f>
        <v>Kimberli Mustchin</v>
      </c>
      <c r="G195" s="3" t="str">
        <f>IF(_xlfn.XLOOKUP(C195,customers!$A$1:$A$1001,customers!$C$1:$C$1001,,0)=0,"", _xlfn.XLOOKUP(C195,customers!$A$1:$A$1001,customers!$C$1:$C$1001,,0))</f>
        <v/>
      </c>
      <c r="H195" s="3" t="str">
        <f>_xlfn.XLOOKUP(C195,customers!$A$1:$A$1001,customers!$G$1:$G$1001,,0)</f>
        <v>United States</v>
      </c>
      <c r="I195" s="4" t="str">
        <f>INDEX(products!$A$1:$G$49,MATCH(orders!$D195,products!$A$1:$A$49,0),MATCH(orders!I$1,products!$A$1:$G$1,0))</f>
        <v>Exc</v>
      </c>
      <c r="J195" s="4" t="str">
        <f>INDEX(products!$A$1:$G$49,MATCH(orders!$D195,products!$A$1:$A$49,0),MATCH(orders!J$1,products!$A$1:$G$1,0))</f>
        <v>L</v>
      </c>
      <c r="K195" s="6">
        <f>INDEX(products!$A$1:$G$49,MATCH(orders!$D195,products!$A$1:$A$49,0),MATCH(orders!K$1,products!$A$1:$G$1,0))</f>
        <v>1</v>
      </c>
      <c r="L195" s="7">
        <f>INDEX(products!$A$1:$G$49,MATCH(orders!$D195,products!$A$1:$A$49,0),MATCH(orders!L$1,products!$A$1:$G$1,0))</f>
        <v>14.85</v>
      </c>
      <c r="M195" s="7">
        <f t="shared" ref="M195:M258" si="3">L195*E195</f>
        <v>44.55</v>
      </c>
      <c r="N195" s="4" t="str" cm="1">
        <f t="array" ref="N195">_xlfn.IFS(I195="Rob","Robusta",I195="Exc","Excelsa",I195="Ara","Arabica",I195="Lib","Liberica")</f>
        <v>Excelsa</v>
      </c>
      <c r="O195" s="4" t="str" cm="1">
        <f t="array" ref="O195">_xlfn.IFS(J195="M","Medium",J195="L","Light",J195="D","Dark")</f>
        <v>Light</v>
      </c>
      <c r="P195" s="4" t="str">
        <f>_xlfn.XLOOKUP(CoffeeOrderstable[[#This Row],[Customer ID]],customers!$A$1:$A$1001,customers!$I$1:$I$1001,,0)</f>
        <v>No</v>
      </c>
    </row>
    <row r="196" spans="1:16" x14ac:dyDescent="0.3">
      <c r="A196" s="3" t="s">
        <v>1584</v>
      </c>
      <c r="B196" s="5">
        <v>44398</v>
      </c>
      <c r="C196" s="3" t="s">
        <v>1585</v>
      </c>
      <c r="D196" s="4" t="s">
        <v>6144</v>
      </c>
      <c r="E196" s="3">
        <v>5</v>
      </c>
      <c r="F196" s="3" t="str">
        <f>_xlfn.XLOOKUP(C196,customers!$A$1:$A$1001,customers!$B$1:$B$1001,,0)</f>
        <v>Emlynne Laird</v>
      </c>
      <c r="G196" s="3" t="str">
        <f>IF(_xlfn.XLOOKUP(C196,customers!$A$1:$A$1001,customers!$C$1:$C$1001,,0)=0,"", _xlfn.XLOOKUP(C196,customers!$A$1:$A$1001,customers!$C$1:$C$1001,,0))</f>
        <v>elaird5e@bing.com</v>
      </c>
      <c r="H196" s="3" t="str">
        <f>_xlfn.XLOOKUP(C196,customers!$A$1:$A$1001,customers!$G$1:$G$1001,,0)</f>
        <v>United States</v>
      </c>
      <c r="I196" s="4" t="str">
        <f>INDEX(products!$A$1:$G$49,MATCH(orders!$D196,products!$A$1:$A$49,0),MATCH(orders!I$1,products!$A$1:$G$1,0))</f>
        <v>Exc</v>
      </c>
      <c r="J196" s="4" t="str">
        <f>INDEX(products!$A$1:$G$49,MATCH(orders!$D196,products!$A$1:$A$49,0),MATCH(orders!J$1,products!$A$1:$G$1,0))</f>
        <v>D</v>
      </c>
      <c r="K196" s="6">
        <f>INDEX(products!$A$1:$G$49,MATCH(orders!$D196,products!$A$1:$A$49,0),MATCH(orders!K$1,products!$A$1:$G$1,0))</f>
        <v>0.5</v>
      </c>
      <c r="L196" s="7">
        <f>INDEX(products!$A$1:$G$49,MATCH(orders!$D196,products!$A$1:$A$49,0),MATCH(orders!L$1,products!$A$1:$G$1,0))</f>
        <v>7.29</v>
      </c>
      <c r="M196" s="7">
        <f t="shared" si="3"/>
        <v>36.450000000000003</v>
      </c>
      <c r="N196" s="4" t="str" cm="1">
        <f t="array" ref="N196">_xlfn.IFS(I196="Rob","Robusta",I196="Exc","Excelsa",I196="Ara","Arabica",I196="Lib","Liberica")</f>
        <v>Excelsa</v>
      </c>
      <c r="O196" s="4" t="str" cm="1">
        <f t="array" ref="O196">_xlfn.IFS(J196="M","Medium",J196="L","Light",J196="D","Dark")</f>
        <v>Dark</v>
      </c>
      <c r="P196" s="4" t="str">
        <f>_xlfn.XLOOKUP(CoffeeOrderstable[[#This Row],[Customer ID]],customers!$A$1:$A$1001,customers!$I$1:$I$1001,,0)</f>
        <v>No</v>
      </c>
    </row>
    <row r="197" spans="1:16" x14ac:dyDescent="0.3">
      <c r="A197" s="3" t="s">
        <v>1590</v>
      </c>
      <c r="B197" s="5">
        <v>43683</v>
      </c>
      <c r="C197" s="3" t="s">
        <v>1591</v>
      </c>
      <c r="D197" s="4" t="s">
        <v>6140</v>
      </c>
      <c r="E197" s="3">
        <v>3</v>
      </c>
      <c r="F197" s="3" t="str">
        <f>_xlfn.XLOOKUP(C197,customers!$A$1:$A$1001,customers!$B$1:$B$1001,,0)</f>
        <v>Marlena Howsden</v>
      </c>
      <c r="G197" s="3" t="str">
        <f>IF(_xlfn.XLOOKUP(C197,customers!$A$1:$A$1001,customers!$C$1:$C$1001,,0)=0,"", _xlfn.XLOOKUP(C197,customers!$A$1:$A$1001,customers!$C$1:$C$1001,,0))</f>
        <v>mhowsden5f@infoseek.co.jp</v>
      </c>
      <c r="H197" s="3" t="str">
        <f>_xlfn.XLOOKUP(C197,customers!$A$1:$A$1001,customers!$G$1:$G$1001,,0)</f>
        <v>United States</v>
      </c>
      <c r="I197" s="4" t="str">
        <f>INDEX(products!$A$1:$G$49,MATCH(orders!$D197,products!$A$1:$A$49,0),MATCH(orders!I$1,products!$A$1:$G$1,0))</f>
        <v>Ara</v>
      </c>
      <c r="J197" s="4" t="str">
        <f>INDEX(products!$A$1:$G$49,MATCH(orders!$D197,products!$A$1:$A$49,0),MATCH(orders!J$1,products!$A$1:$G$1,0))</f>
        <v>L</v>
      </c>
      <c r="K197" s="6">
        <f>INDEX(products!$A$1:$G$49,MATCH(orders!$D197,products!$A$1:$A$49,0),MATCH(orders!K$1,products!$A$1:$G$1,0))</f>
        <v>1</v>
      </c>
      <c r="L197" s="7">
        <f>INDEX(products!$A$1:$G$49,MATCH(orders!$D197,products!$A$1:$A$49,0),MATCH(orders!L$1,products!$A$1:$G$1,0))</f>
        <v>12.95</v>
      </c>
      <c r="M197" s="7">
        <f t="shared" si="3"/>
        <v>38.849999999999994</v>
      </c>
      <c r="N197" s="4" t="str" cm="1">
        <f t="array" ref="N197">_xlfn.IFS(I197="Rob","Robusta",I197="Exc","Excelsa",I197="Ara","Arabica",I197="Lib","Liberica")</f>
        <v>Arabica</v>
      </c>
      <c r="O197" s="4" t="str" cm="1">
        <f t="array" ref="O197">_xlfn.IFS(J197="M","Medium",J197="L","Light",J197="D","Dark")</f>
        <v>Light</v>
      </c>
      <c r="P197" s="4" t="str">
        <f>_xlfn.XLOOKUP(CoffeeOrderstable[[#This Row],[Customer ID]],customers!$A$1:$A$1001,customers!$I$1:$I$1001,,0)</f>
        <v>No</v>
      </c>
    </row>
    <row r="198" spans="1:16" x14ac:dyDescent="0.3">
      <c r="A198" s="3" t="s">
        <v>1596</v>
      </c>
      <c r="B198" s="5">
        <v>44339</v>
      </c>
      <c r="C198" s="3" t="s">
        <v>1597</v>
      </c>
      <c r="D198" s="4" t="s">
        <v>6176</v>
      </c>
      <c r="E198" s="3">
        <v>6</v>
      </c>
      <c r="F198" s="3" t="str">
        <f>_xlfn.XLOOKUP(C198,customers!$A$1:$A$1001,customers!$B$1:$B$1001,,0)</f>
        <v>Nealson Cuttler</v>
      </c>
      <c r="G198" s="3" t="str">
        <f>IF(_xlfn.XLOOKUP(C198,customers!$A$1:$A$1001,customers!$C$1:$C$1001,,0)=0,"", _xlfn.XLOOKUP(C198,customers!$A$1:$A$1001,customers!$C$1:$C$1001,,0))</f>
        <v>ncuttler5g@parallels.com</v>
      </c>
      <c r="H198" s="3" t="str">
        <f>_xlfn.XLOOKUP(C198,customers!$A$1:$A$1001,customers!$G$1:$G$1001,,0)</f>
        <v>United States</v>
      </c>
      <c r="I198" s="4" t="str">
        <f>INDEX(products!$A$1:$G$49,MATCH(orders!$D198,products!$A$1:$A$49,0),MATCH(orders!I$1,products!$A$1:$G$1,0))</f>
        <v>Exc</v>
      </c>
      <c r="J198" s="4" t="str">
        <f>INDEX(products!$A$1:$G$49,MATCH(orders!$D198,products!$A$1:$A$49,0),MATCH(orders!J$1,products!$A$1:$G$1,0))</f>
        <v>L</v>
      </c>
      <c r="K198" s="6">
        <f>INDEX(products!$A$1:$G$49,MATCH(orders!$D198,products!$A$1:$A$49,0),MATCH(orders!K$1,products!$A$1:$G$1,0))</f>
        <v>0.5</v>
      </c>
      <c r="L198" s="7">
        <f>INDEX(products!$A$1:$G$49,MATCH(orders!$D198,products!$A$1:$A$49,0),MATCH(orders!L$1,products!$A$1:$G$1,0))</f>
        <v>8.91</v>
      </c>
      <c r="M198" s="7">
        <f t="shared" si="3"/>
        <v>53.46</v>
      </c>
      <c r="N198" s="4" t="str" cm="1">
        <f t="array" ref="N198">_xlfn.IFS(I198="Rob","Robusta",I198="Exc","Excelsa",I198="Ara","Arabica",I198="Lib","Liberica")</f>
        <v>Excelsa</v>
      </c>
      <c r="O198" s="4" t="str" cm="1">
        <f t="array" ref="O198">_xlfn.IFS(J198="M","Medium",J198="L","Light",J198="D","Dark")</f>
        <v>Light</v>
      </c>
      <c r="P198" s="4" t="str">
        <f>_xlfn.XLOOKUP(CoffeeOrderstable[[#This Row],[Customer ID]],customers!$A$1:$A$1001,customers!$I$1:$I$1001,,0)</f>
        <v>No</v>
      </c>
    </row>
    <row r="199" spans="1:16" x14ac:dyDescent="0.3">
      <c r="A199" s="3" t="s">
        <v>1596</v>
      </c>
      <c r="B199" s="5">
        <v>44339</v>
      </c>
      <c r="C199" s="3" t="s">
        <v>1597</v>
      </c>
      <c r="D199" s="4" t="s">
        <v>6165</v>
      </c>
      <c r="E199" s="3">
        <v>2</v>
      </c>
      <c r="F199" s="3" t="str">
        <f>_xlfn.XLOOKUP(C199,customers!$A$1:$A$1001,customers!$B$1:$B$1001,,0)</f>
        <v>Nealson Cuttler</v>
      </c>
      <c r="G199" s="3" t="str">
        <f>IF(_xlfn.XLOOKUP(C199,customers!$A$1:$A$1001,customers!$C$1:$C$1001,,0)=0,"", _xlfn.XLOOKUP(C199,customers!$A$1:$A$1001,customers!$C$1:$C$1001,,0))</f>
        <v>ncuttler5g@parallels.com</v>
      </c>
      <c r="H199" s="3" t="str">
        <f>_xlfn.XLOOKUP(C199,customers!$A$1:$A$1001,customers!$G$1:$G$1001,,0)</f>
        <v>United States</v>
      </c>
      <c r="I199" s="4" t="str">
        <f>INDEX(products!$A$1:$G$49,MATCH(orders!$D199,products!$A$1:$A$49,0),MATCH(orders!I$1,products!$A$1:$G$1,0))</f>
        <v>Lib</v>
      </c>
      <c r="J199" s="4" t="str">
        <f>INDEX(products!$A$1:$G$49,MATCH(orders!$D199,products!$A$1:$A$49,0),MATCH(orders!J$1,products!$A$1:$G$1,0))</f>
        <v>D</v>
      </c>
      <c r="K199" s="6">
        <f>INDEX(products!$A$1:$G$49,MATCH(orders!$D199,products!$A$1:$A$49,0),MATCH(orders!K$1,products!$A$1:$G$1,0))</f>
        <v>2.5</v>
      </c>
      <c r="L199" s="7">
        <f>INDEX(products!$A$1:$G$49,MATCH(orders!$D199,products!$A$1:$A$49,0),MATCH(orders!L$1,products!$A$1:$G$1,0))</f>
        <v>29.784999999999997</v>
      </c>
      <c r="M199" s="7">
        <f t="shared" si="3"/>
        <v>59.569999999999993</v>
      </c>
      <c r="N199" s="4" t="str" cm="1">
        <f t="array" ref="N199">_xlfn.IFS(I199="Rob","Robusta",I199="Exc","Excelsa",I199="Ara","Arabica",I199="Lib","Liberica")</f>
        <v>Liberica</v>
      </c>
      <c r="O199" s="4" t="str" cm="1">
        <f t="array" ref="O199">_xlfn.IFS(J199="M","Medium",J199="L","Light",J199="D","Dark")</f>
        <v>Dark</v>
      </c>
      <c r="P199" s="4" t="str">
        <f>_xlfn.XLOOKUP(CoffeeOrderstable[[#This Row],[Customer ID]],customers!$A$1:$A$1001,customers!$I$1:$I$1001,,0)</f>
        <v>No</v>
      </c>
    </row>
    <row r="200" spans="1:16" x14ac:dyDescent="0.3">
      <c r="A200" s="3" t="s">
        <v>1596</v>
      </c>
      <c r="B200" s="5">
        <v>44339</v>
      </c>
      <c r="C200" s="3" t="s">
        <v>1597</v>
      </c>
      <c r="D200" s="4" t="s">
        <v>6165</v>
      </c>
      <c r="E200" s="3">
        <v>3</v>
      </c>
      <c r="F200" s="3" t="str">
        <f>_xlfn.XLOOKUP(C200,customers!$A$1:$A$1001,customers!$B$1:$B$1001,,0)</f>
        <v>Nealson Cuttler</v>
      </c>
      <c r="G200" s="3" t="str">
        <f>IF(_xlfn.XLOOKUP(C200,customers!$A$1:$A$1001,customers!$C$1:$C$1001,,0)=0,"", _xlfn.XLOOKUP(C200,customers!$A$1:$A$1001,customers!$C$1:$C$1001,,0))</f>
        <v>ncuttler5g@parallels.com</v>
      </c>
      <c r="H200" s="3" t="str">
        <f>_xlfn.XLOOKUP(C200,customers!$A$1:$A$1001,customers!$G$1:$G$1001,,0)</f>
        <v>United States</v>
      </c>
      <c r="I200" s="4" t="str">
        <f>INDEX(products!$A$1:$G$49,MATCH(orders!$D200,products!$A$1:$A$49,0),MATCH(orders!I$1,products!$A$1:$G$1,0))</f>
        <v>Lib</v>
      </c>
      <c r="J200" s="4" t="str">
        <f>INDEX(products!$A$1:$G$49,MATCH(orders!$D200,products!$A$1:$A$49,0),MATCH(orders!J$1,products!$A$1:$G$1,0))</f>
        <v>D</v>
      </c>
      <c r="K200" s="6">
        <f>INDEX(products!$A$1:$G$49,MATCH(orders!$D200,products!$A$1:$A$49,0),MATCH(orders!K$1,products!$A$1:$G$1,0))</f>
        <v>2.5</v>
      </c>
      <c r="L200" s="7">
        <f>INDEX(products!$A$1:$G$49,MATCH(orders!$D200,products!$A$1:$A$49,0),MATCH(orders!L$1,products!$A$1:$G$1,0))</f>
        <v>29.784999999999997</v>
      </c>
      <c r="M200" s="7">
        <f t="shared" si="3"/>
        <v>89.35499999999999</v>
      </c>
      <c r="N200" s="4" t="str" cm="1">
        <f t="array" ref="N200">_xlfn.IFS(I200="Rob","Robusta",I200="Exc","Excelsa",I200="Ara","Arabica",I200="Lib","Liberica")</f>
        <v>Liberica</v>
      </c>
      <c r="O200" s="4" t="str" cm="1">
        <f t="array" ref="O200">_xlfn.IFS(J200="M","Medium",J200="L","Light",J200="D","Dark")</f>
        <v>Dark</v>
      </c>
      <c r="P200" s="4" t="str">
        <f>_xlfn.XLOOKUP(CoffeeOrderstable[[#This Row],[Customer ID]],customers!$A$1:$A$1001,customers!$I$1:$I$1001,,0)</f>
        <v>No</v>
      </c>
    </row>
    <row r="201" spans="1:16" x14ac:dyDescent="0.3">
      <c r="A201" s="3" t="s">
        <v>1596</v>
      </c>
      <c r="B201" s="5">
        <v>44339</v>
      </c>
      <c r="C201" s="3" t="s">
        <v>1597</v>
      </c>
      <c r="D201" s="4" t="s">
        <v>6161</v>
      </c>
      <c r="E201" s="3">
        <v>4</v>
      </c>
      <c r="F201" s="3" t="str">
        <f>_xlfn.XLOOKUP(C201,customers!$A$1:$A$1001,customers!$B$1:$B$1001,,0)</f>
        <v>Nealson Cuttler</v>
      </c>
      <c r="G201" s="3" t="str">
        <f>IF(_xlfn.XLOOKUP(C201,customers!$A$1:$A$1001,customers!$C$1:$C$1001,,0)=0,"", _xlfn.XLOOKUP(C201,customers!$A$1:$A$1001,customers!$C$1:$C$1001,,0))</f>
        <v>ncuttler5g@parallels.com</v>
      </c>
      <c r="H201" s="3" t="str">
        <f>_xlfn.XLOOKUP(C201,customers!$A$1:$A$1001,customers!$G$1:$G$1001,,0)</f>
        <v>United States</v>
      </c>
      <c r="I201" s="4" t="str">
        <f>INDEX(products!$A$1:$G$49,MATCH(orders!$D201,products!$A$1:$A$49,0),MATCH(orders!I$1,products!$A$1:$G$1,0))</f>
        <v>Lib</v>
      </c>
      <c r="J201" s="4" t="str">
        <f>INDEX(products!$A$1:$G$49,MATCH(orders!$D201,products!$A$1:$A$49,0),MATCH(orders!J$1,products!$A$1:$G$1,0))</f>
        <v>L</v>
      </c>
      <c r="K201" s="6">
        <f>INDEX(products!$A$1:$G$49,MATCH(orders!$D201,products!$A$1:$A$49,0),MATCH(orders!K$1,products!$A$1:$G$1,0))</f>
        <v>0.5</v>
      </c>
      <c r="L201" s="7">
        <f>INDEX(products!$A$1:$G$49,MATCH(orders!$D201,products!$A$1:$A$49,0),MATCH(orders!L$1,products!$A$1:$G$1,0))</f>
        <v>9.51</v>
      </c>
      <c r="M201" s="7">
        <f t="shared" si="3"/>
        <v>38.04</v>
      </c>
      <c r="N201" s="4" t="str" cm="1">
        <f t="array" ref="N201">_xlfn.IFS(I201="Rob","Robusta",I201="Exc","Excelsa",I201="Ara","Arabica",I201="Lib","Liberica")</f>
        <v>Liberica</v>
      </c>
      <c r="O201" s="4" t="str" cm="1">
        <f t="array" ref="O201">_xlfn.IFS(J201="M","Medium",J201="L","Light",J201="D","Dark")</f>
        <v>Light</v>
      </c>
      <c r="P201" s="4" t="str">
        <f>_xlfn.XLOOKUP(CoffeeOrderstable[[#This Row],[Customer ID]],customers!$A$1:$A$1001,customers!$I$1:$I$1001,,0)</f>
        <v>No</v>
      </c>
    </row>
    <row r="202" spans="1:16" x14ac:dyDescent="0.3">
      <c r="A202" s="3" t="s">
        <v>1596</v>
      </c>
      <c r="B202" s="5">
        <v>44339</v>
      </c>
      <c r="C202" s="3" t="s">
        <v>1597</v>
      </c>
      <c r="D202" s="4" t="s">
        <v>6141</v>
      </c>
      <c r="E202" s="3">
        <v>3</v>
      </c>
      <c r="F202" s="3" t="str">
        <f>_xlfn.XLOOKUP(C202,customers!$A$1:$A$1001,customers!$B$1:$B$1001,,0)</f>
        <v>Nealson Cuttler</v>
      </c>
      <c r="G202" s="3" t="str">
        <f>IF(_xlfn.XLOOKUP(C202,customers!$A$1:$A$1001,customers!$C$1:$C$1001,,0)=0,"", _xlfn.XLOOKUP(C202,customers!$A$1:$A$1001,customers!$C$1:$C$1001,,0))</f>
        <v>ncuttler5g@parallels.com</v>
      </c>
      <c r="H202" s="3" t="str">
        <f>_xlfn.XLOOKUP(C202,customers!$A$1:$A$1001,customers!$G$1:$G$1001,,0)</f>
        <v>United States</v>
      </c>
      <c r="I202" s="4" t="str">
        <f>INDEX(products!$A$1:$G$49,MATCH(orders!$D202,products!$A$1:$A$49,0),MATCH(orders!I$1,products!$A$1:$G$1,0))</f>
        <v>Exc</v>
      </c>
      <c r="J202" s="4" t="str">
        <f>INDEX(products!$A$1:$G$49,MATCH(orders!$D202,products!$A$1:$A$49,0),MATCH(orders!J$1,products!$A$1:$G$1,0))</f>
        <v>M</v>
      </c>
      <c r="K202" s="6">
        <f>INDEX(products!$A$1:$G$49,MATCH(orders!$D202,products!$A$1:$A$49,0),MATCH(orders!K$1,products!$A$1:$G$1,0))</f>
        <v>1</v>
      </c>
      <c r="L202" s="7">
        <f>INDEX(products!$A$1:$G$49,MATCH(orders!$D202,products!$A$1:$A$49,0),MATCH(orders!L$1,products!$A$1:$G$1,0))</f>
        <v>13.75</v>
      </c>
      <c r="M202" s="7">
        <f t="shared" si="3"/>
        <v>41.25</v>
      </c>
      <c r="N202" s="4" t="str" cm="1">
        <f t="array" ref="N202">_xlfn.IFS(I202="Rob","Robusta",I202="Exc","Excelsa",I202="Ara","Arabica",I202="Lib","Liberica")</f>
        <v>Excelsa</v>
      </c>
      <c r="O202" s="4" t="str" cm="1">
        <f t="array" ref="O202">_xlfn.IFS(J202="M","Medium",J202="L","Light",J202="D","Dark")</f>
        <v>Medium</v>
      </c>
      <c r="P202" s="4" t="str">
        <f>_xlfn.XLOOKUP(CoffeeOrderstable[[#This Row],[Customer ID]],customers!$A$1:$A$1001,customers!$I$1:$I$1001,,0)</f>
        <v>No</v>
      </c>
    </row>
    <row r="203" spans="1:16" x14ac:dyDescent="0.3">
      <c r="A203" s="3" t="s">
        <v>1621</v>
      </c>
      <c r="B203" s="5">
        <v>44294</v>
      </c>
      <c r="C203" s="3" t="s">
        <v>1622</v>
      </c>
      <c r="D203" s="4" t="s">
        <v>6161</v>
      </c>
      <c r="E203" s="3">
        <v>6</v>
      </c>
      <c r="F203" s="3" t="str">
        <f>_xlfn.XLOOKUP(C203,customers!$A$1:$A$1001,customers!$B$1:$B$1001,,0)</f>
        <v>Adriana Lazarus</v>
      </c>
      <c r="G203" s="3" t="str">
        <f>IF(_xlfn.XLOOKUP(C203,customers!$A$1:$A$1001,customers!$C$1:$C$1001,,0)=0,"", _xlfn.XLOOKUP(C203,customers!$A$1:$A$1001,customers!$C$1:$C$1001,,0))</f>
        <v/>
      </c>
      <c r="H203" s="3" t="str">
        <f>_xlfn.XLOOKUP(C203,customers!$A$1:$A$1001,customers!$G$1:$G$1001,,0)</f>
        <v>United States</v>
      </c>
      <c r="I203" s="4" t="str">
        <f>INDEX(products!$A$1:$G$49,MATCH(orders!$D203,products!$A$1:$A$49,0),MATCH(orders!I$1,products!$A$1:$G$1,0))</f>
        <v>Lib</v>
      </c>
      <c r="J203" s="4" t="str">
        <f>INDEX(products!$A$1:$G$49,MATCH(orders!$D203,products!$A$1:$A$49,0),MATCH(orders!J$1,products!$A$1:$G$1,0))</f>
        <v>L</v>
      </c>
      <c r="K203" s="6">
        <f>INDEX(products!$A$1:$G$49,MATCH(orders!$D203,products!$A$1:$A$49,0),MATCH(orders!K$1,products!$A$1:$G$1,0))</f>
        <v>0.5</v>
      </c>
      <c r="L203" s="7">
        <f>INDEX(products!$A$1:$G$49,MATCH(orders!$D203,products!$A$1:$A$49,0),MATCH(orders!L$1,products!$A$1:$G$1,0))</f>
        <v>9.51</v>
      </c>
      <c r="M203" s="7">
        <f t="shared" si="3"/>
        <v>57.06</v>
      </c>
      <c r="N203" s="4" t="str" cm="1">
        <f t="array" ref="N203">_xlfn.IFS(I203="Rob","Robusta",I203="Exc","Excelsa",I203="Ara","Arabica",I203="Lib","Liberica")</f>
        <v>Liberica</v>
      </c>
      <c r="O203" s="4" t="str" cm="1">
        <f t="array" ref="O203">_xlfn.IFS(J203="M","Medium",J203="L","Light",J203="D","Dark")</f>
        <v>Light</v>
      </c>
      <c r="P203" s="4" t="str">
        <f>_xlfn.XLOOKUP(CoffeeOrderstable[[#This Row],[Customer ID]],customers!$A$1:$A$1001,customers!$I$1:$I$1001,,0)</f>
        <v>No</v>
      </c>
    </row>
    <row r="204" spans="1:16" x14ac:dyDescent="0.3">
      <c r="A204" s="3" t="s">
        <v>1626</v>
      </c>
      <c r="B204" s="5">
        <v>44486</v>
      </c>
      <c r="C204" s="3" t="s">
        <v>1627</v>
      </c>
      <c r="D204" s="4" t="s">
        <v>6165</v>
      </c>
      <c r="E204" s="3">
        <v>6</v>
      </c>
      <c r="F204" s="3" t="str">
        <f>_xlfn.XLOOKUP(C204,customers!$A$1:$A$1001,customers!$B$1:$B$1001,,0)</f>
        <v>Tallie felip</v>
      </c>
      <c r="G204" s="3" t="str">
        <f>IF(_xlfn.XLOOKUP(C204,customers!$A$1:$A$1001,customers!$C$1:$C$1001,,0)=0,"", _xlfn.XLOOKUP(C204,customers!$A$1:$A$1001,customers!$C$1:$C$1001,,0))</f>
        <v>tfelip5m@typepad.com</v>
      </c>
      <c r="H204" s="3" t="str">
        <f>_xlfn.XLOOKUP(C204,customers!$A$1:$A$1001,customers!$G$1:$G$1001,,0)</f>
        <v>United States</v>
      </c>
      <c r="I204" s="4" t="str">
        <f>INDEX(products!$A$1:$G$49,MATCH(orders!$D204,products!$A$1:$A$49,0),MATCH(orders!I$1,products!$A$1:$G$1,0))</f>
        <v>Lib</v>
      </c>
      <c r="J204" s="4" t="str">
        <f>INDEX(products!$A$1:$G$49,MATCH(orders!$D204,products!$A$1:$A$49,0),MATCH(orders!J$1,products!$A$1:$G$1,0))</f>
        <v>D</v>
      </c>
      <c r="K204" s="6">
        <f>INDEX(products!$A$1:$G$49,MATCH(orders!$D204,products!$A$1:$A$49,0),MATCH(orders!K$1,products!$A$1:$G$1,0))</f>
        <v>2.5</v>
      </c>
      <c r="L204" s="7">
        <f>INDEX(products!$A$1:$G$49,MATCH(orders!$D204,products!$A$1:$A$49,0),MATCH(orders!L$1,products!$A$1:$G$1,0))</f>
        <v>29.784999999999997</v>
      </c>
      <c r="M204" s="7">
        <f t="shared" si="3"/>
        <v>178.70999999999998</v>
      </c>
      <c r="N204" s="4" t="str" cm="1">
        <f t="array" ref="N204">_xlfn.IFS(I204="Rob","Robusta",I204="Exc","Excelsa",I204="Ara","Arabica",I204="Lib","Liberica")</f>
        <v>Liberica</v>
      </c>
      <c r="O204" s="4" t="str" cm="1">
        <f t="array" ref="O204">_xlfn.IFS(J204="M","Medium",J204="L","Light",J204="D","Dark")</f>
        <v>Dark</v>
      </c>
      <c r="P204" s="4" t="str">
        <f>_xlfn.XLOOKUP(CoffeeOrderstable[[#This Row],[Customer ID]],customers!$A$1:$A$1001,customers!$I$1:$I$1001,,0)</f>
        <v>Yes</v>
      </c>
    </row>
    <row r="205" spans="1:16" x14ac:dyDescent="0.3">
      <c r="A205" s="3" t="s">
        <v>1632</v>
      </c>
      <c r="B205" s="5">
        <v>44608</v>
      </c>
      <c r="C205" s="3" t="s">
        <v>1633</v>
      </c>
      <c r="D205" s="4" t="s">
        <v>6145</v>
      </c>
      <c r="E205" s="3">
        <v>1</v>
      </c>
      <c r="F205" s="3" t="str">
        <f>_xlfn.XLOOKUP(C205,customers!$A$1:$A$1001,customers!$B$1:$B$1001,,0)</f>
        <v>Vanna Le - Count</v>
      </c>
      <c r="G205" s="3" t="str">
        <f>IF(_xlfn.XLOOKUP(C205,customers!$A$1:$A$1001,customers!$C$1:$C$1001,,0)=0,"", _xlfn.XLOOKUP(C205,customers!$A$1:$A$1001,customers!$C$1:$C$1001,,0))</f>
        <v>vle5n@disqus.com</v>
      </c>
      <c r="H205" s="3" t="str">
        <f>_xlfn.XLOOKUP(C205,customers!$A$1:$A$1001,customers!$G$1:$G$1001,,0)</f>
        <v>United States</v>
      </c>
      <c r="I205" s="4" t="str">
        <f>INDEX(products!$A$1:$G$49,MATCH(orders!$D205,products!$A$1:$A$49,0),MATCH(orders!I$1,products!$A$1:$G$1,0))</f>
        <v>Lib</v>
      </c>
      <c r="J205" s="4" t="str">
        <f>INDEX(products!$A$1:$G$49,MATCH(orders!$D205,products!$A$1:$A$49,0),MATCH(orders!J$1,products!$A$1:$G$1,0))</f>
        <v>L</v>
      </c>
      <c r="K205" s="6">
        <f>INDEX(products!$A$1:$G$49,MATCH(orders!$D205,products!$A$1:$A$49,0),MATCH(orders!K$1,products!$A$1:$G$1,0))</f>
        <v>0.2</v>
      </c>
      <c r="L205" s="7">
        <f>INDEX(products!$A$1:$G$49,MATCH(orders!$D205,products!$A$1:$A$49,0),MATCH(orders!L$1,products!$A$1:$G$1,0))</f>
        <v>4.7549999999999999</v>
      </c>
      <c r="M205" s="7">
        <f t="shared" si="3"/>
        <v>4.7549999999999999</v>
      </c>
      <c r="N205" s="4" t="str" cm="1">
        <f t="array" ref="N205">_xlfn.IFS(I205="Rob","Robusta",I205="Exc","Excelsa",I205="Ara","Arabica",I205="Lib","Liberica")</f>
        <v>Liberica</v>
      </c>
      <c r="O205" s="4" t="str" cm="1">
        <f t="array" ref="O205">_xlfn.IFS(J205="M","Medium",J205="L","Light",J205="D","Dark")</f>
        <v>Light</v>
      </c>
      <c r="P205" s="4" t="str">
        <f>_xlfn.XLOOKUP(CoffeeOrderstable[[#This Row],[Customer ID]],customers!$A$1:$A$1001,customers!$I$1:$I$1001,,0)</f>
        <v>No</v>
      </c>
    </row>
    <row r="206" spans="1:16" x14ac:dyDescent="0.3">
      <c r="A206" s="3" t="s">
        <v>1638</v>
      </c>
      <c r="B206" s="5">
        <v>44027</v>
      </c>
      <c r="C206" s="3" t="s">
        <v>1639</v>
      </c>
      <c r="D206" s="4" t="s">
        <v>6141</v>
      </c>
      <c r="E206" s="3">
        <v>6</v>
      </c>
      <c r="F206" s="3" t="str">
        <f>_xlfn.XLOOKUP(C206,customers!$A$1:$A$1001,customers!$B$1:$B$1001,,0)</f>
        <v>Sarette Ducarel</v>
      </c>
      <c r="G206" s="3" t="str">
        <f>IF(_xlfn.XLOOKUP(C206,customers!$A$1:$A$1001,customers!$C$1:$C$1001,,0)=0,"", _xlfn.XLOOKUP(C206,customers!$A$1:$A$1001,customers!$C$1:$C$1001,,0))</f>
        <v/>
      </c>
      <c r="H206" s="3" t="str">
        <f>_xlfn.XLOOKUP(C206,customers!$A$1:$A$1001,customers!$G$1:$G$1001,,0)</f>
        <v>United States</v>
      </c>
      <c r="I206" s="4" t="str">
        <f>INDEX(products!$A$1:$G$49,MATCH(orders!$D206,products!$A$1:$A$49,0),MATCH(orders!I$1,products!$A$1:$G$1,0))</f>
        <v>Exc</v>
      </c>
      <c r="J206" s="4" t="str">
        <f>INDEX(products!$A$1:$G$49,MATCH(orders!$D206,products!$A$1:$A$49,0),MATCH(orders!J$1,products!$A$1:$G$1,0))</f>
        <v>M</v>
      </c>
      <c r="K206" s="6">
        <f>INDEX(products!$A$1:$G$49,MATCH(orders!$D206,products!$A$1:$A$49,0),MATCH(orders!K$1,products!$A$1:$G$1,0))</f>
        <v>1</v>
      </c>
      <c r="L206" s="7">
        <f>INDEX(products!$A$1:$G$49,MATCH(orders!$D206,products!$A$1:$A$49,0),MATCH(orders!L$1,products!$A$1:$G$1,0))</f>
        <v>13.75</v>
      </c>
      <c r="M206" s="7">
        <f t="shared" si="3"/>
        <v>82.5</v>
      </c>
      <c r="N206" s="4" t="str" cm="1">
        <f t="array" ref="N206">_xlfn.IFS(I206="Rob","Robusta",I206="Exc","Excelsa",I206="Ara","Arabica",I206="Lib","Liberica")</f>
        <v>Excelsa</v>
      </c>
      <c r="O206" s="4" t="str" cm="1">
        <f t="array" ref="O206">_xlfn.IFS(J206="M","Medium",J206="L","Light",J206="D","Dark")</f>
        <v>Medium</v>
      </c>
      <c r="P206" s="4" t="str">
        <f>_xlfn.XLOOKUP(CoffeeOrderstable[[#This Row],[Customer ID]],customers!$A$1:$A$1001,customers!$I$1:$I$1001,,0)</f>
        <v>No</v>
      </c>
    </row>
    <row r="207" spans="1:16" x14ac:dyDescent="0.3">
      <c r="A207" s="3" t="s">
        <v>1643</v>
      </c>
      <c r="B207" s="5">
        <v>43883</v>
      </c>
      <c r="C207" s="3" t="s">
        <v>1644</v>
      </c>
      <c r="D207" s="4" t="s">
        <v>6163</v>
      </c>
      <c r="E207" s="3">
        <v>3</v>
      </c>
      <c r="F207" s="3" t="str">
        <f>_xlfn.XLOOKUP(C207,customers!$A$1:$A$1001,customers!$B$1:$B$1001,,0)</f>
        <v>Kendra Glison</v>
      </c>
      <c r="G207" s="3" t="str">
        <f>IF(_xlfn.XLOOKUP(C207,customers!$A$1:$A$1001,customers!$C$1:$C$1001,,0)=0,"", _xlfn.XLOOKUP(C207,customers!$A$1:$A$1001,customers!$C$1:$C$1001,,0))</f>
        <v/>
      </c>
      <c r="H207" s="3" t="str">
        <f>_xlfn.XLOOKUP(C207,customers!$A$1:$A$1001,customers!$G$1:$G$1001,,0)</f>
        <v>United States</v>
      </c>
      <c r="I207" s="4" t="str">
        <f>INDEX(products!$A$1:$G$49,MATCH(orders!$D207,products!$A$1:$A$49,0),MATCH(orders!I$1,products!$A$1:$G$1,0))</f>
        <v>Rob</v>
      </c>
      <c r="J207" s="4" t="str">
        <f>INDEX(products!$A$1:$G$49,MATCH(orders!$D207,products!$A$1:$A$49,0),MATCH(orders!J$1,products!$A$1:$G$1,0))</f>
        <v>D</v>
      </c>
      <c r="K207" s="6">
        <f>INDEX(products!$A$1:$G$49,MATCH(orders!$D207,products!$A$1:$A$49,0),MATCH(orders!K$1,products!$A$1:$G$1,0))</f>
        <v>0.2</v>
      </c>
      <c r="L207" s="7">
        <f>INDEX(products!$A$1:$G$49,MATCH(orders!$D207,products!$A$1:$A$49,0),MATCH(orders!L$1,products!$A$1:$G$1,0))</f>
        <v>2.6849999999999996</v>
      </c>
      <c r="M207" s="7">
        <f t="shared" si="3"/>
        <v>8.0549999999999997</v>
      </c>
      <c r="N207" s="4" t="str" cm="1">
        <f t="array" ref="N207">_xlfn.IFS(I207="Rob","Robusta",I207="Exc","Excelsa",I207="Ara","Arabica",I207="Lib","Liberica")</f>
        <v>Robusta</v>
      </c>
      <c r="O207" s="4" t="str" cm="1">
        <f t="array" ref="O207">_xlfn.IFS(J207="M","Medium",J207="L","Light",J207="D","Dark")</f>
        <v>Dark</v>
      </c>
      <c r="P207" s="4" t="str">
        <f>_xlfn.XLOOKUP(CoffeeOrderstable[[#This Row],[Customer ID]],customers!$A$1:$A$1001,customers!$I$1:$I$1001,,0)</f>
        <v>Yes</v>
      </c>
    </row>
    <row r="208" spans="1:16" x14ac:dyDescent="0.3">
      <c r="A208" s="3" t="s">
        <v>1648</v>
      </c>
      <c r="B208" s="5">
        <v>44211</v>
      </c>
      <c r="C208" s="3" t="s">
        <v>1649</v>
      </c>
      <c r="D208" s="4" t="s">
        <v>6155</v>
      </c>
      <c r="E208" s="3">
        <v>2</v>
      </c>
      <c r="F208" s="3" t="str">
        <f>_xlfn.XLOOKUP(C208,customers!$A$1:$A$1001,customers!$B$1:$B$1001,,0)</f>
        <v>Nertie Poolman</v>
      </c>
      <c r="G208" s="3" t="str">
        <f>IF(_xlfn.XLOOKUP(C208,customers!$A$1:$A$1001,customers!$C$1:$C$1001,,0)=0,"", _xlfn.XLOOKUP(C208,customers!$A$1:$A$1001,customers!$C$1:$C$1001,,0))</f>
        <v>npoolman5q@howstuffworks.com</v>
      </c>
      <c r="H208" s="3" t="str">
        <f>_xlfn.XLOOKUP(C208,customers!$A$1:$A$1001,customers!$G$1:$G$1001,,0)</f>
        <v>United States</v>
      </c>
      <c r="I208" s="4" t="str">
        <f>INDEX(products!$A$1:$G$49,MATCH(orders!$D208,products!$A$1:$A$49,0),MATCH(orders!I$1,products!$A$1:$G$1,0))</f>
        <v>Ara</v>
      </c>
      <c r="J208" s="4" t="str">
        <f>INDEX(products!$A$1:$G$49,MATCH(orders!$D208,products!$A$1:$A$49,0),MATCH(orders!J$1,products!$A$1:$G$1,0))</f>
        <v>M</v>
      </c>
      <c r="K208" s="6">
        <f>INDEX(products!$A$1:$G$49,MATCH(orders!$D208,products!$A$1:$A$49,0),MATCH(orders!K$1,products!$A$1:$G$1,0))</f>
        <v>1</v>
      </c>
      <c r="L208" s="7">
        <f>INDEX(products!$A$1:$G$49,MATCH(orders!$D208,products!$A$1:$A$49,0),MATCH(orders!L$1,products!$A$1:$G$1,0))</f>
        <v>11.25</v>
      </c>
      <c r="M208" s="7">
        <f t="shared" si="3"/>
        <v>22.5</v>
      </c>
      <c r="N208" s="4" t="str" cm="1">
        <f t="array" ref="N208">_xlfn.IFS(I208="Rob","Robusta",I208="Exc","Excelsa",I208="Ara","Arabica",I208="Lib","Liberica")</f>
        <v>Arabica</v>
      </c>
      <c r="O208" s="4" t="str" cm="1">
        <f t="array" ref="O208">_xlfn.IFS(J208="M","Medium",J208="L","Light",J208="D","Dark")</f>
        <v>Medium</v>
      </c>
      <c r="P208" s="4" t="str">
        <f>_xlfn.XLOOKUP(CoffeeOrderstable[[#This Row],[Customer ID]],customers!$A$1:$A$1001,customers!$I$1:$I$1001,,0)</f>
        <v>No</v>
      </c>
    </row>
    <row r="209" spans="1:16" x14ac:dyDescent="0.3">
      <c r="A209" s="3" t="s">
        <v>1653</v>
      </c>
      <c r="B209" s="5">
        <v>44207</v>
      </c>
      <c r="C209" s="3" t="s">
        <v>1654</v>
      </c>
      <c r="D209" s="4" t="s">
        <v>6157</v>
      </c>
      <c r="E209" s="3">
        <v>6</v>
      </c>
      <c r="F209" s="3" t="str">
        <f>_xlfn.XLOOKUP(C209,customers!$A$1:$A$1001,customers!$B$1:$B$1001,,0)</f>
        <v>Orbadiah Duny</v>
      </c>
      <c r="G209" s="3" t="str">
        <f>IF(_xlfn.XLOOKUP(C209,customers!$A$1:$A$1001,customers!$C$1:$C$1001,,0)=0,"", _xlfn.XLOOKUP(C209,customers!$A$1:$A$1001,customers!$C$1:$C$1001,,0))</f>
        <v>oduny5r@constantcontact.com</v>
      </c>
      <c r="H209" s="3" t="str">
        <f>_xlfn.XLOOKUP(C209,customers!$A$1:$A$1001,customers!$G$1:$G$1001,,0)</f>
        <v>United States</v>
      </c>
      <c r="I209" s="4" t="str">
        <f>INDEX(products!$A$1:$G$49,MATCH(orders!$D209,products!$A$1:$A$49,0),MATCH(orders!I$1,products!$A$1:$G$1,0))</f>
        <v>Ara</v>
      </c>
      <c r="J209" s="4" t="str">
        <f>INDEX(products!$A$1:$G$49,MATCH(orders!$D209,products!$A$1:$A$49,0),MATCH(orders!J$1,products!$A$1:$G$1,0))</f>
        <v>M</v>
      </c>
      <c r="K209" s="6">
        <f>INDEX(products!$A$1:$G$49,MATCH(orders!$D209,products!$A$1:$A$49,0),MATCH(orders!K$1,products!$A$1:$G$1,0))</f>
        <v>0.5</v>
      </c>
      <c r="L209" s="7">
        <f>INDEX(products!$A$1:$G$49,MATCH(orders!$D209,products!$A$1:$A$49,0),MATCH(orders!L$1,products!$A$1:$G$1,0))</f>
        <v>6.75</v>
      </c>
      <c r="M209" s="7">
        <f t="shared" si="3"/>
        <v>40.5</v>
      </c>
      <c r="N209" s="4" t="str" cm="1">
        <f t="array" ref="N209">_xlfn.IFS(I209="Rob","Robusta",I209="Exc","Excelsa",I209="Ara","Arabica",I209="Lib","Liberica")</f>
        <v>Arabica</v>
      </c>
      <c r="O209" s="4" t="str" cm="1">
        <f t="array" ref="O209">_xlfn.IFS(J209="M","Medium",J209="L","Light",J209="D","Dark")</f>
        <v>Medium</v>
      </c>
      <c r="P209" s="4" t="str">
        <f>_xlfn.XLOOKUP(CoffeeOrderstable[[#This Row],[Customer ID]],customers!$A$1:$A$1001,customers!$I$1:$I$1001,,0)</f>
        <v>Yes</v>
      </c>
    </row>
    <row r="210" spans="1:16" x14ac:dyDescent="0.3">
      <c r="A210" s="3" t="s">
        <v>1659</v>
      </c>
      <c r="B210" s="5">
        <v>44659</v>
      </c>
      <c r="C210" s="3" t="s">
        <v>1660</v>
      </c>
      <c r="D210" s="4" t="s">
        <v>6144</v>
      </c>
      <c r="E210" s="3">
        <v>4</v>
      </c>
      <c r="F210" s="3" t="str">
        <f>_xlfn.XLOOKUP(C210,customers!$A$1:$A$1001,customers!$B$1:$B$1001,,0)</f>
        <v>Constance Halfhide</v>
      </c>
      <c r="G210" s="3" t="str">
        <f>IF(_xlfn.XLOOKUP(C210,customers!$A$1:$A$1001,customers!$C$1:$C$1001,,0)=0,"", _xlfn.XLOOKUP(C210,customers!$A$1:$A$1001,customers!$C$1:$C$1001,,0))</f>
        <v>chalfhide5s@google.ru</v>
      </c>
      <c r="H210" s="3" t="str">
        <f>_xlfn.XLOOKUP(C210,customers!$A$1:$A$1001,customers!$G$1:$G$1001,,0)</f>
        <v>Ireland</v>
      </c>
      <c r="I210" s="4" t="str">
        <f>INDEX(products!$A$1:$G$49,MATCH(orders!$D210,products!$A$1:$A$49,0),MATCH(orders!I$1,products!$A$1:$G$1,0))</f>
        <v>Exc</v>
      </c>
      <c r="J210" s="4" t="str">
        <f>INDEX(products!$A$1:$G$49,MATCH(orders!$D210,products!$A$1:$A$49,0),MATCH(orders!J$1,products!$A$1:$G$1,0))</f>
        <v>D</v>
      </c>
      <c r="K210" s="6">
        <f>INDEX(products!$A$1:$G$49,MATCH(orders!$D210,products!$A$1:$A$49,0),MATCH(orders!K$1,products!$A$1:$G$1,0))</f>
        <v>0.5</v>
      </c>
      <c r="L210" s="7">
        <f>INDEX(products!$A$1:$G$49,MATCH(orders!$D210,products!$A$1:$A$49,0),MATCH(orders!L$1,products!$A$1:$G$1,0))</f>
        <v>7.29</v>
      </c>
      <c r="M210" s="7">
        <f t="shared" si="3"/>
        <v>29.16</v>
      </c>
      <c r="N210" s="4" t="str" cm="1">
        <f t="array" ref="N210">_xlfn.IFS(I210="Rob","Robusta",I210="Exc","Excelsa",I210="Ara","Arabica",I210="Lib","Liberica")</f>
        <v>Excelsa</v>
      </c>
      <c r="O210" s="4" t="str" cm="1">
        <f t="array" ref="O210">_xlfn.IFS(J210="M","Medium",J210="L","Light",J210="D","Dark")</f>
        <v>Dark</v>
      </c>
      <c r="P210" s="4" t="str">
        <f>_xlfn.XLOOKUP(CoffeeOrderstable[[#This Row],[Customer ID]],customers!$A$1:$A$1001,customers!$I$1:$I$1001,,0)</f>
        <v>Yes</v>
      </c>
    </row>
    <row r="211" spans="1:16" x14ac:dyDescent="0.3">
      <c r="A211" s="3" t="s">
        <v>1665</v>
      </c>
      <c r="B211" s="5">
        <v>44105</v>
      </c>
      <c r="C211" s="3" t="s">
        <v>1666</v>
      </c>
      <c r="D211" s="4" t="s">
        <v>6157</v>
      </c>
      <c r="E211" s="3">
        <v>1</v>
      </c>
      <c r="F211" s="3" t="str">
        <f>_xlfn.XLOOKUP(C211,customers!$A$1:$A$1001,customers!$B$1:$B$1001,,0)</f>
        <v>Fransisco Malecky</v>
      </c>
      <c r="G211" s="3" t="str">
        <f>IF(_xlfn.XLOOKUP(C211,customers!$A$1:$A$1001,customers!$C$1:$C$1001,,0)=0,"", _xlfn.XLOOKUP(C211,customers!$A$1:$A$1001,customers!$C$1:$C$1001,,0))</f>
        <v>fmalecky5t@list-manage.com</v>
      </c>
      <c r="H211" s="3" t="str">
        <f>_xlfn.XLOOKUP(C211,customers!$A$1:$A$1001,customers!$G$1:$G$1001,,0)</f>
        <v>United Kingdom</v>
      </c>
      <c r="I211" s="4" t="str">
        <f>INDEX(products!$A$1:$G$49,MATCH(orders!$D211,products!$A$1:$A$49,0),MATCH(orders!I$1,products!$A$1:$G$1,0))</f>
        <v>Ara</v>
      </c>
      <c r="J211" s="4" t="str">
        <f>INDEX(products!$A$1:$G$49,MATCH(orders!$D211,products!$A$1:$A$49,0),MATCH(orders!J$1,products!$A$1:$G$1,0))</f>
        <v>M</v>
      </c>
      <c r="K211" s="6">
        <f>INDEX(products!$A$1:$G$49,MATCH(orders!$D211,products!$A$1:$A$49,0),MATCH(orders!K$1,products!$A$1:$G$1,0))</f>
        <v>0.5</v>
      </c>
      <c r="L211" s="7">
        <f>INDEX(products!$A$1:$G$49,MATCH(orders!$D211,products!$A$1:$A$49,0),MATCH(orders!L$1,products!$A$1:$G$1,0))</f>
        <v>6.75</v>
      </c>
      <c r="M211" s="7">
        <f t="shared" si="3"/>
        <v>6.75</v>
      </c>
      <c r="N211" s="4" t="str" cm="1">
        <f t="array" ref="N211">_xlfn.IFS(I211="Rob","Robusta",I211="Exc","Excelsa",I211="Ara","Arabica",I211="Lib","Liberica")</f>
        <v>Arabica</v>
      </c>
      <c r="O211" s="4" t="str" cm="1">
        <f t="array" ref="O211">_xlfn.IFS(J211="M","Medium",J211="L","Light",J211="D","Dark")</f>
        <v>Medium</v>
      </c>
      <c r="P211" s="4" t="str">
        <f>_xlfn.XLOOKUP(CoffeeOrderstable[[#This Row],[Customer ID]],customers!$A$1:$A$1001,customers!$I$1:$I$1001,,0)</f>
        <v>No</v>
      </c>
    </row>
    <row r="212" spans="1:16" x14ac:dyDescent="0.3">
      <c r="A212" s="3" t="s">
        <v>1671</v>
      </c>
      <c r="B212" s="5">
        <v>43766</v>
      </c>
      <c r="C212" s="3" t="s">
        <v>1672</v>
      </c>
      <c r="D212" s="4" t="s">
        <v>6143</v>
      </c>
      <c r="E212" s="3">
        <v>4</v>
      </c>
      <c r="F212" s="3" t="str">
        <f>_xlfn.XLOOKUP(C212,customers!$A$1:$A$1001,customers!$B$1:$B$1001,,0)</f>
        <v>Anselma Attwater</v>
      </c>
      <c r="G212" s="3" t="str">
        <f>IF(_xlfn.XLOOKUP(C212,customers!$A$1:$A$1001,customers!$C$1:$C$1001,,0)=0,"", _xlfn.XLOOKUP(C212,customers!$A$1:$A$1001,customers!$C$1:$C$1001,,0))</f>
        <v>aattwater5u@wikia.com</v>
      </c>
      <c r="H212" s="3" t="str">
        <f>_xlfn.XLOOKUP(C212,customers!$A$1:$A$1001,customers!$G$1:$G$1001,,0)</f>
        <v>United States</v>
      </c>
      <c r="I212" s="4" t="str">
        <f>INDEX(products!$A$1:$G$49,MATCH(orders!$D212,products!$A$1:$A$49,0),MATCH(orders!I$1,products!$A$1:$G$1,0))</f>
        <v>Lib</v>
      </c>
      <c r="J212" s="4" t="str">
        <f>INDEX(products!$A$1:$G$49,MATCH(orders!$D212,products!$A$1:$A$49,0),MATCH(orders!J$1,products!$A$1:$G$1,0))</f>
        <v>D</v>
      </c>
      <c r="K212" s="6">
        <f>INDEX(products!$A$1:$G$49,MATCH(orders!$D212,products!$A$1:$A$49,0),MATCH(orders!K$1,products!$A$1:$G$1,0))</f>
        <v>1</v>
      </c>
      <c r="L212" s="7">
        <f>INDEX(products!$A$1:$G$49,MATCH(orders!$D212,products!$A$1:$A$49,0),MATCH(orders!L$1,products!$A$1:$G$1,0))</f>
        <v>12.95</v>
      </c>
      <c r="M212" s="7">
        <f t="shared" si="3"/>
        <v>51.8</v>
      </c>
      <c r="N212" s="4" t="str" cm="1">
        <f t="array" ref="N212">_xlfn.IFS(I212="Rob","Robusta",I212="Exc","Excelsa",I212="Ara","Arabica",I212="Lib","Liberica")</f>
        <v>Liberica</v>
      </c>
      <c r="O212" s="4" t="str" cm="1">
        <f t="array" ref="O212">_xlfn.IFS(J212="M","Medium",J212="L","Light",J212="D","Dark")</f>
        <v>Dark</v>
      </c>
      <c r="P212" s="4" t="str">
        <f>_xlfn.XLOOKUP(CoffeeOrderstable[[#This Row],[Customer ID]],customers!$A$1:$A$1001,customers!$I$1:$I$1001,,0)</f>
        <v>Yes</v>
      </c>
    </row>
    <row r="213" spans="1:16" x14ac:dyDescent="0.3">
      <c r="A213" s="3" t="s">
        <v>1677</v>
      </c>
      <c r="B213" s="5">
        <v>44283</v>
      </c>
      <c r="C213" s="3" t="s">
        <v>1678</v>
      </c>
      <c r="D213" s="4" t="s">
        <v>6176</v>
      </c>
      <c r="E213" s="3">
        <v>6</v>
      </c>
      <c r="F213" s="3" t="str">
        <f>_xlfn.XLOOKUP(C213,customers!$A$1:$A$1001,customers!$B$1:$B$1001,,0)</f>
        <v>Minette Whellans</v>
      </c>
      <c r="G213" s="3" t="str">
        <f>IF(_xlfn.XLOOKUP(C213,customers!$A$1:$A$1001,customers!$C$1:$C$1001,,0)=0,"", _xlfn.XLOOKUP(C213,customers!$A$1:$A$1001,customers!$C$1:$C$1001,,0))</f>
        <v>mwhellans5v@mapquest.com</v>
      </c>
      <c r="H213" s="3" t="str">
        <f>_xlfn.XLOOKUP(C213,customers!$A$1:$A$1001,customers!$G$1:$G$1001,,0)</f>
        <v>United States</v>
      </c>
      <c r="I213" s="4" t="str">
        <f>INDEX(products!$A$1:$G$49,MATCH(orders!$D213,products!$A$1:$A$49,0),MATCH(orders!I$1,products!$A$1:$G$1,0))</f>
        <v>Exc</v>
      </c>
      <c r="J213" s="4" t="str">
        <f>INDEX(products!$A$1:$G$49,MATCH(orders!$D213,products!$A$1:$A$49,0),MATCH(orders!J$1,products!$A$1:$G$1,0))</f>
        <v>L</v>
      </c>
      <c r="K213" s="6">
        <f>INDEX(products!$A$1:$G$49,MATCH(orders!$D213,products!$A$1:$A$49,0),MATCH(orders!K$1,products!$A$1:$G$1,0))</f>
        <v>0.5</v>
      </c>
      <c r="L213" s="7">
        <f>INDEX(products!$A$1:$G$49,MATCH(orders!$D213,products!$A$1:$A$49,0),MATCH(orders!L$1,products!$A$1:$G$1,0))</f>
        <v>8.91</v>
      </c>
      <c r="M213" s="7">
        <f t="shared" si="3"/>
        <v>53.46</v>
      </c>
      <c r="N213" s="4" t="str" cm="1">
        <f t="array" ref="N213">_xlfn.IFS(I213="Rob","Robusta",I213="Exc","Excelsa",I213="Ara","Arabica",I213="Lib","Liberica")</f>
        <v>Excelsa</v>
      </c>
      <c r="O213" s="4" t="str" cm="1">
        <f t="array" ref="O213">_xlfn.IFS(J213="M","Medium",J213="L","Light",J213="D","Dark")</f>
        <v>Light</v>
      </c>
      <c r="P213" s="4" t="str">
        <f>_xlfn.XLOOKUP(CoffeeOrderstable[[#This Row],[Customer ID]],customers!$A$1:$A$1001,customers!$I$1:$I$1001,,0)</f>
        <v>No</v>
      </c>
    </row>
    <row r="214" spans="1:16" x14ac:dyDescent="0.3">
      <c r="A214" s="3" t="s">
        <v>1682</v>
      </c>
      <c r="B214" s="5">
        <v>43921</v>
      </c>
      <c r="C214" s="3" t="s">
        <v>1683</v>
      </c>
      <c r="D214" s="4" t="s">
        <v>6153</v>
      </c>
      <c r="E214" s="3">
        <v>4</v>
      </c>
      <c r="F214" s="3" t="str">
        <f>_xlfn.XLOOKUP(C214,customers!$A$1:$A$1001,customers!$B$1:$B$1001,,0)</f>
        <v>Dael Camilletti</v>
      </c>
      <c r="G214" s="3" t="str">
        <f>IF(_xlfn.XLOOKUP(C214,customers!$A$1:$A$1001,customers!$C$1:$C$1001,,0)=0,"", _xlfn.XLOOKUP(C214,customers!$A$1:$A$1001,customers!$C$1:$C$1001,,0))</f>
        <v>dcamilletti5w@businesswire.com</v>
      </c>
      <c r="H214" s="3" t="str">
        <f>_xlfn.XLOOKUP(C214,customers!$A$1:$A$1001,customers!$G$1:$G$1001,,0)</f>
        <v>United States</v>
      </c>
      <c r="I214" s="4" t="str">
        <f>INDEX(products!$A$1:$G$49,MATCH(orders!$D214,products!$A$1:$A$49,0),MATCH(orders!I$1,products!$A$1:$G$1,0))</f>
        <v>Exc</v>
      </c>
      <c r="J214" s="4" t="str">
        <f>INDEX(products!$A$1:$G$49,MATCH(orders!$D214,products!$A$1:$A$49,0),MATCH(orders!J$1,products!$A$1:$G$1,0))</f>
        <v>D</v>
      </c>
      <c r="K214" s="6">
        <f>INDEX(products!$A$1:$G$49,MATCH(orders!$D214,products!$A$1:$A$49,0),MATCH(orders!K$1,products!$A$1:$G$1,0))</f>
        <v>0.2</v>
      </c>
      <c r="L214" s="7">
        <f>INDEX(products!$A$1:$G$49,MATCH(orders!$D214,products!$A$1:$A$49,0),MATCH(orders!L$1,products!$A$1:$G$1,0))</f>
        <v>3.645</v>
      </c>
      <c r="M214" s="7">
        <f t="shared" si="3"/>
        <v>14.58</v>
      </c>
      <c r="N214" s="4" t="str" cm="1">
        <f t="array" ref="N214">_xlfn.IFS(I214="Rob","Robusta",I214="Exc","Excelsa",I214="Ara","Arabica",I214="Lib","Liberica")</f>
        <v>Excelsa</v>
      </c>
      <c r="O214" s="4" t="str" cm="1">
        <f t="array" ref="O214">_xlfn.IFS(J214="M","Medium",J214="L","Light",J214="D","Dark")</f>
        <v>Dark</v>
      </c>
      <c r="P214" s="4" t="str">
        <f>_xlfn.XLOOKUP(CoffeeOrderstable[[#This Row],[Customer ID]],customers!$A$1:$A$1001,customers!$I$1:$I$1001,,0)</f>
        <v>Yes</v>
      </c>
    </row>
    <row r="215" spans="1:16" x14ac:dyDescent="0.3">
      <c r="A215" s="3" t="s">
        <v>1688</v>
      </c>
      <c r="B215" s="5">
        <v>44646</v>
      </c>
      <c r="C215" s="3" t="s">
        <v>1689</v>
      </c>
      <c r="D215" s="4" t="s">
        <v>6149</v>
      </c>
      <c r="E215" s="3">
        <v>1</v>
      </c>
      <c r="F215" s="3" t="str">
        <f>_xlfn.XLOOKUP(C215,customers!$A$1:$A$1001,customers!$B$1:$B$1001,,0)</f>
        <v>Emiline Galgey</v>
      </c>
      <c r="G215" s="3" t="str">
        <f>IF(_xlfn.XLOOKUP(C215,customers!$A$1:$A$1001,customers!$C$1:$C$1001,,0)=0,"", _xlfn.XLOOKUP(C215,customers!$A$1:$A$1001,customers!$C$1:$C$1001,,0))</f>
        <v>egalgey5x@wufoo.com</v>
      </c>
      <c r="H215" s="3" t="str">
        <f>_xlfn.XLOOKUP(C215,customers!$A$1:$A$1001,customers!$G$1:$G$1001,,0)</f>
        <v>United States</v>
      </c>
      <c r="I215" s="4" t="str">
        <f>INDEX(products!$A$1:$G$49,MATCH(orders!$D215,products!$A$1:$A$49,0),MATCH(orders!I$1,products!$A$1:$G$1,0))</f>
        <v>Rob</v>
      </c>
      <c r="J215" s="4" t="str">
        <f>INDEX(products!$A$1:$G$49,MATCH(orders!$D215,products!$A$1:$A$49,0),MATCH(orders!J$1,products!$A$1:$G$1,0))</f>
        <v>D</v>
      </c>
      <c r="K215" s="6">
        <f>INDEX(products!$A$1:$G$49,MATCH(orders!$D215,products!$A$1:$A$49,0),MATCH(orders!K$1,products!$A$1:$G$1,0))</f>
        <v>2.5</v>
      </c>
      <c r="L215" s="7">
        <f>INDEX(products!$A$1:$G$49,MATCH(orders!$D215,products!$A$1:$A$49,0),MATCH(orders!L$1,products!$A$1:$G$1,0))</f>
        <v>20.584999999999997</v>
      </c>
      <c r="M215" s="7">
        <f t="shared" si="3"/>
        <v>20.584999999999997</v>
      </c>
      <c r="N215" s="4" t="str" cm="1">
        <f t="array" ref="N215">_xlfn.IFS(I215="Rob","Robusta",I215="Exc","Excelsa",I215="Ara","Arabica",I215="Lib","Liberica")</f>
        <v>Robusta</v>
      </c>
      <c r="O215" s="4" t="str" cm="1">
        <f t="array" ref="O215">_xlfn.IFS(J215="M","Medium",J215="L","Light",J215="D","Dark")</f>
        <v>Dark</v>
      </c>
      <c r="P215" s="4" t="str">
        <f>_xlfn.XLOOKUP(CoffeeOrderstable[[#This Row],[Customer ID]],customers!$A$1:$A$1001,customers!$I$1:$I$1001,,0)</f>
        <v>No</v>
      </c>
    </row>
    <row r="216" spans="1:16" x14ac:dyDescent="0.3">
      <c r="A216" s="3" t="s">
        <v>1694</v>
      </c>
      <c r="B216" s="5">
        <v>43775</v>
      </c>
      <c r="C216" s="3" t="s">
        <v>1695</v>
      </c>
      <c r="D216" s="4" t="s">
        <v>6170</v>
      </c>
      <c r="E216" s="3">
        <v>2</v>
      </c>
      <c r="F216" s="3" t="str">
        <f>_xlfn.XLOOKUP(C216,customers!$A$1:$A$1001,customers!$B$1:$B$1001,,0)</f>
        <v>Murdock Hame</v>
      </c>
      <c r="G216" s="3" t="str">
        <f>IF(_xlfn.XLOOKUP(C216,customers!$A$1:$A$1001,customers!$C$1:$C$1001,,0)=0,"", _xlfn.XLOOKUP(C216,customers!$A$1:$A$1001,customers!$C$1:$C$1001,,0))</f>
        <v>mhame5y@newsvine.com</v>
      </c>
      <c r="H216" s="3" t="str">
        <f>_xlfn.XLOOKUP(C216,customers!$A$1:$A$1001,customers!$G$1:$G$1001,,0)</f>
        <v>Ireland</v>
      </c>
      <c r="I216" s="4" t="str">
        <f>INDEX(products!$A$1:$G$49,MATCH(orders!$D216,products!$A$1:$A$49,0),MATCH(orders!I$1,products!$A$1:$G$1,0))</f>
        <v>Lib</v>
      </c>
      <c r="J216" s="4" t="str">
        <f>INDEX(products!$A$1:$G$49,MATCH(orders!$D216,products!$A$1:$A$49,0),MATCH(orders!J$1,products!$A$1:$G$1,0))</f>
        <v>L</v>
      </c>
      <c r="K216" s="6">
        <f>INDEX(products!$A$1:$G$49,MATCH(orders!$D216,products!$A$1:$A$49,0),MATCH(orders!K$1,products!$A$1:$G$1,0))</f>
        <v>1</v>
      </c>
      <c r="L216" s="7">
        <f>INDEX(products!$A$1:$G$49,MATCH(orders!$D216,products!$A$1:$A$49,0),MATCH(orders!L$1,products!$A$1:$G$1,0))</f>
        <v>15.85</v>
      </c>
      <c r="M216" s="7">
        <f t="shared" si="3"/>
        <v>31.7</v>
      </c>
      <c r="N216" s="4" t="str" cm="1">
        <f t="array" ref="N216">_xlfn.IFS(I216="Rob","Robusta",I216="Exc","Excelsa",I216="Ara","Arabica",I216="Lib","Liberica")</f>
        <v>Liberica</v>
      </c>
      <c r="O216" s="4" t="str" cm="1">
        <f t="array" ref="O216">_xlfn.IFS(J216="M","Medium",J216="L","Light",J216="D","Dark")</f>
        <v>Light</v>
      </c>
      <c r="P216" s="4" t="str">
        <f>_xlfn.XLOOKUP(CoffeeOrderstable[[#This Row],[Customer ID]],customers!$A$1:$A$1001,customers!$I$1:$I$1001,,0)</f>
        <v>No</v>
      </c>
    </row>
    <row r="217" spans="1:16" x14ac:dyDescent="0.3">
      <c r="A217" s="3" t="s">
        <v>1701</v>
      </c>
      <c r="B217" s="5">
        <v>43829</v>
      </c>
      <c r="C217" s="3" t="s">
        <v>1702</v>
      </c>
      <c r="D217" s="4" t="s">
        <v>6150</v>
      </c>
      <c r="E217" s="3">
        <v>6</v>
      </c>
      <c r="F217" s="3" t="str">
        <f>_xlfn.XLOOKUP(C217,customers!$A$1:$A$1001,customers!$B$1:$B$1001,,0)</f>
        <v>Ilka Gurnee</v>
      </c>
      <c r="G217" s="3" t="str">
        <f>IF(_xlfn.XLOOKUP(C217,customers!$A$1:$A$1001,customers!$C$1:$C$1001,,0)=0,"", _xlfn.XLOOKUP(C217,customers!$A$1:$A$1001,customers!$C$1:$C$1001,,0))</f>
        <v>igurnee5z@usnews.com</v>
      </c>
      <c r="H217" s="3" t="str">
        <f>_xlfn.XLOOKUP(C217,customers!$A$1:$A$1001,customers!$G$1:$G$1001,,0)</f>
        <v>United States</v>
      </c>
      <c r="I217" s="4" t="str">
        <f>INDEX(products!$A$1:$G$49,MATCH(orders!$D217,products!$A$1:$A$49,0),MATCH(orders!I$1,products!$A$1:$G$1,0))</f>
        <v>Lib</v>
      </c>
      <c r="J217" s="4" t="str">
        <f>INDEX(products!$A$1:$G$49,MATCH(orders!$D217,products!$A$1:$A$49,0),MATCH(orders!J$1,products!$A$1:$G$1,0))</f>
        <v>D</v>
      </c>
      <c r="K217" s="6">
        <f>INDEX(products!$A$1:$G$49,MATCH(orders!$D217,products!$A$1:$A$49,0),MATCH(orders!K$1,products!$A$1:$G$1,0))</f>
        <v>0.2</v>
      </c>
      <c r="L217" s="7">
        <f>INDEX(products!$A$1:$G$49,MATCH(orders!$D217,products!$A$1:$A$49,0),MATCH(orders!L$1,products!$A$1:$G$1,0))</f>
        <v>3.8849999999999998</v>
      </c>
      <c r="M217" s="7">
        <f t="shared" si="3"/>
        <v>23.31</v>
      </c>
      <c r="N217" s="4" t="str" cm="1">
        <f t="array" ref="N217">_xlfn.IFS(I217="Rob","Robusta",I217="Exc","Excelsa",I217="Ara","Arabica",I217="Lib","Liberica")</f>
        <v>Liberica</v>
      </c>
      <c r="O217" s="4" t="str" cm="1">
        <f t="array" ref="O217">_xlfn.IFS(J217="M","Medium",J217="L","Light",J217="D","Dark")</f>
        <v>Dark</v>
      </c>
      <c r="P217" s="4" t="str">
        <f>_xlfn.XLOOKUP(CoffeeOrderstable[[#This Row],[Customer ID]],customers!$A$1:$A$1001,customers!$I$1:$I$1001,,0)</f>
        <v>No</v>
      </c>
    </row>
    <row r="218" spans="1:16" x14ac:dyDescent="0.3">
      <c r="A218" s="3" t="s">
        <v>1707</v>
      </c>
      <c r="B218" s="5">
        <v>44470</v>
      </c>
      <c r="C218" s="3" t="s">
        <v>1708</v>
      </c>
      <c r="D218" s="4" t="s">
        <v>6162</v>
      </c>
      <c r="E218" s="3">
        <v>4</v>
      </c>
      <c r="F218" s="3" t="str">
        <f>_xlfn.XLOOKUP(C218,customers!$A$1:$A$1001,customers!$B$1:$B$1001,,0)</f>
        <v>Alfy Snowding</v>
      </c>
      <c r="G218" s="3" t="str">
        <f>IF(_xlfn.XLOOKUP(C218,customers!$A$1:$A$1001,customers!$C$1:$C$1001,,0)=0,"", _xlfn.XLOOKUP(C218,customers!$A$1:$A$1001,customers!$C$1:$C$1001,,0))</f>
        <v>asnowding60@comsenz.com</v>
      </c>
      <c r="H218" s="3" t="str">
        <f>_xlfn.XLOOKUP(C218,customers!$A$1:$A$1001,customers!$G$1:$G$1001,,0)</f>
        <v>United States</v>
      </c>
      <c r="I218" s="4" t="str">
        <f>INDEX(products!$A$1:$G$49,MATCH(orders!$D218,products!$A$1:$A$49,0),MATCH(orders!I$1,products!$A$1:$G$1,0))</f>
        <v>Lib</v>
      </c>
      <c r="J218" s="4" t="str">
        <f>INDEX(products!$A$1:$G$49,MATCH(orders!$D218,products!$A$1:$A$49,0),MATCH(orders!J$1,products!$A$1:$G$1,0))</f>
        <v>M</v>
      </c>
      <c r="K218" s="6">
        <f>INDEX(products!$A$1:$G$49,MATCH(orders!$D218,products!$A$1:$A$49,0),MATCH(orders!K$1,products!$A$1:$G$1,0))</f>
        <v>1</v>
      </c>
      <c r="L218" s="7">
        <f>INDEX(products!$A$1:$G$49,MATCH(orders!$D218,products!$A$1:$A$49,0),MATCH(orders!L$1,products!$A$1:$G$1,0))</f>
        <v>14.55</v>
      </c>
      <c r="M218" s="7">
        <f t="shared" si="3"/>
        <v>58.2</v>
      </c>
      <c r="N218" s="4" t="str" cm="1">
        <f t="array" ref="N218">_xlfn.IFS(I218="Rob","Robusta",I218="Exc","Excelsa",I218="Ara","Arabica",I218="Lib","Liberica")</f>
        <v>Liberica</v>
      </c>
      <c r="O218" s="4" t="str" cm="1">
        <f t="array" ref="O218">_xlfn.IFS(J218="M","Medium",J218="L","Light",J218="D","Dark")</f>
        <v>Medium</v>
      </c>
      <c r="P218" s="4" t="str">
        <f>_xlfn.XLOOKUP(CoffeeOrderstable[[#This Row],[Customer ID]],customers!$A$1:$A$1001,customers!$I$1:$I$1001,,0)</f>
        <v>Yes</v>
      </c>
    </row>
    <row r="219" spans="1:16" x14ac:dyDescent="0.3">
      <c r="A219" s="3" t="s">
        <v>1713</v>
      </c>
      <c r="B219" s="5">
        <v>44174</v>
      </c>
      <c r="C219" s="3" t="s">
        <v>1714</v>
      </c>
      <c r="D219" s="4" t="s">
        <v>6176</v>
      </c>
      <c r="E219" s="3">
        <v>4</v>
      </c>
      <c r="F219" s="3" t="str">
        <f>_xlfn.XLOOKUP(C219,customers!$A$1:$A$1001,customers!$B$1:$B$1001,,0)</f>
        <v>Godfry Poinsett</v>
      </c>
      <c r="G219" s="3" t="str">
        <f>IF(_xlfn.XLOOKUP(C219,customers!$A$1:$A$1001,customers!$C$1:$C$1001,,0)=0,"", _xlfn.XLOOKUP(C219,customers!$A$1:$A$1001,customers!$C$1:$C$1001,,0))</f>
        <v>gpoinsett61@berkeley.edu</v>
      </c>
      <c r="H219" s="3" t="str">
        <f>_xlfn.XLOOKUP(C219,customers!$A$1:$A$1001,customers!$G$1:$G$1001,,0)</f>
        <v>United States</v>
      </c>
      <c r="I219" s="4" t="str">
        <f>INDEX(products!$A$1:$G$49,MATCH(orders!$D219,products!$A$1:$A$49,0),MATCH(orders!I$1,products!$A$1:$G$1,0))</f>
        <v>Exc</v>
      </c>
      <c r="J219" s="4" t="str">
        <f>INDEX(products!$A$1:$G$49,MATCH(orders!$D219,products!$A$1:$A$49,0),MATCH(orders!J$1,products!$A$1:$G$1,0))</f>
        <v>L</v>
      </c>
      <c r="K219" s="6">
        <f>INDEX(products!$A$1:$G$49,MATCH(orders!$D219,products!$A$1:$A$49,0),MATCH(orders!K$1,products!$A$1:$G$1,0))</f>
        <v>0.5</v>
      </c>
      <c r="L219" s="7">
        <f>INDEX(products!$A$1:$G$49,MATCH(orders!$D219,products!$A$1:$A$49,0),MATCH(orders!L$1,products!$A$1:$G$1,0))</f>
        <v>8.91</v>
      </c>
      <c r="M219" s="7">
        <f t="shared" si="3"/>
        <v>35.64</v>
      </c>
      <c r="N219" s="4" t="str" cm="1">
        <f t="array" ref="N219">_xlfn.IFS(I219="Rob","Robusta",I219="Exc","Excelsa",I219="Ara","Arabica",I219="Lib","Liberica")</f>
        <v>Excelsa</v>
      </c>
      <c r="O219" s="4" t="str" cm="1">
        <f t="array" ref="O219">_xlfn.IFS(J219="M","Medium",J219="L","Light",J219="D","Dark")</f>
        <v>Light</v>
      </c>
      <c r="P219" s="4" t="str">
        <f>_xlfn.XLOOKUP(CoffeeOrderstable[[#This Row],[Customer ID]],customers!$A$1:$A$1001,customers!$I$1:$I$1001,,0)</f>
        <v>No</v>
      </c>
    </row>
    <row r="220" spans="1:16" x14ac:dyDescent="0.3">
      <c r="A220" s="3" t="s">
        <v>1719</v>
      </c>
      <c r="B220" s="5">
        <v>44317</v>
      </c>
      <c r="C220" s="3" t="s">
        <v>1720</v>
      </c>
      <c r="D220" s="4" t="s">
        <v>6155</v>
      </c>
      <c r="E220" s="3">
        <v>5</v>
      </c>
      <c r="F220" s="3" t="str">
        <f>_xlfn.XLOOKUP(C220,customers!$A$1:$A$1001,customers!$B$1:$B$1001,,0)</f>
        <v>Rem Furman</v>
      </c>
      <c r="G220" s="3" t="str">
        <f>IF(_xlfn.XLOOKUP(C220,customers!$A$1:$A$1001,customers!$C$1:$C$1001,,0)=0,"", _xlfn.XLOOKUP(C220,customers!$A$1:$A$1001,customers!$C$1:$C$1001,,0))</f>
        <v>rfurman62@t.co</v>
      </c>
      <c r="H220" s="3" t="str">
        <f>_xlfn.XLOOKUP(C220,customers!$A$1:$A$1001,customers!$G$1:$G$1001,,0)</f>
        <v>Ireland</v>
      </c>
      <c r="I220" s="4" t="str">
        <f>INDEX(products!$A$1:$G$49,MATCH(orders!$D220,products!$A$1:$A$49,0),MATCH(orders!I$1,products!$A$1:$G$1,0))</f>
        <v>Ara</v>
      </c>
      <c r="J220" s="4" t="str">
        <f>INDEX(products!$A$1:$G$49,MATCH(orders!$D220,products!$A$1:$A$49,0),MATCH(orders!J$1,products!$A$1:$G$1,0))</f>
        <v>M</v>
      </c>
      <c r="K220" s="6">
        <f>INDEX(products!$A$1:$G$49,MATCH(orders!$D220,products!$A$1:$A$49,0),MATCH(orders!K$1,products!$A$1:$G$1,0))</f>
        <v>1</v>
      </c>
      <c r="L220" s="7">
        <f>INDEX(products!$A$1:$G$49,MATCH(orders!$D220,products!$A$1:$A$49,0),MATCH(orders!L$1,products!$A$1:$G$1,0))</f>
        <v>11.25</v>
      </c>
      <c r="M220" s="7">
        <f t="shared" si="3"/>
        <v>56.25</v>
      </c>
      <c r="N220" s="4" t="str" cm="1">
        <f t="array" ref="N220">_xlfn.IFS(I220="Rob","Robusta",I220="Exc","Excelsa",I220="Ara","Arabica",I220="Lib","Liberica")</f>
        <v>Arabica</v>
      </c>
      <c r="O220" s="4" t="str" cm="1">
        <f t="array" ref="O220">_xlfn.IFS(J220="M","Medium",J220="L","Light",J220="D","Dark")</f>
        <v>Medium</v>
      </c>
      <c r="P220" s="4" t="str">
        <f>_xlfn.XLOOKUP(CoffeeOrderstable[[#This Row],[Customer ID]],customers!$A$1:$A$1001,customers!$I$1:$I$1001,,0)</f>
        <v>Yes</v>
      </c>
    </row>
    <row r="221" spans="1:16" x14ac:dyDescent="0.3">
      <c r="A221" s="3" t="s">
        <v>1725</v>
      </c>
      <c r="B221" s="5">
        <v>44777</v>
      </c>
      <c r="C221" s="3" t="s">
        <v>1726</v>
      </c>
      <c r="D221" s="4" t="s">
        <v>6178</v>
      </c>
      <c r="E221" s="3">
        <v>3</v>
      </c>
      <c r="F221" s="3" t="str">
        <f>_xlfn.XLOOKUP(C221,customers!$A$1:$A$1001,customers!$B$1:$B$1001,,0)</f>
        <v>Charis Crosier</v>
      </c>
      <c r="G221" s="3" t="str">
        <f>IF(_xlfn.XLOOKUP(C221,customers!$A$1:$A$1001,customers!$C$1:$C$1001,,0)=0,"", _xlfn.XLOOKUP(C221,customers!$A$1:$A$1001,customers!$C$1:$C$1001,,0))</f>
        <v>ccrosier63@xrea.com</v>
      </c>
      <c r="H221" s="3" t="str">
        <f>_xlfn.XLOOKUP(C221,customers!$A$1:$A$1001,customers!$G$1:$G$1001,,0)</f>
        <v>United States</v>
      </c>
      <c r="I221" s="4" t="str">
        <f>INDEX(products!$A$1:$G$49,MATCH(orders!$D221,products!$A$1:$A$49,0),MATCH(orders!I$1,products!$A$1:$G$1,0))</f>
        <v>Rob</v>
      </c>
      <c r="J221" s="4" t="str">
        <f>INDEX(products!$A$1:$G$49,MATCH(orders!$D221,products!$A$1:$A$49,0),MATCH(orders!J$1,products!$A$1:$G$1,0))</f>
        <v>L</v>
      </c>
      <c r="K221" s="6">
        <f>INDEX(products!$A$1:$G$49,MATCH(orders!$D221,products!$A$1:$A$49,0),MATCH(orders!K$1,products!$A$1:$G$1,0))</f>
        <v>0.2</v>
      </c>
      <c r="L221" s="7">
        <f>INDEX(products!$A$1:$G$49,MATCH(orders!$D221,products!$A$1:$A$49,0),MATCH(orders!L$1,products!$A$1:$G$1,0))</f>
        <v>3.5849999999999995</v>
      </c>
      <c r="M221" s="7">
        <f t="shared" si="3"/>
        <v>10.754999999999999</v>
      </c>
      <c r="N221" s="4" t="str" cm="1">
        <f t="array" ref="N221">_xlfn.IFS(I221="Rob","Robusta",I221="Exc","Excelsa",I221="Ara","Arabica",I221="Lib","Liberica")</f>
        <v>Robusta</v>
      </c>
      <c r="O221" s="4" t="str" cm="1">
        <f t="array" ref="O221">_xlfn.IFS(J221="M","Medium",J221="L","Light",J221="D","Dark")</f>
        <v>Light</v>
      </c>
      <c r="P221" s="4" t="str">
        <f>_xlfn.XLOOKUP(CoffeeOrderstable[[#This Row],[Customer ID]],customers!$A$1:$A$1001,customers!$I$1:$I$1001,,0)</f>
        <v>No</v>
      </c>
    </row>
    <row r="222" spans="1:16" x14ac:dyDescent="0.3">
      <c r="A222" s="3" t="s">
        <v>1725</v>
      </c>
      <c r="B222" s="5">
        <v>44777</v>
      </c>
      <c r="C222" s="3" t="s">
        <v>1726</v>
      </c>
      <c r="D222" s="4" t="s">
        <v>6174</v>
      </c>
      <c r="E222" s="3">
        <v>5</v>
      </c>
      <c r="F222" s="3" t="str">
        <f>_xlfn.XLOOKUP(C222,customers!$A$1:$A$1001,customers!$B$1:$B$1001,,0)</f>
        <v>Charis Crosier</v>
      </c>
      <c r="G222" s="3" t="str">
        <f>IF(_xlfn.XLOOKUP(C222,customers!$A$1:$A$1001,customers!$C$1:$C$1001,,0)=0,"", _xlfn.XLOOKUP(C222,customers!$A$1:$A$1001,customers!$C$1:$C$1001,,0))</f>
        <v>ccrosier63@xrea.com</v>
      </c>
      <c r="H222" s="3" t="str">
        <f>_xlfn.XLOOKUP(C222,customers!$A$1:$A$1001,customers!$G$1:$G$1001,,0)</f>
        <v>United States</v>
      </c>
      <c r="I222" s="4" t="str">
        <f>INDEX(products!$A$1:$G$49,MATCH(orders!$D222,products!$A$1:$A$49,0),MATCH(orders!I$1,products!$A$1:$G$1,0))</f>
        <v>Rob</v>
      </c>
      <c r="J222" s="4" t="str">
        <f>INDEX(products!$A$1:$G$49,MATCH(orders!$D222,products!$A$1:$A$49,0),MATCH(orders!J$1,products!$A$1:$G$1,0))</f>
        <v>M</v>
      </c>
      <c r="K222" s="6">
        <f>INDEX(products!$A$1:$G$49,MATCH(orders!$D222,products!$A$1:$A$49,0),MATCH(orders!K$1,products!$A$1:$G$1,0))</f>
        <v>0.2</v>
      </c>
      <c r="L222" s="7">
        <f>INDEX(products!$A$1:$G$49,MATCH(orders!$D222,products!$A$1:$A$49,0),MATCH(orders!L$1,products!$A$1:$G$1,0))</f>
        <v>2.9849999999999999</v>
      </c>
      <c r="M222" s="7">
        <f t="shared" si="3"/>
        <v>14.924999999999999</v>
      </c>
      <c r="N222" s="4" t="str" cm="1">
        <f t="array" ref="N222">_xlfn.IFS(I222="Rob","Robusta",I222="Exc","Excelsa",I222="Ara","Arabica",I222="Lib","Liberica")</f>
        <v>Robusta</v>
      </c>
      <c r="O222" s="4" t="str" cm="1">
        <f t="array" ref="O222">_xlfn.IFS(J222="M","Medium",J222="L","Light",J222="D","Dark")</f>
        <v>Medium</v>
      </c>
      <c r="P222" s="4" t="str">
        <f>_xlfn.XLOOKUP(CoffeeOrderstable[[#This Row],[Customer ID]],customers!$A$1:$A$1001,customers!$I$1:$I$1001,,0)</f>
        <v>No</v>
      </c>
    </row>
    <row r="223" spans="1:16" x14ac:dyDescent="0.3">
      <c r="A223" s="3" t="s">
        <v>1736</v>
      </c>
      <c r="B223" s="5">
        <v>44513</v>
      </c>
      <c r="C223" s="3" t="s">
        <v>1737</v>
      </c>
      <c r="D223" s="4" t="s">
        <v>6140</v>
      </c>
      <c r="E223" s="3">
        <v>6</v>
      </c>
      <c r="F223" s="3" t="str">
        <f>_xlfn.XLOOKUP(C223,customers!$A$1:$A$1001,customers!$B$1:$B$1001,,0)</f>
        <v>Lenka Rushmer</v>
      </c>
      <c r="G223" s="3" t="str">
        <f>IF(_xlfn.XLOOKUP(C223,customers!$A$1:$A$1001,customers!$C$1:$C$1001,,0)=0,"", _xlfn.XLOOKUP(C223,customers!$A$1:$A$1001,customers!$C$1:$C$1001,,0))</f>
        <v>lrushmer65@europa.eu</v>
      </c>
      <c r="H223" s="3" t="str">
        <f>_xlfn.XLOOKUP(C223,customers!$A$1:$A$1001,customers!$G$1:$G$1001,,0)</f>
        <v>United States</v>
      </c>
      <c r="I223" s="4" t="str">
        <f>INDEX(products!$A$1:$G$49,MATCH(orders!$D223,products!$A$1:$A$49,0),MATCH(orders!I$1,products!$A$1:$G$1,0))</f>
        <v>Ara</v>
      </c>
      <c r="J223" s="4" t="str">
        <f>INDEX(products!$A$1:$G$49,MATCH(orders!$D223,products!$A$1:$A$49,0),MATCH(orders!J$1,products!$A$1:$G$1,0))</f>
        <v>L</v>
      </c>
      <c r="K223" s="6">
        <f>INDEX(products!$A$1:$G$49,MATCH(orders!$D223,products!$A$1:$A$49,0),MATCH(orders!K$1,products!$A$1:$G$1,0))</f>
        <v>1</v>
      </c>
      <c r="L223" s="7">
        <f>INDEX(products!$A$1:$G$49,MATCH(orders!$D223,products!$A$1:$A$49,0),MATCH(orders!L$1,products!$A$1:$G$1,0))</f>
        <v>12.95</v>
      </c>
      <c r="M223" s="7">
        <f t="shared" si="3"/>
        <v>77.699999999999989</v>
      </c>
      <c r="N223" s="4" t="str" cm="1">
        <f t="array" ref="N223">_xlfn.IFS(I223="Rob","Robusta",I223="Exc","Excelsa",I223="Ara","Arabica",I223="Lib","Liberica")</f>
        <v>Arabica</v>
      </c>
      <c r="O223" s="4" t="str" cm="1">
        <f t="array" ref="O223">_xlfn.IFS(J223="M","Medium",J223="L","Light",J223="D","Dark")</f>
        <v>Light</v>
      </c>
      <c r="P223" s="4" t="str">
        <f>_xlfn.XLOOKUP(CoffeeOrderstable[[#This Row],[Customer ID]],customers!$A$1:$A$1001,customers!$I$1:$I$1001,,0)</f>
        <v>Yes</v>
      </c>
    </row>
    <row r="224" spans="1:16" x14ac:dyDescent="0.3">
      <c r="A224" s="3" t="s">
        <v>1742</v>
      </c>
      <c r="B224" s="5">
        <v>44090</v>
      </c>
      <c r="C224" s="3" t="s">
        <v>1743</v>
      </c>
      <c r="D224" s="4" t="s">
        <v>6169</v>
      </c>
      <c r="E224" s="3">
        <v>3</v>
      </c>
      <c r="F224" s="3" t="str">
        <f>_xlfn.XLOOKUP(C224,customers!$A$1:$A$1001,customers!$B$1:$B$1001,,0)</f>
        <v>Waneta Edinborough</v>
      </c>
      <c r="G224" s="3" t="str">
        <f>IF(_xlfn.XLOOKUP(C224,customers!$A$1:$A$1001,customers!$C$1:$C$1001,,0)=0,"", _xlfn.XLOOKUP(C224,customers!$A$1:$A$1001,customers!$C$1:$C$1001,,0))</f>
        <v>wedinborough66@github.io</v>
      </c>
      <c r="H224" s="3" t="str">
        <f>_xlfn.XLOOKUP(C224,customers!$A$1:$A$1001,customers!$G$1:$G$1001,,0)</f>
        <v>United States</v>
      </c>
      <c r="I224" s="4" t="str">
        <f>INDEX(products!$A$1:$G$49,MATCH(orders!$D224,products!$A$1:$A$49,0),MATCH(orders!I$1,products!$A$1:$G$1,0))</f>
        <v>Lib</v>
      </c>
      <c r="J224" s="4" t="str">
        <f>INDEX(products!$A$1:$G$49,MATCH(orders!$D224,products!$A$1:$A$49,0),MATCH(orders!J$1,products!$A$1:$G$1,0))</f>
        <v>D</v>
      </c>
      <c r="K224" s="6">
        <f>INDEX(products!$A$1:$G$49,MATCH(orders!$D224,products!$A$1:$A$49,0),MATCH(orders!K$1,products!$A$1:$G$1,0))</f>
        <v>0.5</v>
      </c>
      <c r="L224" s="7">
        <f>INDEX(products!$A$1:$G$49,MATCH(orders!$D224,products!$A$1:$A$49,0),MATCH(orders!L$1,products!$A$1:$G$1,0))</f>
        <v>7.77</v>
      </c>
      <c r="M224" s="7">
        <f t="shared" si="3"/>
        <v>23.31</v>
      </c>
      <c r="N224" s="4" t="str" cm="1">
        <f t="array" ref="N224">_xlfn.IFS(I224="Rob","Robusta",I224="Exc","Excelsa",I224="Ara","Arabica",I224="Lib","Liberica")</f>
        <v>Liberica</v>
      </c>
      <c r="O224" s="4" t="str" cm="1">
        <f t="array" ref="O224">_xlfn.IFS(J224="M","Medium",J224="L","Light",J224="D","Dark")</f>
        <v>Dark</v>
      </c>
      <c r="P224" s="4" t="str">
        <f>_xlfn.XLOOKUP(CoffeeOrderstable[[#This Row],[Customer ID]],customers!$A$1:$A$1001,customers!$I$1:$I$1001,,0)</f>
        <v>No</v>
      </c>
    </row>
    <row r="225" spans="1:16" x14ac:dyDescent="0.3">
      <c r="A225" s="3" t="s">
        <v>1748</v>
      </c>
      <c r="B225" s="5">
        <v>44109</v>
      </c>
      <c r="C225" s="3" t="s">
        <v>1749</v>
      </c>
      <c r="D225" s="4" t="s">
        <v>6171</v>
      </c>
      <c r="E225" s="3">
        <v>4</v>
      </c>
      <c r="F225" s="3" t="str">
        <f>_xlfn.XLOOKUP(C225,customers!$A$1:$A$1001,customers!$B$1:$B$1001,,0)</f>
        <v>Bobbe Piggott</v>
      </c>
      <c r="G225" s="3" t="str">
        <f>IF(_xlfn.XLOOKUP(C225,customers!$A$1:$A$1001,customers!$C$1:$C$1001,,0)=0,"", _xlfn.XLOOKUP(C225,customers!$A$1:$A$1001,customers!$C$1:$C$1001,,0))</f>
        <v/>
      </c>
      <c r="H225" s="3" t="str">
        <f>_xlfn.XLOOKUP(C225,customers!$A$1:$A$1001,customers!$G$1:$G$1001,,0)</f>
        <v>United States</v>
      </c>
      <c r="I225" s="4" t="str">
        <f>INDEX(products!$A$1:$G$49,MATCH(orders!$D225,products!$A$1:$A$49,0),MATCH(orders!I$1,products!$A$1:$G$1,0))</f>
        <v>Exc</v>
      </c>
      <c r="J225" s="4" t="str">
        <f>INDEX(products!$A$1:$G$49,MATCH(orders!$D225,products!$A$1:$A$49,0),MATCH(orders!J$1,products!$A$1:$G$1,0))</f>
        <v>L</v>
      </c>
      <c r="K225" s="6">
        <f>INDEX(products!$A$1:$G$49,MATCH(orders!$D225,products!$A$1:$A$49,0),MATCH(orders!K$1,products!$A$1:$G$1,0))</f>
        <v>1</v>
      </c>
      <c r="L225" s="7">
        <f>INDEX(products!$A$1:$G$49,MATCH(orders!$D225,products!$A$1:$A$49,0),MATCH(orders!L$1,products!$A$1:$G$1,0))</f>
        <v>14.85</v>
      </c>
      <c r="M225" s="7">
        <f t="shared" si="3"/>
        <v>59.4</v>
      </c>
      <c r="N225" s="4" t="str" cm="1">
        <f t="array" ref="N225">_xlfn.IFS(I225="Rob","Robusta",I225="Exc","Excelsa",I225="Ara","Arabica",I225="Lib","Liberica")</f>
        <v>Excelsa</v>
      </c>
      <c r="O225" s="4" t="str" cm="1">
        <f t="array" ref="O225">_xlfn.IFS(J225="M","Medium",J225="L","Light",J225="D","Dark")</f>
        <v>Light</v>
      </c>
      <c r="P225" s="4" t="str">
        <f>_xlfn.XLOOKUP(CoffeeOrderstable[[#This Row],[Customer ID]],customers!$A$1:$A$1001,customers!$I$1:$I$1001,,0)</f>
        <v>Yes</v>
      </c>
    </row>
    <row r="226" spans="1:16" x14ac:dyDescent="0.3">
      <c r="A226" s="3" t="s">
        <v>1753</v>
      </c>
      <c r="B226" s="5">
        <v>43836</v>
      </c>
      <c r="C226" s="3" t="s">
        <v>1754</v>
      </c>
      <c r="D226" s="4" t="s">
        <v>6165</v>
      </c>
      <c r="E226" s="3">
        <v>4</v>
      </c>
      <c r="F226" s="3" t="str">
        <f>_xlfn.XLOOKUP(C226,customers!$A$1:$A$1001,customers!$B$1:$B$1001,,0)</f>
        <v>Ketty Bromehead</v>
      </c>
      <c r="G226" s="3" t="str">
        <f>IF(_xlfn.XLOOKUP(C226,customers!$A$1:$A$1001,customers!$C$1:$C$1001,,0)=0,"", _xlfn.XLOOKUP(C226,customers!$A$1:$A$1001,customers!$C$1:$C$1001,,0))</f>
        <v>kbromehead68@un.org</v>
      </c>
      <c r="H226" s="3" t="str">
        <f>_xlfn.XLOOKUP(C226,customers!$A$1:$A$1001,customers!$G$1:$G$1001,,0)</f>
        <v>United States</v>
      </c>
      <c r="I226" s="4" t="str">
        <f>INDEX(products!$A$1:$G$49,MATCH(orders!$D226,products!$A$1:$A$49,0),MATCH(orders!I$1,products!$A$1:$G$1,0))</f>
        <v>Lib</v>
      </c>
      <c r="J226" s="4" t="str">
        <f>INDEX(products!$A$1:$G$49,MATCH(orders!$D226,products!$A$1:$A$49,0),MATCH(orders!J$1,products!$A$1:$G$1,0))</f>
        <v>D</v>
      </c>
      <c r="K226" s="6">
        <f>INDEX(products!$A$1:$G$49,MATCH(orders!$D226,products!$A$1:$A$49,0),MATCH(orders!K$1,products!$A$1:$G$1,0))</f>
        <v>2.5</v>
      </c>
      <c r="L226" s="7">
        <f>INDEX(products!$A$1:$G$49,MATCH(orders!$D226,products!$A$1:$A$49,0),MATCH(orders!L$1,products!$A$1:$G$1,0))</f>
        <v>29.784999999999997</v>
      </c>
      <c r="M226" s="7">
        <f t="shared" si="3"/>
        <v>119.13999999999999</v>
      </c>
      <c r="N226" s="4" t="str" cm="1">
        <f t="array" ref="N226">_xlfn.IFS(I226="Rob","Robusta",I226="Exc","Excelsa",I226="Ara","Arabica",I226="Lib","Liberica")</f>
        <v>Liberica</v>
      </c>
      <c r="O226" s="4" t="str" cm="1">
        <f t="array" ref="O226">_xlfn.IFS(J226="M","Medium",J226="L","Light",J226="D","Dark")</f>
        <v>Dark</v>
      </c>
      <c r="P226" s="4" t="str">
        <f>_xlfn.XLOOKUP(CoffeeOrderstable[[#This Row],[Customer ID]],customers!$A$1:$A$1001,customers!$I$1:$I$1001,,0)</f>
        <v>Yes</v>
      </c>
    </row>
    <row r="227" spans="1:16" x14ac:dyDescent="0.3">
      <c r="A227" s="3" t="s">
        <v>1759</v>
      </c>
      <c r="B227" s="5">
        <v>44337</v>
      </c>
      <c r="C227" s="3" t="s">
        <v>1760</v>
      </c>
      <c r="D227" s="4" t="s">
        <v>6178</v>
      </c>
      <c r="E227" s="3">
        <v>4</v>
      </c>
      <c r="F227" s="3" t="str">
        <f>_xlfn.XLOOKUP(C227,customers!$A$1:$A$1001,customers!$B$1:$B$1001,,0)</f>
        <v>Elsbeth Westerman</v>
      </c>
      <c r="G227" s="3" t="str">
        <f>IF(_xlfn.XLOOKUP(C227,customers!$A$1:$A$1001,customers!$C$1:$C$1001,,0)=0,"", _xlfn.XLOOKUP(C227,customers!$A$1:$A$1001,customers!$C$1:$C$1001,,0))</f>
        <v>ewesterman69@si.edu</v>
      </c>
      <c r="H227" s="3" t="str">
        <f>_xlfn.XLOOKUP(C227,customers!$A$1:$A$1001,customers!$G$1:$G$1001,,0)</f>
        <v>Ireland</v>
      </c>
      <c r="I227" s="4" t="str">
        <f>INDEX(products!$A$1:$G$49,MATCH(orders!$D227,products!$A$1:$A$49,0),MATCH(orders!I$1,products!$A$1:$G$1,0))</f>
        <v>Rob</v>
      </c>
      <c r="J227" s="4" t="str">
        <f>INDEX(products!$A$1:$G$49,MATCH(orders!$D227,products!$A$1:$A$49,0),MATCH(orders!J$1,products!$A$1:$G$1,0))</f>
        <v>L</v>
      </c>
      <c r="K227" s="6">
        <f>INDEX(products!$A$1:$G$49,MATCH(orders!$D227,products!$A$1:$A$49,0),MATCH(orders!K$1,products!$A$1:$G$1,0))</f>
        <v>0.2</v>
      </c>
      <c r="L227" s="7">
        <f>INDEX(products!$A$1:$G$49,MATCH(orders!$D227,products!$A$1:$A$49,0),MATCH(orders!L$1,products!$A$1:$G$1,0))</f>
        <v>3.5849999999999995</v>
      </c>
      <c r="M227" s="7">
        <f t="shared" si="3"/>
        <v>14.339999999999998</v>
      </c>
      <c r="N227" s="4" t="str" cm="1">
        <f t="array" ref="N227">_xlfn.IFS(I227="Rob","Robusta",I227="Exc","Excelsa",I227="Ara","Arabica",I227="Lib","Liberica")</f>
        <v>Robusta</v>
      </c>
      <c r="O227" s="4" t="str" cm="1">
        <f t="array" ref="O227">_xlfn.IFS(J227="M","Medium",J227="L","Light",J227="D","Dark")</f>
        <v>Light</v>
      </c>
      <c r="P227" s="4" t="str">
        <f>_xlfn.XLOOKUP(CoffeeOrderstable[[#This Row],[Customer ID]],customers!$A$1:$A$1001,customers!$I$1:$I$1001,,0)</f>
        <v>No</v>
      </c>
    </row>
    <row r="228" spans="1:16" x14ac:dyDescent="0.3">
      <c r="A228" s="3" t="s">
        <v>1765</v>
      </c>
      <c r="B228" s="5">
        <v>43887</v>
      </c>
      <c r="C228" s="3" t="s">
        <v>1766</v>
      </c>
      <c r="D228" s="4" t="s">
        <v>6175</v>
      </c>
      <c r="E228" s="3">
        <v>5</v>
      </c>
      <c r="F228" s="3" t="str">
        <f>_xlfn.XLOOKUP(C228,customers!$A$1:$A$1001,customers!$B$1:$B$1001,,0)</f>
        <v>Anabelle Hutchens</v>
      </c>
      <c r="G228" s="3" t="str">
        <f>IF(_xlfn.XLOOKUP(C228,customers!$A$1:$A$1001,customers!$C$1:$C$1001,,0)=0,"", _xlfn.XLOOKUP(C228,customers!$A$1:$A$1001,customers!$C$1:$C$1001,,0))</f>
        <v>ahutchens6a@amazonaws.com</v>
      </c>
      <c r="H228" s="3" t="str">
        <f>_xlfn.XLOOKUP(C228,customers!$A$1:$A$1001,customers!$G$1:$G$1001,,0)</f>
        <v>United States</v>
      </c>
      <c r="I228" s="4" t="str">
        <f>INDEX(products!$A$1:$G$49,MATCH(orders!$D228,products!$A$1:$A$49,0),MATCH(orders!I$1,products!$A$1:$G$1,0))</f>
        <v>Ara</v>
      </c>
      <c r="J228" s="4" t="str">
        <f>INDEX(products!$A$1:$G$49,MATCH(orders!$D228,products!$A$1:$A$49,0),MATCH(orders!J$1,products!$A$1:$G$1,0))</f>
        <v>M</v>
      </c>
      <c r="K228" s="6">
        <f>INDEX(products!$A$1:$G$49,MATCH(orders!$D228,products!$A$1:$A$49,0),MATCH(orders!K$1,products!$A$1:$G$1,0))</f>
        <v>2.5</v>
      </c>
      <c r="L228" s="7">
        <f>INDEX(products!$A$1:$G$49,MATCH(orders!$D228,products!$A$1:$A$49,0),MATCH(orders!L$1,products!$A$1:$G$1,0))</f>
        <v>25.874999999999996</v>
      </c>
      <c r="M228" s="7">
        <f t="shared" si="3"/>
        <v>129.37499999999997</v>
      </c>
      <c r="N228" s="4" t="str" cm="1">
        <f t="array" ref="N228">_xlfn.IFS(I228="Rob","Robusta",I228="Exc","Excelsa",I228="Ara","Arabica",I228="Lib","Liberica")</f>
        <v>Arabica</v>
      </c>
      <c r="O228" s="4" t="str" cm="1">
        <f t="array" ref="O228">_xlfn.IFS(J228="M","Medium",J228="L","Light",J228="D","Dark")</f>
        <v>Medium</v>
      </c>
      <c r="P228" s="4" t="str">
        <f>_xlfn.XLOOKUP(CoffeeOrderstable[[#This Row],[Customer ID]],customers!$A$1:$A$1001,customers!$I$1:$I$1001,,0)</f>
        <v>No</v>
      </c>
    </row>
    <row r="229" spans="1:16" x14ac:dyDescent="0.3">
      <c r="A229" s="3" t="s">
        <v>1771</v>
      </c>
      <c r="B229" s="5">
        <v>43880</v>
      </c>
      <c r="C229" s="3" t="s">
        <v>1772</v>
      </c>
      <c r="D229" s="4" t="s">
        <v>6163</v>
      </c>
      <c r="E229" s="3">
        <v>6</v>
      </c>
      <c r="F229" s="3" t="str">
        <f>_xlfn.XLOOKUP(C229,customers!$A$1:$A$1001,customers!$B$1:$B$1001,,0)</f>
        <v>Noak Wyvill</v>
      </c>
      <c r="G229" s="3" t="str">
        <f>IF(_xlfn.XLOOKUP(C229,customers!$A$1:$A$1001,customers!$C$1:$C$1001,,0)=0,"", _xlfn.XLOOKUP(C229,customers!$A$1:$A$1001,customers!$C$1:$C$1001,,0))</f>
        <v>nwyvill6b@naver.com</v>
      </c>
      <c r="H229" s="3" t="str">
        <f>_xlfn.XLOOKUP(C229,customers!$A$1:$A$1001,customers!$G$1:$G$1001,,0)</f>
        <v>United Kingdom</v>
      </c>
      <c r="I229" s="4" t="str">
        <f>INDEX(products!$A$1:$G$49,MATCH(orders!$D229,products!$A$1:$A$49,0),MATCH(orders!I$1,products!$A$1:$G$1,0))</f>
        <v>Rob</v>
      </c>
      <c r="J229" s="4" t="str">
        <f>INDEX(products!$A$1:$G$49,MATCH(orders!$D229,products!$A$1:$A$49,0),MATCH(orders!J$1,products!$A$1:$G$1,0))</f>
        <v>D</v>
      </c>
      <c r="K229" s="6">
        <f>INDEX(products!$A$1:$G$49,MATCH(orders!$D229,products!$A$1:$A$49,0),MATCH(orders!K$1,products!$A$1:$G$1,0))</f>
        <v>0.2</v>
      </c>
      <c r="L229" s="7">
        <f>INDEX(products!$A$1:$G$49,MATCH(orders!$D229,products!$A$1:$A$49,0),MATCH(orders!L$1,products!$A$1:$G$1,0))</f>
        <v>2.6849999999999996</v>
      </c>
      <c r="M229" s="7">
        <f t="shared" si="3"/>
        <v>16.11</v>
      </c>
      <c r="N229" s="4" t="str" cm="1">
        <f t="array" ref="N229">_xlfn.IFS(I229="Rob","Robusta",I229="Exc","Excelsa",I229="Ara","Arabica",I229="Lib","Liberica")</f>
        <v>Robusta</v>
      </c>
      <c r="O229" s="4" t="str" cm="1">
        <f t="array" ref="O229">_xlfn.IFS(J229="M","Medium",J229="L","Light",J229="D","Dark")</f>
        <v>Dark</v>
      </c>
      <c r="P229" s="4" t="str">
        <f>_xlfn.XLOOKUP(CoffeeOrderstable[[#This Row],[Customer ID]],customers!$A$1:$A$1001,customers!$I$1:$I$1001,,0)</f>
        <v>Yes</v>
      </c>
    </row>
    <row r="230" spans="1:16" x14ac:dyDescent="0.3">
      <c r="A230" s="3" t="s">
        <v>1777</v>
      </c>
      <c r="B230" s="5">
        <v>44376</v>
      </c>
      <c r="C230" s="3" t="s">
        <v>1778</v>
      </c>
      <c r="D230" s="4" t="s">
        <v>6178</v>
      </c>
      <c r="E230" s="3">
        <v>5</v>
      </c>
      <c r="F230" s="3" t="str">
        <f>_xlfn.XLOOKUP(C230,customers!$A$1:$A$1001,customers!$B$1:$B$1001,,0)</f>
        <v>Beltran Mathon</v>
      </c>
      <c r="G230" s="3" t="str">
        <f>IF(_xlfn.XLOOKUP(C230,customers!$A$1:$A$1001,customers!$C$1:$C$1001,,0)=0,"", _xlfn.XLOOKUP(C230,customers!$A$1:$A$1001,customers!$C$1:$C$1001,,0))</f>
        <v>bmathon6c@barnesandnoble.com</v>
      </c>
      <c r="H230" s="3" t="str">
        <f>_xlfn.XLOOKUP(C230,customers!$A$1:$A$1001,customers!$G$1:$G$1001,,0)</f>
        <v>United States</v>
      </c>
      <c r="I230" s="4" t="str">
        <f>INDEX(products!$A$1:$G$49,MATCH(orders!$D230,products!$A$1:$A$49,0),MATCH(orders!I$1,products!$A$1:$G$1,0))</f>
        <v>Rob</v>
      </c>
      <c r="J230" s="4" t="str">
        <f>INDEX(products!$A$1:$G$49,MATCH(orders!$D230,products!$A$1:$A$49,0),MATCH(orders!J$1,products!$A$1:$G$1,0))</f>
        <v>L</v>
      </c>
      <c r="K230" s="6">
        <f>INDEX(products!$A$1:$G$49,MATCH(orders!$D230,products!$A$1:$A$49,0),MATCH(orders!K$1,products!$A$1:$G$1,0))</f>
        <v>0.2</v>
      </c>
      <c r="L230" s="7">
        <f>INDEX(products!$A$1:$G$49,MATCH(orders!$D230,products!$A$1:$A$49,0),MATCH(orders!L$1,products!$A$1:$G$1,0))</f>
        <v>3.5849999999999995</v>
      </c>
      <c r="M230" s="7">
        <f t="shared" si="3"/>
        <v>17.924999999999997</v>
      </c>
      <c r="N230" s="4" t="str" cm="1">
        <f t="array" ref="N230">_xlfn.IFS(I230="Rob","Robusta",I230="Exc","Excelsa",I230="Ara","Arabica",I230="Lib","Liberica")</f>
        <v>Robusta</v>
      </c>
      <c r="O230" s="4" t="str" cm="1">
        <f t="array" ref="O230">_xlfn.IFS(J230="M","Medium",J230="L","Light",J230="D","Dark")</f>
        <v>Light</v>
      </c>
      <c r="P230" s="4" t="str">
        <f>_xlfn.XLOOKUP(CoffeeOrderstable[[#This Row],[Customer ID]],customers!$A$1:$A$1001,customers!$I$1:$I$1001,,0)</f>
        <v>No</v>
      </c>
    </row>
    <row r="231" spans="1:16" x14ac:dyDescent="0.3">
      <c r="A231" s="3" t="s">
        <v>1783</v>
      </c>
      <c r="B231" s="5">
        <v>44282</v>
      </c>
      <c r="C231" s="3" t="s">
        <v>1784</v>
      </c>
      <c r="D231" s="4" t="s">
        <v>6159</v>
      </c>
      <c r="E231" s="3">
        <v>2</v>
      </c>
      <c r="F231" s="3" t="str">
        <f>_xlfn.XLOOKUP(C231,customers!$A$1:$A$1001,customers!$B$1:$B$1001,,0)</f>
        <v>Kristos Streight</v>
      </c>
      <c r="G231" s="3" t="str">
        <f>IF(_xlfn.XLOOKUP(C231,customers!$A$1:$A$1001,customers!$C$1:$C$1001,,0)=0,"", _xlfn.XLOOKUP(C231,customers!$A$1:$A$1001,customers!$C$1:$C$1001,,0))</f>
        <v>kstreight6d@about.com</v>
      </c>
      <c r="H231" s="3" t="str">
        <f>_xlfn.XLOOKUP(C231,customers!$A$1:$A$1001,customers!$G$1:$G$1001,,0)</f>
        <v>United States</v>
      </c>
      <c r="I231" s="4" t="str">
        <f>INDEX(products!$A$1:$G$49,MATCH(orders!$D231,products!$A$1:$A$49,0),MATCH(orders!I$1,products!$A$1:$G$1,0))</f>
        <v>Lib</v>
      </c>
      <c r="J231" s="4" t="str">
        <f>INDEX(products!$A$1:$G$49,MATCH(orders!$D231,products!$A$1:$A$49,0),MATCH(orders!J$1,products!$A$1:$G$1,0))</f>
        <v>M</v>
      </c>
      <c r="K231" s="6">
        <f>INDEX(products!$A$1:$G$49,MATCH(orders!$D231,products!$A$1:$A$49,0),MATCH(orders!K$1,products!$A$1:$G$1,0))</f>
        <v>0.2</v>
      </c>
      <c r="L231" s="7">
        <f>INDEX(products!$A$1:$G$49,MATCH(orders!$D231,products!$A$1:$A$49,0),MATCH(orders!L$1,products!$A$1:$G$1,0))</f>
        <v>4.3650000000000002</v>
      </c>
      <c r="M231" s="7">
        <f t="shared" si="3"/>
        <v>8.73</v>
      </c>
      <c r="N231" s="4" t="str" cm="1">
        <f t="array" ref="N231">_xlfn.IFS(I231="Rob","Robusta",I231="Exc","Excelsa",I231="Ara","Arabica",I231="Lib","Liberica")</f>
        <v>Liberica</v>
      </c>
      <c r="O231" s="4" t="str" cm="1">
        <f t="array" ref="O231">_xlfn.IFS(J231="M","Medium",J231="L","Light",J231="D","Dark")</f>
        <v>Medium</v>
      </c>
      <c r="P231" s="4" t="str">
        <f>_xlfn.XLOOKUP(CoffeeOrderstable[[#This Row],[Customer ID]],customers!$A$1:$A$1001,customers!$I$1:$I$1001,,0)</f>
        <v>No</v>
      </c>
    </row>
    <row r="232" spans="1:16" x14ac:dyDescent="0.3">
      <c r="A232" s="3" t="s">
        <v>1789</v>
      </c>
      <c r="B232" s="5">
        <v>44496</v>
      </c>
      <c r="C232" s="3" t="s">
        <v>1790</v>
      </c>
      <c r="D232" s="4" t="s">
        <v>6175</v>
      </c>
      <c r="E232" s="3">
        <v>2</v>
      </c>
      <c r="F232" s="3" t="str">
        <f>_xlfn.XLOOKUP(C232,customers!$A$1:$A$1001,customers!$B$1:$B$1001,,0)</f>
        <v>Portie Cutchie</v>
      </c>
      <c r="G232" s="3" t="str">
        <f>IF(_xlfn.XLOOKUP(C232,customers!$A$1:$A$1001,customers!$C$1:$C$1001,,0)=0,"", _xlfn.XLOOKUP(C232,customers!$A$1:$A$1001,customers!$C$1:$C$1001,,0))</f>
        <v>pcutchie6e@globo.com</v>
      </c>
      <c r="H232" s="3" t="str">
        <f>_xlfn.XLOOKUP(C232,customers!$A$1:$A$1001,customers!$G$1:$G$1001,,0)</f>
        <v>United States</v>
      </c>
      <c r="I232" s="4" t="str">
        <f>INDEX(products!$A$1:$G$49,MATCH(orders!$D232,products!$A$1:$A$49,0),MATCH(orders!I$1,products!$A$1:$G$1,0))</f>
        <v>Ara</v>
      </c>
      <c r="J232" s="4" t="str">
        <f>INDEX(products!$A$1:$G$49,MATCH(orders!$D232,products!$A$1:$A$49,0),MATCH(orders!J$1,products!$A$1:$G$1,0))</f>
        <v>M</v>
      </c>
      <c r="K232" s="6">
        <f>INDEX(products!$A$1:$G$49,MATCH(orders!$D232,products!$A$1:$A$49,0),MATCH(orders!K$1,products!$A$1:$G$1,0))</f>
        <v>2.5</v>
      </c>
      <c r="L232" s="7">
        <f>INDEX(products!$A$1:$G$49,MATCH(orders!$D232,products!$A$1:$A$49,0),MATCH(orders!L$1,products!$A$1:$G$1,0))</f>
        <v>25.874999999999996</v>
      </c>
      <c r="M232" s="7">
        <f t="shared" si="3"/>
        <v>51.749999999999993</v>
      </c>
      <c r="N232" s="4" t="str" cm="1">
        <f t="array" ref="N232">_xlfn.IFS(I232="Rob","Robusta",I232="Exc","Excelsa",I232="Ara","Arabica",I232="Lib","Liberica")</f>
        <v>Arabica</v>
      </c>
      <c r="O232" s="4" t="str" cm="1">
        <f t="array" ref="O232">_xlfn.IFS(J232="M","Medium",J232="L","Light",J232="D","Dark")</f>
        <v>Medium</v>
      </c>
      <c r="P232" s="4" t="str">
        <f>_xlfn.XLOOKUP(CoffeeOrderstable[[#This Row],[Customer ID]],customers!$A$1:$A$1001,customers!$I$1:$I$1001,,0)</f>
        <v>No</v>
      </c>
    </row>
    <row r="233" spans="1:16" x14ac:dyDescent="0.3">
      <c r="A233" s="3" t="s">
        <v>1795</v>
      </c>
      <c r="B233" s="5">
        <v>43628</v>
      </c>
      <c r="C233" s="3" t="s">
        <v>1796</v>
      </c>
      <c r="D233" s="4" t="s">
        <v>6159</v>
      </c>
      <c r="E233" s="3">
        <v>2</v>
      </c>
      <c r="F233" s="3" t="str">
        <f>_xlfn.XLOOKUP(C233,customers!$A$1:$A$1001,customers!$B$1:$B$1001,,0)</f>
        <v>Sinclare Edsell</v>
      </c>
      <c r="G233" s="3" t="str">
        <f>IF(_xlfn.XLOOKUP(C233,customers!$A$1:$A$1001,customers!$C$1:$C$1001,,0)=0,"", _xlfn.XLOOKUP(C233,customers!$A$1:$A$1001,customers!$C$1:$C$1001,,0))</f>
        <v/>
      </c>
      <c r="H233" s="3" t="str">
        <f>_xlfn.XLOOKUP(C233,customers!$A$1:$A$1001,customers!$G$1:$G$1001,,0)</f>
        <v>United States</v>
      </c>
      <c r="I233" s="4" t="str">
        <f>INDEX(products!$A$1:$G$49,MATCH(orders!$D233,products!$A$1:$A$49,0),MATCH(orders!I$1,products!$A$1:$G$1,0))</f>
        <v>Lib</v>
      </c>
      <c r="J233" s="4" t="str">
        <f>INDEX(products!$A$1:$G$49,MATCH(orders!$D233,products!$A$1:$A$49,0),MATCH(orders!J$1,products!$A$1:$G$1,0))</f>
        <v>M</v>
      </c>
      <c r="K233" s="6">
        <f>INDEX(products!$A$1:$G$49,MATCH(orders!$D233,products!$A$1:$A$49,0),MATCH(orders!K$1,products!$A$1:$G$1,0))</f>
        <v>0.2</v>
      </c>
      <c r="L233" s="7">
        <f>INDEX(products!$A$1:$G$49,MATCH(orders!$D233,products!$A$1:$A$49,0),MATCH(orders!L$1,products!$A$1:$G$1,0))</f>
        <v>4.3650000000000002</v>
      </c>
      <c r="M233" s="7">
        <f t="shared" si="3"/>
        <v>8.73</v>
      </c>
      <c r="N233" s="4" t="str" cm="1">
        <f t="array" ref="N233">_xlfn.IFS(I233="Rob","Robusta",I233="Exc","Excelsa",I233="Ara","Arabica",I233="Lib","Liberica")</f>
        <v>Liberica</v>
      </c>
      <c r="O233" s="4" t="str" cm="1">
        <f t="array" ref="O233">_xlfn.IFS(J233="M","Medium",J233="L","Light",J233="D","Dark")</f>
        <v>Medium</v>
      </c>
      <c r="P233" s="4" t="str">
        <f>_xlfn.XLOOKUP(CoffeeOrderstable[[#This Row],[Customer ID]],customers!$A$1:$A$1001,customers!$I$1:$I$1001,,0)</f>
        <v>Yes</v>
      </c>
    </row>
    <row r="234" spans="1:16" x14ac:dyDescent="0.3">
      <c r="A234" s="3" t="s">
        <v>1800</v>
      </c>
      <c r="B234" s="5">
        <v>44010</v>
      </c>
      <c r="C234" s="3" t="s">
        <v>1801</v>
      </c>
      <c r="D234" s="4" t="s">
        <v>6145</v>
      </c>
      <c r="E234" s="3">
        <v>5</v>
      </c>
      <c r="F234" s="3" t="str">
        <f>_xlfn.XLOOKUP(C234,customers!$A$1:$A$1001,customers!$B$1:$B$1001,,0)</f>
        <v>Conny Gheraldi</v>
      </c>
      <c r="G234" s="3" t="str">
        <f>IF(_xlfn.XLOOKUP(C234,customers!$A$1:$A$1001,customers!$C$1:$C$1001,,0)=0,"", _xlfn.XLOOKUP(C234,customers!$A$1:$A$1001,customers!$C$1:$C$1001,,0))</f>
        <v>cgheraldi6g@opera.com</v>
      </c>
      <c r="H234" s="3" t="str">
        <f>_xlfn.XLOOKUP(C234,customers!$A$1:$A$1001,customers!$G$1:$G$1001,,0)</f>
        <v>United Kingdom</v>
      </c>
      <c r="I234" s="4" t="str">
        <f>INDEX(products!$A$1:$G$49,MATCH(orders!$D234,products!$A$1:$A$49,0),MATCH(orders!I$1,products!$A$1:$G$1,0))</f>
        <v>Lib</v>
      </c>
      <c r="J234" s="4" t="str">
        <f>INDEX(products!$A$1:$G$49,MATCH(orders!$D234,products!$A$1:$A$49,0),MATCH(orders!J$1,products!$A$1:$G$1,0))</f>
        <v>L</v>
      </c>
      <c r="K234" s="6">
        <f>INDEX(products!$A$1:$G$49,MATCH(orders!$D234,products!$A$1:$A$49,0),MATCH(orders!K$1,products!$A$1:$G$1,0))</f>
        <v>0.2</v>
      </c>
      <c r="L234" s="7">
        <f>INDEX(products!$A$1:$G$49,MATCH(orders!$D234,products!$A$1:$A$49,0),MATCH(orders!L$1,products!$A$1:$G$1,0))</f>
        <v>4.7549999999999999</v>
      </c>
      <c r="M234" s="7">
        <f t="shared" si="3"/>
        <v>23.774999999999999</v>
      </c>
      <c r="N234" s="4" t="str" cm="1">
        <f t="array" ref="N234">_xlfn.IFS(I234="Rob","Robusta",I234="Exc","Excelsa",I234="Ara","Arabica",I234="Lib","Liberica")</f>
        <v>Liberica</v>
      </c>
      <c r="O234" s="4" t="str" cm="1">
        <f t="array" ref="O234">_xlfn.IFS(J234="M","Medium",J234="L","Light",J234="D","Dark")</f>
        <v>Light</v>
      </c>
      <c r="P234" s="4" t="str">
        <f>_xlfn.XLOOKUP(CoffeeOrderstable[[#This Row],[Customer ID]],customers!$A$1:$A$1001,customers!$I$1:$I$1001,,0)</f>
        <v>No</v>
      </c>
    </row>
    <row r="235" spans="1:16" x14ac:dyDescent="0.3">
      <c r="A235" s="3" t="s">
        <v>1806</v>
      </c>
      <c r="B235" s="5">
        <v>44278</v>
      </c>
      <c r="C235" s="3" t="s">
        <v>1807</v>
      </c>
      <c r="D235" s="4" t="s">
        <v>6156</v>
      </c>
      <c r="E235" s="3">
        <v>5</v>
      </c>
      <c r="F235" s="3" t="str">
        <f>_xlfn.XLOOKUP(C235,customers!$A$1:$A$1001,customers!$B$1:$B$1001,,0)</f>
        <v>Beryle Kenwell</v>
      </c>
      <c r="G235" s="3" t="str">
        <f>IF(_xlfn.XLOOKUP(C235,customers!$A$1:$A$1001,customers!$C$1:$C$1001,,0)=0,"", _xlfn.XLOOKUP(C235,customers!$A$1:$A$1001,customers!$C$1:$C$1001,,0))</f>
        <v>bkenwell6h@over-blog.com</v>
      </c>
      <c r="H235" s="3" t="str">
        <f>_xlfn.XLOOKUP(C235,customers!$A$1:$A$1001,customers!$G$1:$G$1001,,0)</f>
        <v>United States</v>
      </c>
      <c r="I235" s="4" t="str">
        <f>INDEX(products!$A$1:$G$49,MATCH(orders!$D235,products!$A$1:$A$49,0),MATCH(orders!I$1,products!$A$1:$G$1,0))</f>
        <v>Exc</v>
      </c>
      <c r="J235" s="4" t="str">
        <f>INDEX(products!$A$1:$G$49,MATCH(orders!$D235,products!$A$1:$A$49,0),MATCH(orders!J$1,products!$A$1:$G$1,0))</f>
        <v>M</v>
      </c>
      <c r="K235" s="6">
        <f>INDEX(products!$A$1:$G$49,MATCH(orders!$D235,products!$A$1:$A$49,0),MATCH(orders!K$1,products!$A$1:$G$1,0))</f>
        <v>0.2</v>
      </c>
      <c r="L235" s="7">
        <f>INDEX(products!$A$1:$G$49,MATCH(orders!$D235,products!$A$1:$A$49,0),MATCH(orders!L$1,products!$A$1:$G$1,0))</f>
        <v>4.125</v>
      </c>
      <c r="M235" s="7">
        <f t="shared" si="3"/>
        <v>20.625</v>
      </c>
      <c r="N235" s="4" t="str" cm="1">
        <f t="array" ref="N235">_xlfn.IFS(I235="Rob","Robusta",I235="Exc","Excelsa",I235="Ara","Arabica",I235="Lib","Liberica")</f>
        <v>Excelsa</v>
      </c>
      <c r="O235" s="4" t="str" cm="1">
        <f t="array" ref="O235">_xlfn.IFS(J235="M","Medium",J235="L","Light",J235="D","Dark")</f>
        <v>Medium</v>
      </c>
      <c r="P235" s="4" t="str">
        <f>_xlfn.XLOOKUP(CoffeeOrderstable[[#This Row],[Customer ID]],customers!$A$1:$A$1001,customers!$I$1:$I$1001,,0)</f>
        <v>No</v>
      </c>
    </row>
    <row r="236" spans="1:16" x14ac:dyDescent="0.3">
      <c r="A236" s="3" t="s">
        <v>1812</v>
      </c>
      <c r="B236" s="5">
        <v>44602</v>
      </c>
      <c r="C236" s="3" t="s">
        <v>1813</v>
      </c>
      <c r="D236" s="4" t="s">
        <v>6164</v>
      </c>
      <c r="E236" s="3">
        <v>1</v>
      </c>
      <c r="F236" s="3" t="str">
        <f>_xlfn.XLOOKUP(C236,customers!$A$1:$A$1001,customers!$B$1:$B$1001,,0)</f>
        <v>Tomas Sutty</v>
      </c>
      <c r="G236" s="3" t="str">
        <f>IF(_xlfn.XLOOKUP(C236,customers!$A$1:$A$1001,customers!$C$1:$C$1001,,0)=0,"", _xlfn.XLOOKUP(C236,customers!$A$1:$A$1001,customers!$C$1:$C$1001,,0))</f>
        <v>tsutty6i@google.es</v>
      </c>
      <c r="H236" s="3" t="str">
        <f>_xlfn.XLOOKUP(C236,customers!$A$1:$A$1001,customers!$G$1:$G$1001,,0)</f>
        <v>United States</v>
      </c>
      <c r="I236" s="4" t="str">
        <f>INDEX(products!$A$1:$G$49,MATCH(orders!$D236,products!$A$1:$A$49,0),MATCH(orders!I$1,products!$A$1:$G$1,0))</f>
        <v>Lib</v>
      </c>
      <c r="J236" s="4" t="str">
        <f>INDEX(products!$A$1:$G$49,MATCH(orders!$D236,products!$A$1:$A$49,0),MATCH(orders!J$1,products!$A$1:$G$1,0))</f>
        <v>L</v>
      </c>
      <c r="K236" s="6">
        <f>INDEX(products!$A$1:$G$49,MATCH(orders!$D236,products!$A$1:$A$49,0),MATCH(orders!K$1,products!$A$1:$G$1,0))</f>
        <v>2.5</v>
      </c>
      <c r="L236" s="7">
        <f>INDEX(products!$A$1:$G$49,MATCH(orders!$D236,products!$A$1:$A$49,0),MATCH(orders!L$1,products!$A$1:$G$1,0))</f>
        <v>36.454999999999998</v>
      </c>
      <c r="M236" s="7">
        <f t="shared" si="3"/>
        <v>36.454999999999998</v>
      </c>
      <c r="N236" s="4" t="str" cm="1">
        <f t="array" ref="N236">_xlfn.IFS(I236="Rob","Robusta",I236="Exc","Excelsa",I236="Ara","Arabica",I236="Lib","Liberica")</f>
        <v>Liberica</v>
      </c>
      <c r="O236" s="4" t="str" cm="1">
        <f t="array" ref="O236">_xlfn.IFS(J236="M","Medium",J236="L","Light",J236="D","Dark")</f>
        <v>Light</v>
      </c>
      <c r="P236" s="4" t="str">
        <f>_xlfn.XLOOKUP(CoffeeOrderstable[[#This Row],[Customer ID]],customers!$A$1:$A$1001,customers!$I$1:$I$1001,,0)</f>
        <v>No</v>
      </c>
    </row>
    <row r="237" spans="1:16" x14ac:dyDescent="0.3">
      <c r="A237" s="3" t="s">
        <v>1818</v>
      </c>
      <c r="B237" s="5">
        <v>43571</v>
      </c>
      <c r="C237" s="3" t="s">
        <v>1819</v>
      </c>
      <c r="D237" s="4" t="s">
        <v>6164</v>
      </c>
      <c r="E237" s="3">
        <v>5</v>
      </c>
      <c r="F237" s="3" t="str">
        <f>_xlfn.XLOOKUP(C237,customers!$A$1:$A$1001,customers!$B$1:$B$1001,,0)</f>
        <v>Samuele Ales0</v>
      </c>
      <c r="G237" s="3" t="str">
        <f>IF(_xlfn.XLOOKUP(C237,customers!$A$1:$A$1001,customers!$C$1:$C$1001,,0)=0,"", _xlfn.XLOOKUP(C237,customers!$A$1:$A$1001,customers!$C$1:$C$1001,,0))</f>
        <v/>
      </c>
      <c r="H237" s="3" t="str">
        <f>_xlfn.XLOOKUP(C237,customers!$A$1:$A$1001,customers!$G$1:$G$1001,,0)</f>
        <v>Ireland</v>
      </c>
      <c r="I237" s="4" t="str">
        <f>INDEX(products!$A$1:$G$49,MATCH(orders!$D237,products!$A$1:$A$49,0),MATCH(orders!I$1,products!$A$1:$G$1,0))</f>
        <v>Lib</v>
      </c>
      <c r="J237" s="4" t="str">
        <f>INDEX(products!$A$1:$G$49,MATCH(orders!$D237,products!$A$1:$A$49,0),MATCH(orders!J$1,products!$A$1:$G$1,0))</f>
        <v>L</v>
      </c>
      <c r="K237" s="6">
        <f>INDEX(products!$A$1:$G$49,MATCH(orders!$D237,products!$A$1:$A$49,0),MATCH(orders!K$1,products!$A$1:$G$1,0))</f>
        <v>2.5</v>
      </c>
      <c r="L237" s="7">
        <f>INDEX(products!$A$1:$G$49,MATCH(orders!$D237,products!$A$1:$A$49,0),MATCH(orders!L$1,products!$A$1:$G$1,0))</f>
        <v>36.454999999999998</v>
      </c>
      <c r="M237" s="7">
        <f t="shared" si="3"/>
        <v>182.27499999999998</v>
      </c>
      <c r="N237" s="4" t="str" cm="1">
        <f t="array" ref="N237">_xlfn.IFS(I237="Rob","Robusta",I237="Exc","Excelsa",I237="Ara","Arabica",I237="Lib","Liberica")</f>
        <v>Liberica</v>
      </c>
      <c r="O237" s="4" t="str" cm="1">
        <f t="array" ref="O237">_xlfn.IFS(J237="M","Medium",J237="L","Light",J237="D","Dark")</f>
        <v>Light</v>
      </c>
      <c r="P237" s="4" t="str">
        <f>_xlfn.XLOOKUP(CoffeeOrderstable[[#This Row],[Customer ID]],customers!$A$1:$A$1001,customers!$I$1:$I$1001,,0)</f>
        <v>No</v>
      </c>
    </row>
    <row r="238" spans="1:16" x14ac:dyDescent="0.3">
      <c r="A238" s="3" t="s">
        <v>1822</v>
      </c>
      <c r="B238" s="5">
        <v>43873</v>
      </c>
      <c r="C238" s="3" t="s">
        <v>1823</v>
      </c>
      <c r="D238" s="4" t="s">
        <v>6165</v>
      </c>
      <c r="E238" s="3">
        <v>3</v>
      </c>
      <c r="F238" s="3" t="str">
        <f>_xlfn.XLOOKUP(C238,customers!$A$1:$A$1001,customers!$B$1:$B$1001,,0)</f>
        <v>Carlie Harce</v>
      </c>
      <c r="G238" s="3" t="str">
        <f>IF(_xlfn.XLOOKUP(C238,customers!$A$1:$A$1001,customers!$C$1:$C$1001,,0)=0,"", _xlfn.XLOOKUP(C238,customers!$A$1:$A$1001,customers!$C$1:$C$1001,,0))</f>
        <v>charce6k@cafepress.com</v>
      </c>
      <c r="H238" s="3" t="str">
        <f>_xlfn.XLOOKUP(C238,customers!$A$1:$A$1001,customers!$G$1:$G$1001,,0)</f>
        <v>Ireland</v>
      </c>
      <c r="I238" s="4" t="str">
        <f>INDEX(products!$A$1:$G$49,MATCH(orders!$D238,products!$A$1:$A$49,0),MATCH(orders!I$1,products!$A$1:$G$1,0))</f>
        <v>Lib</v>
      </c>
      <c r="J238" s="4" t="str">
        <f>INDEX(products!$A$1:$G$49,MATCH(orders!$D238,products!$A$1:$A$49,0),MATCH(orders!J$1,products!$A$1:$G$1,0))</f>
        <v>D</v>
      </c>
      <c r="K238" s="6">
        <f>INDEX(products!$A$1:$G$49,MATCH(orders!$D238,products!$A$1:$A$49,0),MATCH(orders!K$1,products!$A$1:$G$1,0))</f>
        <v>2.5</v>
      </c>
      <c r="L238" s="7">
        <f>INDEX(products!$A$1:$G$49,MATCH(orders!$D238,products!$A$1:$A$49,0),MATCH(orders!L$1,products!$A$1:$G$1,0))</f>
        <v>29.784999999999997</v>
      </c>
      <c r="M238" s="7">
        <f t="shared" si="3"/>
        <v>89.35499999999999</v>
      </c>
      <c r="N238" s="4" t="str" cm="1">
        <f t="array" ref="N238">_xlfn.IFS(I238="Rob","Robusta",I238="Exc","Excelsa",I238="Ara","Arabica",I238="Lib","Liberica")</f>
        <v>Liberica</v>
      </c>
      <c r="O238" s="4" t="str" cm="1">
        <f t="array" ref="O238">_xlfn.IFS(J238="M","Medium",J238="L","Light",J238="D","Dark")</f>
        <v>Dark</v>
      </c>
      <c r="P238" s="4" t="str">
        <f>_xlfn.XLOOKUP(CoffeeOrderstable[[#This Row],[Customer ID]],customers!$A$1:$A$1001,customers!$I$1:$I$1001,,0)</f>
        <v>No</v>
      </c>
    </row>
    <row r="239" spans="1:16" x14ac:dyDescent="0.3">
      <c r="A239" s="3" t="s">
        <v>1828</v>
      </c>
      <c r="B239" s="5">
        <v>44563</v>
      </c>
      <c r="C239" s="3" t="s">
        <v>1829</v>
      </c>
      <c r="D239" s="4" t="s">
        <v>6178</v>
      </c>
      <c r="E239" s="3">
        <v>1</v>
      </c>
      <c r="F239" s="3" t="str">
        <f>_xlfn.XLOOKUP(C239,customers!$A$1:$A$1001,customers!$B$1:$B$1001,,0)</f>
        <v>Craggy Bril</v>
      </c>
      <c r="G239" s="3" t="str">
        <f>IF(_xlfn.XLOOKUP(C239,customers!$A$1:$A$1001,customers!$C$1:$C$1001,,0)=0,"", _xlfn.XLOOKUP(C239,customers!$A$1:$A$1001,customers!$C$1:$C$1001,,0))</f>
        <v/>
      </c>
      <c r="H239" s="3" t="str">
        <f>_xlfn.XLOOKUP(C239,customers!$A$1:$A$1001,customers!$G$1:$G$1001,,0)</f>
        <v>United States</v>
      </c>
      <c r="I239" s="4" t="str">
        <f>INDEX(products!$A$1:$G$49,MATCH(orders!$D239,products!$A$1:$A$49,0),MATCH(orders!I$1,products!$A$1:$G$1,0))</f>
        <v>Rob</v>
      </c>
      <c r="J239" s="4" t="str">
        <f>INDEX(products!$A$1:$G$49,MATCH(orders!$D239,products!$A$1:$A$49,0),MATCH(orders!J$1,products!$A$1:$G$1,0))</f>
        <v>L</v>
      </c>
      <c r="K239" s="6">
        <f>INDEX(products!$A$1:$G$49,MATCH(orders!$D239,products!$A$1:$A$49,0),MATCH(orders!K$1,products!$A$1:$G$1,0))</f>
        <v>0.2</v>
      </c>
      <c r="L239" s="7">
        <f>INDEX(products!$A$1:$G$49,MATCH(orders!$D239,products!$A$1:$A$49,0),MATCH(orders!L$1,products!$A$1:$G$1,0))</f>
        <v>3.5849999999999995</v>
      </c>
      <c r="M239" s="7">
        <f t="shared" si="3"/>
        <v>3.5849999999999995</v>
      </c>
      <c r="N239" s="4" t="str" cm="1">
        <f t="array" ref="N239">_xlfn.IFS(I239="Rob","Robusta",I239="Exc","Excelsa",I239="Ara","Arabica",I239="Lib","Liberica")</f>
        <v>Robusta</v>
      </c>
      <c r="O239" s="4" t="str" cm="1">
        <f t="array" ref="O239">_xlfn.IFS(J239="M","Medium",J239="L","Light",J239="D","Dark")</f>
        <v>Light</v>
      </c>
      <c r="P239" s="4" t="str">
        <f>_xlfn.XLOOKUP(CoffeeOrderstable[[#This Row],[Customer ID]],customers!$A$1:$A$1001,customers!$I$1:$I$1001,,0)</f>
        <v>Yes</v>
      </c>
    </row>
    <row r="240" spans="1:16" x14ac:dyDescent="0.3">
      <c r="A240" s="3" t="s">
        <v>1833</v>
      </c>
      <c r="B240" s="5">
        <v>44172</v>
      </c>
      <c r="C240" s="3" t="s">
        <v>1834</v>
      </c>
      <c r="D240" s="4" t="s">
        <v>6151</v>
      </c>
      <c r="E240" s="3">
        <v>2</v>
      </c>
      <c r="F240" s="3" t="str">
        <f>_xlfn.XLOOKUP(C240,customers!$A$1:$A$1001,customers!$B$1:$B$1001,,0)</f>
        <v>Friederike Drysdale</v>
      </c>
      <c r="G240" s="3" t="str">
        <f>IF(_xlfn.XLOOKUP(C240,customers!$A$1:$A$1001,customers!$C$1:$C$1001,,0)=0,"", _xlfn.XLOOKUP(C240,customers!$A$1:$A$1001,customers!$C$1:$C$1001,,0))</f>
        <v>fdrysdale6m@symantec.com</v>
      </c>
      <c r="H240" s="3" t="str">
        <f>_xlfn.XLOOKUP(C240,customers!$A$1:$A$1001,customers!$G$1:$G$1001,,0)</f>
        <v>United States</v>
      </c>
      <c r="I240" s="4" t="str">
        <f>INDEX(products!$A$1:$G$49,MATCH(orders!$D240,products!$A$1:$A$49,0),MATCH(orders!I$1,products!$A$1:$G$1,0))</f>
        <v>Rob</v>
      </c>
      <c r="J240" s="4" t="str">
        <f>INDEX(products!$A$1:$G$49,MATCH(orders!$D240,products!$A$1:$A$49,0),MATCH(orders!J$1,products!$A$1:$G$1,0))</f>
        <v>M</v>
      </c>
      <c r="K240" s="6">
        <f>INDEX(products!$A$1:$G$49,MATCH(orders!$D240,products!$A$1:$A$49,0),MATCH(orders!K$1,products!$A$1:$G$1,0))</f>
        <v>2.5</v>
      </c>
      <c r="L240" s="7">
        <f>INDEX(products!$A$1:$G$49,MATCH(orders!$D240,products!$A$1:$A$49,0),MATCH(orders!L$1,products!$A$1:$G$1,0))</f>
        <v>22.884999999999998</v>
      </c>
      <c r="M240" s="7">
        <f t="shared" si="3"/>
        <v>45.769999999999996</v>
      </c>
      <c r="N240" s="4" t="str" cm="1">
        <f t="array" ref="N240">_xlfn.IFS(I240="Rob","Robusta",I240="Exc","Excelsa",I240="Ara","Arabica",I240="Lib","Liberica")</f>
        <v>Robusta</v>
      </c>
      <c r="O240" s="4" t="str" cm="1">
        <f t="array" ref="O240">_xlfn.IFS(J240="M","Medium",J240="L","Light",J240="D","Dark")</f>
        <v>Medium</v>
      </c>
      <c r="P240" s="4" t="str">
        <f>_xlfn.XLOOKUP(CoffeeOrderstable[[#This Row],[Customer ID]],customers!$A$1:$A$1001,customers!$I$1:$I$1001,,0)</f>
        <v>Yes</v>
      </c>
    </row>
    <row r="241" spans="1:16" x14ac:dyDescent="0.3">
      <c r="A241" s="3" t="s">
        <v>1839</v>
      </c>
      <c r="B241" s="5">
        <v>43881</v>
      </c>
      <c r="C241" s="3" t="s">
        <v>1840</v>
      </c>
      <c r="D241" s="4" t="s">
        <v>6171</v>
      </c>
      <c r="E241" s="3">
        <v>4</v>
      </c>
      <c r="F241" s="3" t="str">
        <f>_xlfn.XLOOKUP(C241,customers!$A$1:$A$1001,customers!$B$1:$B$1001,,0)</f>
        <v>Devon Magowan</v>
      </c>
      <c r="G241" s="3" t="str">
        <f>IF(_xlfn.XLOOKUP(C241,customers!$A$1:$A$1001,customers!$C$1:$C$1001,,0)=0,"", _xlfn.XLOOKUP(C241,customers!$A$1:$A$1001,customers!$C$1:$C$1001,,0))</f>
        <v>dmagowan6n@fc2.com</v>
      </c>
      <c r="H241" s="3" t="str">
        <f>_xlfn.XLOOKUP(C241,customers!$A$1:$A$1001,customers!$G$1:$G$1001,,0)</f>
        <v>United States</v>
      </c>
      <c r="I241" s="4" t="str">
        <f>INDEX(products!$A$1:$G$49,MATCH(orders!$D241,products!$A$1:$A$49,0),MATCH(orders!I$1,products!$A$1:$G$1,0))</f>
        <v>Exc</v>
      </c>
      <c r="J241" s="4" t="str">
        <f>INDEX(products!$A$1:$G$49,MATCH(orders!$D241,products!$A$1:$A$49,0),MATCH(orders!J$1,products!$A$1:$G$1,0))</f>
        <v>L</v>
      </c>
      <c r="K241" s="6">
        <f>INDEX(products!$A$1:$G$49,MATCH(orders!$D241,products!$A$1:$A$49,0),MATCH(orders!K$1,products!$A$1:$G$1,0))</f>
        <v>1</v>
      </c>
      <c r="L241" s="7">
        <f>INDEX(products!$A$1:$G$49,MATCH(orders!$D241,products!$A$1:$A$49,0),MATCH(orders!L$1,products!$A$1:$G$1,0))</f>
        <v>14.85</v>
      </c>
      <c r="M241" s="7">
        <f t="shared" si="3"/>
        <v>59.4</v>
      </c>
      <c r="N241" s="4" t="str" cm="1">
        <f t="array" ref="N241">_xlfn.IFS(I241="Rob","Robusta",I241="Exc","Excelsa",I241="Ara","Arabica",I241="Lib","Liberica")</f>
        <v>Excelsa</v>
      </c>
      <c r="O241" s="4" t="str" cm="1">
        <f t="array" ref="O241">_xlfn.IFS(J241="M","Medium",J241="L","Light",J241="D","Dark")</f>
        <v>Light</v>
      </c>
      <c r="P241" s="4" t="str">
        <f>_xlfn.XLOOKUP(CoffeeOrderstable[[#This Row],[Customer ID]],customers!$A$1:$A$1001,customers!$I$1:$I$1001,,0)</f>
        <v>No</v>
      </c>
    </row>
    <row r="242" spans="1:16" x14ac:dyDescent="0.3">
      <c r="A242" s="3" t="s">
        <v>1845</v>
      </c>
      <c r="B242" s="5">
        <v>43993</v>
      </c>
      <c r="C242" s="3" t="s">
        <v>1846</v>
      </c>
      <c r="D242" s="4" t="s">
        <v>6175</v>
      </c>
      <c r="E242" s="3">
        <v>6</v>
      </c>
      <c r="F242" s="3" t="str">
        <f>_xlfn.XLOOKUP(C242,customers!$A$1:$A$1001,customers!$B$1:$B$1001,,0)</f>
        <v>Codi Littrell</v>
      </c>
      <c r="G242" s="3" t="str">
        <f>IF(_xlfn.XLOOKUP(C242,customers!$A$1:$A$1001,customers!$C$1:$C$1001,,0)=0,"", _xlfn.XLOOKUP(C242,customers!$A$1:$A$1001,customers!$C$1:$C$1001,,0))</f>
        <v/>
      </c>
      <c r="H242" s="3" t="str">
        <f>_xlfn.XLOOKUP(C242,customers!$A$1:$A$1001,customers!$G$1:$G$1001,,0)</f>
        <v>United States</v>
      </c>
      <c r="I242" s="4" t="str">
        <f>INDEX(products!$A$1:$G$49,MATCH(orders!$D242,products!$A$1:$A$49,0),MATCH(orders!I$1,products!$A$1:$G$1,0))</f>
        <v>Ara</v>
      </c>
      <c r="J242" s="4" t="str">
        <f>INDEX(products!$A$1:$G$49,MATCH(orders!$D242,products!$A$1:$A$49,0),MATCH(orders!J$1,products!$A$1:$G$1,0))</f>
        <v>M</v>
      </c>
      <c r="K242" s="6">
        <f>INDEX(products!$A$1:$G$49,MATCH(orders!$D242,products!$A$1:$A$49,0),MATCH(orders!K$1,products!$A$1:$G$1,0))</f>
        <v>2.5</v>
      </c>
      <c r="L242" s="7">
        <f>INDEX(products!$A$1:$G$49,MATCH(orders!$D242,products!$A$1:$A$49,0),MATCH(orders!L$1,products!$A$1:$G$1,0))</f>
        <v>25.874999999999996</v>
      </c>
      <c r="M242" s="7">
        <f t="shared" si="3"/>
        <v>155.24999999999997</v>
      </c>
      <c r="N242" s="4" t="str" cm="1">
        <f t="array" ref="N242">_xlfn.IFS(I242="Rob","Robusta",I242="Exc","Excelsa",I242="Ara","Arabica",I242="Lib","Liberica")</f>
        <v>Arabica</v>
      </c>
      <c r="O242" s="4" t="str" cm="1">
        <f t="array" ref="O242">_xlfn.IFS(J242="M","Medium",J242="L","Light",J242="D","Dark")</f>
        <v>Medium</v>
      </c>
      <c r="P242" s="4" t="str">
        <f>_xlfn.XLOOKUP(CoffeeOrderstable[[#This Row],[Customer ID]],customers!$A$1:$A$1001,customers!$I$1:$I$1001,,0)</f>
        <v>Yes</v>
      </c>
    </row>
    <row r="243" spans="1:16" x14ac:dyDescent="0.3">
      <c r="A243" s="3" t="s">
        <v>1849</v>
      </c>
      <c r="B243" s="5">
        <v>44082</v>
      </c>
      <c r="C243" s="3" t="s">
        <v>1850</v>
      </c>
      <c r="D243" s="4" t="s">
        <v>6151</v>
      </c>
      <c r="E243" s="3">
        <v>2</v>
      </c>
      <c r="F243" s="3" t="str">
        <f>_xlfn.XLOOKUP(C243,customers!$A$1:$A$1001,customers!$B$1:$B$1001,,0)</f>
        <v>Christel Speak</v>
      </c>
      <c r="G243" s="3" t="str">
        <f>IF(_xlfn.XLOOKUP(C243,customers!$A$1:$A$1001,customers!$C$1:$C$1001,,0)=0,"", _xlfn.XLOOKUP(C243,customers!$A$1:$A$1001,customers!$C$1:$C$1001,,0))</f>
        <v/>
      </c>
      <c r="H243" s="3" t="str">
        <f>_xlfn.XLOOKUP(C243,customers!$A$1:$A$1001,customers!$G$1:$G$1001,,0)</f>
        <v>United States</v>
      </c>
      <c r="I243" s="4" t="str">
        <f>INDEX(products!$A$1:$G$49,MATCH(orders!$D243,products!$A$1:$A$49,0),MATCH(orders!I$1,products!$A$1:$G$1,0))</f>
        <v>Rob</v>
      </c>
      <c r="J243" s="4" t="str">
        <f>INDEX(products!$A$1:$G$49,MATCH(orders!$D243,products!$A$1:$A$49,0),MATCH(orders!J$1,products!$A$1:$G$1,0))</f>
        <v>M</v>
      </c>
      <c r="K243" s="6">
        <f>INDEX(products!$A$1:$G$49,MATCH(orders!$D243,products!$A$1:$A$49,0),MATCH(orders!K$1,products!$A$1:$G$1,0))</f>
        <v>2.5</v>
      </c>
      <c r="L243" s="7">
        <f>INDEX(products!$A$1:$G$49,MATCH(orders!$D243,products!$A$1:$A$49,0),MATCH(orders!L$1,products!$A$1:$G$1,0))</f>
        <v>22.884999999999998</v>
      </c>
      <c r="M243" s="7">
        <f t="shared" si="3"/>
        <v>45.769999999999996</v>
      </c>
      <c r="N243" s="4" t="str" cm="1">
        <f t="array" ref="N243">_xlfn.IFS(I243="Rob","Robusta",I243="Exc","Excelsa",I243="Ara","Arabica",I243="Lib","Liberica")</f>
        <v>Robusta</v>
      </c>
      <c r="O243" s="4" t="str" cm="1">
        <f t="array" ref="O243">_xlfn.IFS(J243="M","Medium",J243="L","Light",J243="D","Dark")</f>
        <v>Medium</v>
      </c>
      <c r="P243" s="4" t="str">
        <f>_xlfn.XLOOKUP(CoffeeOrderstable[[#This Row],[Customer ID]],customers!$A$1:$A$1001,customers!$I$1:$I$1001,,0)</f>
        <v>No</v>
      </c>
    </row>
    <row r="244" spans="1:16" x14ac:dyDescent="0.3">
      <c r="A244" s="3" t="s">
        <v>1854</v>
      </c>
      <c r="B244" s="5">
        <v>43918</v>
      </c>
      <c r="C244" s="3" t="s">
        <v>1855</v>
      </c>
      <c r="D244" s="4" t="s">
        <v>6183</v>
      </c>
      <c r="E244" s="3">
        <v>3</v>
      </c>
      <c r="F244" s="3" t="str">
        <f>_xlfn.XLOOKUP(C244,customers!$A$1:$A$1001,customers!$B$1:$B$1001,,0)</f>
        <v>Sibella Rushbrooke</v>
      </c>
      <c r="G244" s="3" t="str">
        <f>IF(_xlfn.XLOOKUP(C244,customers!$A$1:$A$1001,customers!$C$1:$C$1001,,0)=0,"", _xlfn.XLOOKUP(C244,customers!$A$1:$A$1001,customers!$C$1:$C$1001,,0))</f>
        <v>srushbrooke6q@youku.com</v>
      </c>
      <c r="H244" s="3" t="str">
        <f>_xlfn.XLOOKUP(C244,customers!$A$1:$A$1001,customers!$G$1:$G$1001,,0)</f>
        <v>United States</v>
      </c>
      <c r="I244" s="4" t="str">
        <f>INDEX(products!$A$1:$G$49,MATCH(orders!$D244,products!$A$1:$A$49,0),MATCH(orders!I$1,products!$A$1:$G$1,0))</f>
        <v>Exc</v>
      </c>
      <c r="J244" s="4" t="str">
        <f>INDEX(products!$A$1:$G$49,MATCH(orders!$D244,products!$A$1:$A$49,0),MATCH(orders!J$1,products!$A$1:$G$1,0))</f>
        <v>D</v>
      </c>
      <c r="K244" s="6">
        <f>INDEX(products!$A$1:$G$49,MATCH(orders!$D244,products!$A$1:$A$49,0),MATCH(orders!K$1,products!$A$1:$G$1,0))</f>
        <v>1</v>
      </c>
      <c r="L244" s="7">
        <f>INDEX(products!$A$1:$G$49,MATCH(orders!$D244,products!$A$1:$A$49,0),MATCH(orders!L$1,products!$A$1:$G$1,0))</f>
        <v>12.15</v>
      </c>
      <c r="M244" s="7">
        <f t="shared" si="3"/>
        <v>36.450000000000003</v>
      </c>
      <c r="N244" s="4" t="str" cm="1">
        <f t="array" ref="N244">_xlfn.IFS(I244="Rob","Robusta",I244="Exc","Excelsa",I244="Ara","Arabica",I244="Lib","Liberica")</f>
        <v>Excelsa</v>
      </c>
      <c r="O244" s="4" t="str" cm="1">
        <f t="array" ref="O244">_xlfn.IFS(J244="M","Medium",J244="L","Light",J244="D","Dark")</f>
        <v>Dark</v>
      </c>
      <c r="P244" s="4" t="str">
        <f>_xlfn.XLOOKUP(CoffeeOrderstable[[#This Row],[Customer ID]],customers!$A$1:$A$1001,customers!$I$1:$I$1001,,0)</f>
        <v>Yes</v>
      </c>
    </row>
    <row r="245" spans="1:16" x14ac:dyDescent="0.3">
      <c r="A245" s="3" t="s">
        <v>1860</v>
      </c>
      <c r="B245" s="5">
        <v>44114</v>
      </c>
      <c r="C245" s="3" t="s">
        <v>1861</v>
      </c>
      <c r="D245" s="4" t="s">
        <v>6144</v>
      </c>
      <c r="E245" s="3">
        <v>4</v>
      </c>
      <c r="F245" s="3" t="str">
        <f>_xlfn.XLOOKUP(C245,customers!$A$1:$A$1001,customers!$B$1:$B$1001,,0)</f>
        <v>Tammie Drynan</v>
      </c>
      <c r="G245" s="3" t="str">
        <f>IF(_xlfn.XLOOKUP(C245,customers!$A$1:$A$1001,customers!$C$1:$C$1001,,0)=0,"", _xlfn.XLOOKUP(C245,customers!$A$1:$A$1001,customers!$C$1:$C$1001,,0))</f>
        <v>tdrynan6r@deviantart.com</v>
      </c>
      <c r="H245" s="3" t="str">
        <f>_xlfn.XLOOKUP(C245,customers!$A$1:$A$1001,customers!$G$1:$G$1001,,0)</f>
        <v>United States</v>
      </c>
      <c r="I245" s="4" t="str">
        <f>INDEX(products!$A$1:$G$49,MATCH(orders!$D245,products!$A$1:$A$49,0),MATCH(orders!I$1,products!$A$1:$G$1,0))</f>
        <v>Exc</v>
      </c>
      <c r="J245" s="4" t="str">
        <f>INDEX(products!$A$1:$G$49,MATCH(orders!$D245,products!$A$1:$A$49,0),MATCH(orders!J$1,products!$A$1:$G$1,0))</f>
        <v>D</v>
      </c>
      <c r="K245" s="6">
        <f>INDEX(products!$A$1:$G$49,MATCH(orders!$D245,products!$A$1:$A$49,0),MATCH(orders!K$1,products!$A$1:$G$1,0))</f>
        <v>0.5</v>
      </c>
      <c r="L245" s="7">
        <f>INDEX(products!$A$1:$G$49,MATCH(orders!$D245,products!$A$1:$A$49,0),MATCH(orders!L$1,products!$A$1:$G$1,0))</f>
        <v>7.29</v>
      </c>
      <c r="M245" s="7">
        <f t="shared" si="3"/>
        <v>29.16</v>
      </c>
      <c r="N245" s="4" t="str" cm="1">
        <f t="array" ref="N245">_xlfn.IFS(I245="Rob","Robusta",I245="Exc","Excelsa",I245="Ara","Arabica",I245="Lib","Liberica")</f>
        <v>Excelsa</v>
      </c>
      <c r="O245" s="4" t="str" cm="1">
        <f t="array" ref="O245">_xlfn.IFS(J245="M","Medium",J245="L","Light",J245="D","Dark")</f>
        <v>Dark</v>
      </c>
      <c r="P245" s="4" t="str">
        <f>_xlfn.XLOOKUP(CoffeeOrderstable[[#This Row],[Customer ID]],customers!$A$1:$A$1001,customers!$I$1:$I$1001,,0)</f>
        <v>Yes</v>
      </c>
    </row>
    <row r="246" spans="1:16" x14ac:dyDescent="0.3">
      <c r="A246" s="3" t="s">
        <v>1866</v>
      </c>
      <c r="B246" s="5">
        <v>44702</v>
      </c>
      <c r="C246" s="3" t="s">
        <v>1867</v>
      </c>
      <c r="D246" s="4" t="s">
        <v>6181</v>
      </c>
      <c r="E246" s="3">
        <v>4</v>
      </c>
      <c r="F246" s="3" t="str">
        <f>_xlfn.XLOOKUP(C246,customers!$A$1:$A$1001,customers!$B$1:$B$1001,,0)</f>
        <v>Effie Yurkov</v>
      </c>
      <c r="G246" s="3" t="str">
        <f>IF(_xlfn.XLOOKUP(C246,customers!$A$1:$A$1001,customers!$C$1:$C$1001,,0)=0,"", _xlfn.XLOOKUP(C246,customers!$A$1:$A$1001,customers!$C$1:$C$1001,,0))</f>
        <v>eyurkov6s@hud.gov</v>
      </c>
      <c r="H246" s="3" t="str">
        <f>_xlfn.XLOOKUP(C246,customers!$A$1:$A$1001,customers!$G$1:$G$1001,,0)</f>
        <v>United States</v>
      </c>
      <c r="I246" s="4" t="str">
        <f>INDEX(products!$A$1:$G$49,MATCH(orders!$D246,products!$A$1:$A$49,0),MATCH(orders!I$1,products!$A$1:$G$1,0))</f>
        <v>Lib</v>
      </c>
      <c r="J246" s="4" t="str">
        <f>INDEX(products!$A$1:$G$49,MATCH(orders!$D246,products!$A$1:$A$49,0),MATCH(orders!J$1,products!$A$1:$G$1,0))</f>
        <v>M</v>
      </c>
      <c r="K246" s="6">
        <f>INDEX(products!$A$1:$G$49,MATCH(orders!$D246,products!$A$1:$A$49,0),MATCH(orders!K$1,products!$A$1:$G$1,0))</f>
        <v>2.5</v>
      </c>
      <c r="L246" s="7">
        <f>INDEX(products!$A$1:$G$49,MATCH(orders!$D246,products!$A$1:$A$49,0),MATCH(orders!L$1,products!$A$1:$G$1,0))</f>
        <v>33.464999999999996</v>
      </c>
      <c r="M246" s="7">
        <f t="shared" si="3"/>
        <v>133.85999999999999</v>
      </c>
      <c r="N246" s="4" t="str" cm="1">
        <f t="array" ref="N246">_xlfn.IFS(I246="Rob","Robusta",I246="Exc","Excelsa",I246="Ara","Arabica",I246="Lib","Liberica")</f>
        <v>Liberica</v>
      </c>
      <c r="O246" s="4" t="str" cm="1">
        <f t="array" ref="O246">_xlfn.IFS(J246="M","Medium",J246="L","Light",J246="D","Dark")</f>
        <v>Medium</v>
      </c>
      <c r="P246" s="4" t="str">
        <f>_xlfn.XLOOKUP(CoffeeOrderstable[[#This Row],[Customer ID]],customers!$A$1:$A$1001,customers!$I$1:$I$1001,,0)</f>
        <v>No</v>
      </c>
    </row>
    <row r="247" spans="1:16" x14ac:dyDescent="0.3">
      <c r="A247" s="3" t="s">
        <v>1872</v>
      </c>
      <c r="B247" s="5">
        <v>43951</v>
      </c>
      <c r="C247" s="3" t="s">
        <v>1873</v>
      </c>
      <c r="D247" s="4" t="s">
        <v>6145</v>
      </c>
      <c r="E247" s="3">
        <v>5</v>
      </c>
      <c r="F247" s="3" t="str">
        <f>_xlfn.XLOOKUP(C247,customers!$A$1:$A$1001,customers!$B$1:$B$1001,,0)</f>
        <v>Lexie Mallan</v>
      </c>
      <c r="G247" s="3" t="str">
        <f>IF(_xlfn.XLOOKUP(C247,customers!$A$1:$A$1001,customers!$C$1:$C$1001,,0)=0,"", _xlfn.XLOOKUP(C247,customers!$A$1:$A$1001,customers!$C$1:$C$1001,,0))</f>
        <v>lmallan6t@state.gov</v>
      </c>
      <c r="H247" s="3" t="str">
        <f>_xlfn.XLOOKUP(C247,customers!$A$1:$A$1001,customers!$G$1:$G$1001,,0)</f>
        <v>United States</v>
      </c>
      <c r="I247" s="4" t="str">
        <f>INDEX(products!$A$1:$G$49,MATCH(orders!$D247,products!$A$1:$A$49,0),MATCH(orders!I$1,products!$A$1:$G$1,0))</f>
        <v>Lib</v>
      </c>
      <c r="J247" s="4" t="str">
        <f>INDEX(products!$A$1:$G$49,MATCH(orders!$D247,products!$A$1:$A$49,0),MATCH(orders!J$1,products!$A$1:$G$1,0))</f>
        <v>L</v>
      </c>
      <c r="K247" s="6">
        <f>INDEX(products!$A$1:$G$49,MATCH(orders!$D247,products!$A$1:$A$49,0),MATCH(orders!K$1,products!$A$1:$G$1,0))</f>
        <v>0.2</v>
      </c>
      <c r="L247" s="7">
        <f>INDEX(products!$A$1:$G$49,MATCH(orders!$D247,products!$A$1:$A$49,0),MATCH(orders!L$1,products!$A$1:$G$1,0))</f>
        <v>4.7549999999999999</v>
      </c>
      <c r="M247" s="7">
        <f t="shared" si="3"/>
        <v>23.774999999999999</v>
      </c>
      <c r="N247" s="4" t="str" cm="1">
        <f t="array" ref="N247">_xlfn.IFS(I247="Rob","Robusta",I247="Exc","Excelsa",I247="Ara","Arabica",I247="Lib","Liberica")</f>
        <v>Liberica</v>
      </c>
      <c r="O247" s="4" t="str" cm="1">
        <f t="array" ref="O247">_xlfn.IFS(J247="M","Medium",J247="L","Light",J247="D","Dark")</f>
        <v>Light</v>
      </c>
      <c r="P247" s="4" t="str">
        <f>_xlfn.XLOOKUP(CoffeeOrderstable[[#This Row],[Customer ID]],customers!$A$1:$A$1001,customers!$I$1:$I$1001,,0)</f>
        <v>Yes</v>
      </c>
    </row>
    <row r="248" spans="1:16" x14ac:dyDescent="0.3">
      <c r="A248" s="3" t="s">
        <v>1878</v>
      </c>
      <c r="B248" s="5">
        <v>44542</v>
      </c>
      <c r="C248" s="3" t="s">
        <v>1879</v>
      </c>
      <c r="D248" s="4" t="s">
        <v>6143</v>
      </c>
      <c r="E248" s="3">
        <v>3</v>
      </c>
      <c r="F248" s="3" t="str">
        <f>_xlfn.XLOOKUP(C248,customers!$A$1:$A$1001,customers!$B$1:$B$1001,,0)</f>
        <v>Georgena Bentjens</v>
      </c>
      <c r="G248" s="3" t="str">
        <f>IF(_xlfn.XLOOKUP(C248,customers!$A$1:$A$1001,customers!$C$1:$C$1001,,0)=0,"", _xlfn.XLOOKUP(C248,customers!$A$1:$A$1001,customers!$C$1:$C$1001,,0))</f>
        <v>gbentjens6u@netlog.com</v>
      </c>
      <c r="H248" s="3" t="str">
        <f>_xlfn.XLOOKUP(C248,customers!$A$1:$A$1001,customers!$G$1:$G$1001,,0)</f>
        <v>United Kingdom</v>
      </c>
      <c r="I248" s="4" t="str">
        <f>INDEX(products!$A$1:$G$49,MATCH(orders!$D248,products!$A$1:$A$49,0),MATCH(orders!I$1,products!$A$1:$G$1,0))</f>
        <v>Lib</v>
      </c>
      <c r="J248" s="4" t="str">
        <f>INDEX(products!$A$1:$G$49,MATCH(orders!$D248,products!$A$1:$A$49,0),MATCH(orders!J$1,products!$A$1:$G$1,0))</f>
        <v>D</v>
      </c>
      <c r="K248" s="6">
        <f>INDEX(products!$A$1:$G$49,MATCH(orders!$D248,products!$A$1:$A$49,0),MATCH(orders!K$1,products!$A$1:$G$1,0))</f>
        <v>1</v>
      </c>
      <c r="L248" s="7">
        <f>INDEX(products!$A$1:$G$49,MATCH(orders!$D248,products!$A$1:$A$49,0),MATCH(orders!L$1,products!$A$1:$G$1,0))</f>
        <v>12.95</v>
      </c>
      <c r="M248" s="7">
        <f t="shared" si="3"/>
        <v>38.849999999999994</v>
      </c>
      <c r="N248" s="4" t="str" cm="1">
        <f t="array" ref="N248">_xlfn.IFS(I248="Rob","Robusta",I248="Exc","Excelsa",I248="Ara","Arabica",I248="Lib","Liberica")</f>
        <v>Liberica</v>
      </c>
      <c r="O248" s="4" t="str" cm="1">
        <f t="array" ref="O248">_xlfn.IFS(J248="M","Medium",J248="L","Light",J248="D","Dark")</f>
        <v>Dark</v>
      </c>
      <c r="P248" s="4" t="str">
        <f>_xlfn.XLOOKUP(CoffeeOrderstable[[#This Row],[Customer ID]],customers!$A$1:$A$1001,customers!$I$1:$I$1001,,0)</f>
        <v>No</v>
      </c>
    </row>
    <row r="249" spans="1:16" x14ac:dyDescent="0.3">
      <c r="A249" s="3" t="s">
        <v>1884</v>
      </c>
      <c r="B249" s="5">
        <v>44131</v>
      </c>
      <c r="C249" s="3" t="s">
        <v>1885</v>
      </c>
      <c r="D249" s="4" t="s">
        <v>6178</v>
      </c>
      <c r="E249" s="3">
        <v>6</v>
      </c>
      <c r="F249" s="3" t="str">
        <f>_xlfn.XLOOKUP(C249,customers!$A$1:$A$1001,customers!$B$1:$B$1001,,0)</f>
        <v>Delmar Beasant</v>
      </c>
      <c r="G249" s="3" t="str">
        <f>IF(_xlfn.XLOOKUP(C249,customers!$A$1:$A$1001,customers!$C$1:$C$1001,,0)=0,"", _xlfn.XLOOKUP(C249,customers!$A$1:$A$1001,customers!$C$1:$C$1001,,0))</f>
        <v/>
      </c>
      <c r="H249" s="3" t="str">
        <f>_xlfn.XLOOKUP(C249,customers!$A$1:$A$1001,customers!$G$1:$G$1001,,0)</f>
        <v>Ireland</v>
      </c>
      <c r="I249" s="4" t="str">
        <f>INDEX(products!$A$1:$G$49,MATCH(orders!$D249,products!$A$1:$A$49,0),MATCH(orders!I$1,products!$A$1:$G$1,0))</f>
        <v>Rob</v>
      </c>
      <c r="J249" s="4" t="str">
        <f>INDEX(products!$A$1:$G$49,MATCH(orders!$D249,products!$A$1:$A$49,0),MATCH(orders!J$1,products!$A$1:$G$1,0))</f>
        <v>L</v>
      </c>
      <c r="K249" s="6">
        <f>INDEX(products!$A$1:$G$49,MATCH(orders!$D249,products!$A$1:$A$49,0),MATCH(orders!K$1,products!$A$1:$G$1,0))</f>
        <v>0.2</v>
      </c>
      <c r="L249" s="7">
        <f>INDEX(products!$A$1:$G$49,MATCH(orders!$D249,products!$A$1:$A$49,0),MATCH(orders!L$1,products!$A$1:$G$1,0))</f>
        <v>3.5849999999999995</v>
      </c>
      <c r="M249" s="7">
        <f t="shared" si="3"/>
        <v>21.509999999999998</v>
      </c>
      <c r="N249" s="4" t="str" cm="1">
        <f t="array" ref="N249">_xlfn.IFS(I249="Rob","Robusta",I249="Exc","Excelsa",I249="Ara","Arabica",I249="Lib","Liberica")</f>
        <v>Robusta</v>
      </c>
      <c r="O249" s="4" t="str" cm="1">
        <f t="array" ref="O249">_xlfn.IFS(J249="M","Medium",J249="L","Light",J249="D","Dark")</f>
        <v>Light</v>
      </c>
      <c r="P249" s="4" t="str">
        <f>_xlfn.XLOOKUP(CoffeeOrderstable[[#This Row],[Customer ID]],customers!$A$1:$A$1001,customers!$I$1:$I$1001,,0)</f>
        <v>Yes</v>
      </c>
    </row>
    <row r="250" spans="1:16" x14ac:dyDescent="0.3">
      <c r="A250" s="3" t="s">
        <v>1889</v>
      </c>
      <c r="B250" s="5">
        <v>44019</v>
      </c>
      <c r="C250" s="3" t="s">
        <v>1890</v>
      </c>
      <c r="D250" s="4" t="s">
        <v>6147</v>
      </c>
      <c r="E250" s="3">
        <v>1</v>
      </c>
      <c r="F250" s="3" t="str">
        <f>_xlfn.XLOOKUP(C250,customers!$A$1:$A$1001,customers!$B$1:$B$1001,,0)</f>
        <v>Lyn Entwistle</v>
      </c>
      <c r="G250" s="3" t="str">
        <f>IF(_xlfn.XLOOKUP(C250,customers!$A$1:$A$1001,customers!$C$1:$C$1001,,0)=0,"", _xlfn.XLOOKUP(C250,customers!$A$1:$A$1001,customers!$C$1:$C$1001,,0))</f>
        <v>lentwistle6w@omniture.com</v>
      </c>
      <c r="H250" s="3" t="str">
        <f>_xlfn.XLOOKUP(C250,customers!$A$1:$A$1001,customers!$G$1:$G$1001,,0)</f>
        <v>United States</v>
      </c>
      <c r="I250" s="4" t="str">
        <f>INDEX(products!$A$1:$G$49,MATCH(orders!$D250,products!$A$1:$A$49,0),MATCH(orders!I$1,products!$A$1:$G$1,0))</f>
        <v>Ara</v>
      </c>
      <c r="J250" s="4" t="str">
        <f>INDEX(products!$A$1:$G$49,MATCH(orders!$D250,products!$A$1:$A$49,0),MATCH(orders!J$1,products!$A$1:$G$1,0))</f>
        <v>D</v>
      </c>
      <c r="K250" s="6">
        <f>INDEX(products!$A$1:$G$49,MATCH(orders!$D250,products!$A$1:$A$49,0),MATCH(orders!K$1,products!$A$1:$G$1,0))</f>
        <v>1</v>
      </c>
      <c r="L250" s="7">
        <f>INDEX(products!$A$1:$G$49,MATCH(orders!$D250,products!$A$1:$A$49,0),MATCH(orders!L$1,products!$A$1:$G$1,0))</f>
        <v>9.9499999999999993</v>
      </c>
      <c r="M250" s="7">
        <f t="shared" si="3"/>
        <v>9.9499999999999993</v>
      </c>
      <c r="N250" s="4" t="str" cm="1">
        <f t="array" ref="N250">_xlfn.IFS(I250="Rob","Robusta",I250="Exc","Excelsa",I250="Ara","Arabica",I250="Lib","Liberica")</f>
        <v>Arabica</v>
      </c>
      <c r="O250" s="4" t="str" cm="1">
        <f t="array" ref="O250">_xlfn.IFS(J250="M","Medium",J250="L","Light",J250="D","Dark")</f>
        <v>Dark</v>
      </c>
      <c r="P250" s="4" t="str">
        <f>_xlfn.XLOOKUP(CoffeeOrderstable[[#This Row],[Customer ID]],customers!$A$1:$A$1001,customers!$I$1:$I$1001,,0)</f>
        <v>Yes</v>
      </c>
    </row>
    <row r="251" spans="1:16" x14ac:dyDescent="0.3">
      <c r="A251" s="3" t="s">
        <v>1895</v>
      </c>
      <c r="B251" s="5">
        <v>43861</v>
      </c>
      <c r="C251" s="3" t="s">
        <v>1935</v>
      </c>
      <c r="D251" s="4" t="s">
        <v>6170</v>
      </c>
      <c r="E251" s="3">
        <v>1</v>
      </c>
      <c r="F251" s="3" t="str">
        <f>_xlfn.XLOOKUP(C251,customers!$A$1:$A$1001,customers!$B$1:$B$1001,,0)</f>
        <v>Zacharias Kiffe</v>
      </c>
      <c r="G251" s="3" t="str">
        <f>IF(_xlfn.XLOOKUP(C251,customers!$A$1:$A$1001,customers!$C$1:$C$1001,,0)=0,"", _xlfn.XLOOKUP(C251,customers!$A$1:$A$1001,customers!$C$1:$C$1001,,0))</f>
        <v>zkiffe74@cyberchimps.com</v>
      </c>
      <c r="H251" s="3" t="str">
        <f>_xlfn.XLOOKUP(C251,customers!$A$1:$A$1001,customers!$G$1:$G$1001,,0)</f>
        <v>United States</v>
      </c>
      <c r="I251" s="4" t="str">
        <f>INDEX(products!$A$1:$G$49,MATCH(orders!$D251,products!$A$1:$A$49,0),MATCH(orders!I$1,products!$A$1:$G$1,0))</f>
        <v>Lib</v>
      </c>
      <c r="J251" s="4" t="str">
        <f>INDEX(products!$A$1:$G$49,MATCH(orders!$D251,products!$A$1:$A$49,0),MATCH(orders!J$1,products!$A$1:$G$1,0))</f>
        <v>L</v>
      </c>
      <c r="K251" s="6">
        <f>INDEX(products!$A$1:$G$49,MATCH(orders!$D251,products!$A$1:$A$49,0),MATCH(orders!K$1,products!$A$1:$G$1,0))</f>
        <v>1</v>
      </c>
      <c r="L251" s="7">
        <f>INDEX(products!$A$1:$G$49,MATCH(orders!$D251,products!$A$1:$A$49,0),MATCH(orders!L$1,products!$A$1:$G$1,0))</f>
        <v>15.85</v>
      </c>
      <c r="M251" s="7">
        <f t="shared" si="3"/>
        <v>15.85</v>
      </c>
      <c r="N251" s="4" t="str" cm="1">
        <f t="array" ref="N251">_xlfn.IFS(I251="Rob","Robusta",I251="Exc","Excelsa",I251="Ara","Arabica",I251="Lib","Liberica")</f>
        <v>Liberica</v>
      </c>
      <c r="O251" s="4" t="str" cm="1">
        <f t="array" ref="O251">_xlfn.IFS(J251="M","Medium",J251="L","Light",J251="D","Dark")</f>
        <v>Light</v>
      </c>
      <c r="P251" s="4" t="str">
        <f>_xlfn.XLOOKUP(CoffeeOrderstable[[#This Row],[Customer ID]],customers!$A$1:$A$1001,customers!$I$1:$I$1001,,0)</f>
        <v>Yes</v>
      </c>
    </row>
    <row r="252" spans="1:16" x14ac:dyDescent="0.3">
      <c r="A252" s="3" t="s">
        <v>1900</v>
      </c>
      <c r="B252" s="5">
        <v>43879</v>
      </c>
      <c r="C252" s="3" t="s">
        <v>1901</v>
      </c>
      <c r="D252" s="4" t="s">
        <v>6174</v>
      </c>
      <c r="E252" s="3">
        <v>1</v>
      </c>
      <c r="F252" s="3" t="str">
        <f>_xlfn.XLOOKUP(C252,customers!$A$1:$A$1001,customers!$B$1:$B$1001,,0)</f>
        <v>Mercedes Acott</v>
      </c>
      <c r="G252" s="3" t="str">
        <f>IF(_xlfn.XLOOKUP(C252,customers!$A$1:$A$1001,customers!$C$1:$C$1001,,0)=0,"", _xlfn.XLOOKUP(C252,customers!$A$1:$A$1001,customers!$C$1:$C$1001,,0))</f>
        <v>macott6y@pagesperso-orange.fr</v>
      </c>
      <c r="H252" s="3" t="str">
        <f>_xlfn.XLOOKUP(C252,customers!$A$1:$A$1001,customers!$G$1:$G$1001,,0)</f>
        <v>United States</v>
      </c>
      <c r="I252" s="4" t="str">
        <f>INDEX(products!$A$1:$G$49,MATCH(orders!$D252,products!$A$1:$A$49,0),MATCH(orders!I$1,products!$A$1:$G$1,0))</f>
        <v>Rob</v>
      </c>
      <c r="J252" s="4" t="str">
        <f>INDEX(products!$A$1:$G$49,MATCH(orders!$D252,products!$A$1:$A$49,0),MATCH(orders!J$1,products!$A$1:$G$1,0))</f>
        <v>M</v>
      </c>
      <c r="K252" s="6">
        <f>INDEX(products!$A$1:$G$49,MATCH(orders!$D252,products!$A$1:$A$49,0),MATCH(orders!K$1,products!$A$1:$G$1,0))</f>
        <v>0.2</v>
      </c>
      <c r="L252" s="7">
        <f>INDEX(products!$A$1:$G$49,MATCH(orders!$D252,products!$A$1:$A$49,0),MATCH(orders!L$1,products!$A$1:$G$1,0))</f>
        <v>2.9849999999999999</v>
      </c>
      <c r="M252" s="7">
        <f t="shared" si="3"/>
        <v>2.9849999999999999</v>
      </c>
      <c r="N252" s="4" t="str" cm="1">
        <f t="array" ref="N252">_xlfn.IFS(I252="Rob","Robusta",I252="Exc","Excelsa",I252="Ara","Arabica",I252="Lib","Liberica")</f>
        <v>Robusta</v>
      </c>
      <c r="O252" s="4" t="str" cm="1">
        <f t="array" ref="O252">_xlfn.IFS(J252="M","Medium",J252="L","Light",J252="D","Dark")</f>
        <v>Medium</v>
      </c>
      <c r="P252" s="4" t="str">
        <f>_xlfn.XLOOKUP(CoffeeOrderstable[[#This Row],[Customer ID]],customers!$A$1:$A$1001,customers!$I$1:$I$1001,,0)</f>
        <v>Yes</v>
      </c>
    </row>
    <row r="253" spans="1:16" x14ac:dyDescent="0.3">
      <c r="A253" s="3" t="s">
        <v>1906</v>
      </c>
      <c r="B253" s="5">
        <v>44360</v>
      </c>
      <c r="C253" s="3" t="s">
        <v>1907</v>
      </c>
      <c r="D253" s="4" t="s">
        <v>6141</v>
      </c>
      <c r="E253" s="3">
        <v>5</v>
      </c>
      <c r="F253" s="3" t="str">
        <f>_xlfn.XLOOKUP(C253,customers!$A$1:$A$1001,customers!$B$1:$B$1001,,0)</f>
        <v>Connor Heaviside</v>
      </c>
      <c r="G253" s="3" t="str">
        <f>IF(_xlfn.XLOOKUP(C253,customers!$A$1:$A$1001,customers!$C$1:$C$1001,,0)=0,"", _xlfn.XLOOKUP(C253,customers!$A$1:$A$1001,customers!$C$1:$C$1001,,0))</f>
        <v>cheaviside6z@rediff.com</v>
      </c>
      <c r="H253" s="3" t="str">
        <f>_xlfn.XLOOKUP(C253,customers!$A$1:$A$1001,customers!$G$1:$G$1001,,0)</f>
        <v>United States</v>
      </c>
      <c r="I253" s="4" t="str">
        <f>INDEX(products!$A$1:$G$49,MATCH(orders!$D253,products!$A$1:$A$49,0),MATCH(orders!I$1,products!$A$1:$G$1,0))</f>
        <v>Exc</v>
      </c>
      <c r="J253" s="4" t="str">
        <f>INDEX(products!$A$1:$G$49,MATCH(orders!$D253,products!$A$1:$A$49,0),MATCH(orders!J$1,products!$A$1:$G$1,0))</f>
        <v>M</v>
      </c>
      <c r="K253" s="6">
        <f>INDEX(products!$A$1:$G$49,MATCH(orders!$D253,products!$A$1:$A$49,0),MATCH(orders!K$1,products!$A$1:$G$1,0))</f>
        <v>1</v>
      </c>
      <c r="L253" s="7">
        <f>INDEX(products!$A$1:$G$49,MATCH(orders!$D253,products!$A$1:$A$49,0),MATCH(orders!L$1,products!$A$1:$G$1,0))</f>
        <v>13.75</v>
      </c>
      <c r="M253" s="7">
        <f t="shared" si="3"/>
        <v>68.75</v>
      </c>
      <c r="N253" s="4" t="str" cm="1">
        <f t="array" ref="N253">_xlfn.IFS(I253="Rob","Robusta",I253="Exc","Excelsa",I253="Ara","Arabica",I253="Lib","Liberica")</f>
        <v>Excelsa</v>
      </c>
      <c r="O253" s="4" t="str" cm="1">
        <f t="array" ref="O253">_xlfn.IFS(J253="M","Medium",J253="L","Light",J253="D","Dark")</f>
        <v>Medium</v>
      </c>
      <c r="P253" s="4" t="str">
        <f>_xlfn.XLOOKUP(CoffeeOrderstable[[#This Row],[Customer ID]],customers!$A$1:$A$1001,customers!$I$1:$I$1001,,0)</f>
        <v>Yes</v>
      </c>
    </row>
    <row r="254" spans="1:16" x14ac:dyDescent="0.3">
      <c r="A254" s="3" t="s">
        <v>1912</v>
      </c>
      <c r="B254" s="5">
        <v>44779</v>
      </c>
      <c r="C254" s="3" t="s">
        <v>1913</v>
      </c>
      <c r="D254" s="4" t="s">
        <v>6147</v>
      </c>
      <c r="E254" s="3">
        <v>3</v>
      </c>
      <c r="F254" s="3" t="str">
        <f>_xlfn.XLOOKUP(C254,customers!$A$1:$A$1001,customers!$B$1:$B$1001,,0)</f>
        <v>Devy Bulbrook</v>
      </c>
      <c r="G254" s="3" t="str">
        <f>IF(_xlfn.XLOOKUP(C254,customers!$A$1:$A$1001,customers!$C$1:$C$1001,,0)=0,"", _xlfn.XLOOKUP(C254,customers!$A$1:$A$1001,customers!$C$1:$C$1001,,0))</f>
        <v/>
      </c>
      <c r="H254" s="3" t="str">
        <f>_xlfn.XLOOKUP(C254,customers!$A$1:$A$1001,customers!$G$1:$G$1001,,0)</f>
        <v>United States</v>
      </c>
      <c r="I254" s="4" t="str">
        <f>INDEX(products!$A$1:$G$49,MATCH(orders!$D254,products!$A$1:$A$49,0),MATCH(orders!I$1,products!$A$1:$G$1,0))</f>
        <v>Ara</v>
      </c>
      <c r="J254" s="4" t="str">
        <f>INDEX(products!$A$1:$G$49,MATCH(orders!$D254,products!$A$1:$A$49,0),MATCH(orders!J$1,products!$A$1:$G$1,0))</f>
        <v>D</v>
      </c>
      <c r="K254" s="6">
        <f>INDEX(products!$A$1:$G$49,MATCH(orders!$D254,products!$A$1:$A$49,0),MATCH(orders!K$1,products!$A$1:$G$1,0))</f>
        <v>1</v>
      </c>
      <c r="L254" s="7">
        <f>INDEX(products!$A$1:$G$49,MATCH(orders!$D254,products!$A$1:$A$49,0),MATCH(orders!L$1,products!$A$1:$G$1,0))</f>
        <v>9.9499999999999993</v>
      </c>
      <c r="M254" s="7">
        <f t="shared" si="3"/>
        <v>29.849999999999998</v>
      </c>
      <c r="N254" s="4" t="str" cm="1">
        <f t="array" ref="N254">_xlfn.IFS(I254="Rob","Robusta",I254="Exc","Excelsa",I254="Ara","Arabica",I254="Lib","Liberica")</f>
        <v>Arabica</v>
      </c>
      <c r="O254" s="4" t="str" cm="1">
        <f t="array" ref="O254">_xlfn.IFS(J254="M","Medium",J254="L","Light",J254="D","Dark")</f>
        <v>Dark</v>
      </c>
      <c r="P254" s="4" t="str">
        <f>_xlfn.XLOOKUP(CoffeeOrderstable[[#This Row],[Customer ID]],customers!$A$1:$A$1001,customers!$I$1:$I$1001,,0)</f>
        <v>No</v>
      </c>
    </row>
    <row r="255" spans="1:16" x14ac:dyDescent="0.3">
      <c r="A255" s="3" t="s">
        <v>1917</v>
      </c>
      <c r="B255" s="5">
        <v>44523</v>
      </c>
      <c r="C255" s="3" t="s">
        <v>1918</v>
      </c>
      <c r="D255" s="4" t="s">
        <v>6162</v>
      </c>
      <c r="E255" s="3">
        <v>4</v>
      </c>
      <c r="F255" s="3" t="str">
        <f>_xlfn.XLOOKUP(C255,customers!$A$1:$A$1001,customers!$B$1:$B$1001,,0)</f>
        <v>Leia Kernan</v>
      </c>
      <c r="G255" s="3" t="str">
        <f>IF(_xlfn.XLOOKUP(C255,customers!$A$1:$A$1001,customers!$C$1:$C$1001,,0)=0,"", _xlfn.XLOOKUP(C255,customers!$A$1:$A$1001,customers!$C$1:$C$1001,,0))</f>
        <v>lkernan71@wsj.com</v>
      </c>
      <c r="H255" s="3" t="str">
        <f>_xlfn.XLOOKUP(C255,customers!$A$1:$A$1001,customers!$G$1:$G$1001,,0)</f>
        <v>United States</v>
      </c>
      <c r="I255" s="4" t="str">
        <f>INDEX(products!$A$1:$G$49,MATCH(orders!$D255,products!$A$1:$A$49,0),MATCH(orders!I$1,products!$A$1:$G$1,0))</f>
        <v>Lib</v>
      </c>
      <c r="J255" s="4" t="str">
        <f>INDEX(products!$A$1:$G$49,MATCH(orders!$D255,products!$A$1:$A$49,0),MATCH(orders!J$1,products!$A$1:$G$1,0))</f>
        <v>M</v>
      </c>
      <c r="K255" s="6">
        <f>INDEX(products!$A$1:$G$49,MATCH(orders!$D255,products!$A$1:$A$49,0),MATCH(orders!K$1,products!$A$1:$G$1,0))</f>
        <v>1</v>
      </c>
      <c r="L255" s="7">
        <f>INDEX(products!$A$1:$G$49,MATCH(orders!$D255,products!$A$1:$A$49,0),MATCH(orders!L$1,products!$A$1:$G$1,0))</f>
        <v>14.55</v>
      </c>
      <c r="M255" s="7">
        <f t="shared" si="3"/>
        <v>58.2</v>
      </c>
      <c r="N255" s="4" t="str" cm="1">
        <f t="array" ref="N255">_xlfn.IFS(I255="Rob","Robusta",I255="Exc","Excelsa",I255="Ara","Arabica",I255="Lib","Liberica")</f>
        <v>Liberica</v>
      </c>
      <c r="O255" s="4" t="str" cm="1">
        <f t="array" ref="O255">_xlfn.IFS(J255="M","Medium",J255="L","Light",J255="D","Dark")</f>
        <v>Medium</v>
      </c>
      <c r="P255" s="4" t="str">
        <f>_xlfn.XLOOKUP(CoffeeOrderstable[[#This Row],[Customer ID]],customers!$A$1:$A$1001,customers!$I$1:$I$1001,,0)</f>
        <v>No</v>
      </c>
    </row>
    <row r="256" spans="1:16" x14ac:dyDescent="0.3">
      <c r="A256" s="3" t="s">
        <v>1923</v>
      </c>
      <c r="B256" s="5">
        <v>44482</v>
      </c>
      <c r="C256" s="3" t="s">
        <v>1924</v>
      </c>
      <c r="D256" s="4" t="s">
        <v>6173</v>
      </c>
      <c r="E256" s="3">
        <v>4</v>
      </c>
      <c r="F256" s="3" t="str">
        <f>_xlfn.XLOOKUP(C256,customers!$A$1:$A$1001,customers!$B$1:$B$1001,,0)</f>
        <v>Rosaline McLae</v>
      </c>
      <c r="G256" s="3" t="str">
        <f>IF(_xlfn.XLOOKUP(C256,customers!$A$1:$A$1001,customers!$C$1:$C$1001,,0)=0,"", _xlfn.XLOOKUP(C256,customers!$A$1:$A$1001,customers!$C$1:$C$1001,,0))</f>
        <v>rmclae72@dailymotion.com</v>
      </c>
      <c r="H256" s="3" t="str">
        <f>_xlfn.XLOOKUP(C256,customers!$A$1:$A$1001,customers!$G$1:$G$1001,,0)</f>
        <v>United Kingdom</v>
      </c>
      <c r="I256" s="4" t="str">
        <f>INDEX(products!$A$1:$G$49,MATCH(orders!$D256,products!$A$1:$A$49,0),MATCH(orders!I$1,products!$A$1:$G$1,0))</f>
        <v>Rob</v>
      </c>
      <c r="J256" s="4" t="str">
        <f>INDEX(products!$A$1:$G$49,MATCH(orders!$D256,products!$A$1:$A$49,0),MATCH(orders!J$1,products!$A$1:$G$1,0))</f>
        <v>L</v>
      </c>
      <c r="K256" s="6">
        <f>INDEX(products!$A$1:$G$49,MATCH(orders!$D256,products!$A$1:$A$49,0),MATCH(orders!K$1,products!$A$1:$G$1,0))</f>
        <v>0.5</v>
      </c>
      <c r="L256" s="7">
        <f>INDEX(products!$A$1:$G$49,MATCH(orders!$D256,products!$A$1:$A$49,0),MATCH(orders!L$1,products!$A$1:$G$1,0))</f>
        <v>7.169999999999999</v>
      </c>
      <c r="M256" s="7">
        <f t="shared" si="3"/>
        <v>28.679999999999996</v>
      </c>
      <c r="N256" s="4" t="str" cm="1">
        <f t="array" ref="N256">_xlfn.IFS(I256="Rob","Robusta",I256="Exc","Excelsa",I256="Ara","Arabica",I256="Lib","Liberica")</f>
        <v>Robusta</v>
      </c>
      <c r="O256" s="4" t="str" cm="1">
        <f t="array" ref="O256">_xlfn.IFS(J256="M","Medium",J256="L","Light",J256="D","Dark")</f>
        <v>Light</v>
      </c>
      <c r="P256" s="4" t="str">
        <f>_xlfn.XLOOKUP(CoffeeOrderstable[[#This Row],[Customer ID]],customers!$A$1:$A$1001,customers!$I$1:$I$1001,,0)</f>
        <v>No</v>
      </c>
    </row>
    <row r="257" spans="1:16" x14ac:dyDescent="0.3">
      <c r="A257" s="3" t="s">
        <v>1928</v>
      </c>
      <c r="B257" s="5">
        <v>44439</v>
      </c>
      <c r="C257" s="3" t="s">
        <v>1929</v>
      </c>
      <c r="D257" s="4" t="s">
        <v>6173</v>
      </c>
      <c r="E257" s="3">
        <v>3</v>
      </c>
      <c r="F257" s="3" t="str">
        <f>_xlfn.XLOOKUP(C257,customers!$A$1:$A$1001,customers!$B$1:$B$1001,,0)</f>
        <v>Cleve Blowfelde</v>
      </c>
      <c r="G257" s="3" t="str">
        <f>IF(_xlfn.XLOOKUP(C257,customers!$A$1:$A$1001,customers!$C$1:$C$1001,,0)=0,"", _xlfn.XLOOKUP(C257,customers!$A$1:$A$1001,customers!$C$1:$C$1001,,0))</f>
        <v>cblowfelde73@ustream.tv</v>
      </c>
      <c r="H257" s="3" t="str">
        <f>_xlfn.XLOOKUP(C257,customers!$A$1:$A$1001,customers!$G$1:$G$1001,,0)</f>
        <v>United States</v>
      </c>
      <c r="I257" s="4" t="str">
        <f>INDEX(products!$A$1:$G$49,MATCH(orders!$D257,products!$A$1:$A$49,0),MATCH(orders!I$1,products!$A$1:$G$1,0))</f>
        <v>Rob</v>
      </c>
      <c r="J257" s="4" t="str">
        <f>INDEX(products!$A$1:$G$49,MATCH(orders!$D257,products!$A$1:$A$49,0),MATCH(orders!J$1,products!$A$1:$G$1,0))</f>
        <v>L</v>
      </c>
      <c r="K257" s="6">
        <f>INDEX(products!$A$1:$G$49,MATCH(orders!$D257,products!$A$1:$A$49,0),MATCH(orders!K$1,products!$A$1:$G$1,0))</f>
        <v>0.5</v>
      </c>
      <c r="L257" s="7">
        <f>INDEX(products!$A$1:$G$49,MATCH(orders!$D257,products!$A$1:$A$49,0),MATCH(orders!L$1,products!$A$1:$G$1,0))</f>
        <v>7.169999999999999</v>
      </c>
      <c r="M257" s="7">
        <f t="shared" si="3"/>
        <v>21.509999999999998</v>
      </c>
      <c r="N257" s="4" t="str" cm="1">
        <f t="array" ref="N257">_xlfn.IFS(I257="Rob","Robusta",I257="Exc","Excelsa",I257="Ara","Arabica",I257="Lib","Liberica")</f>
        <v>Robusta</v>
      </c>
      <c r="O257" s="4" t="str" cm="1">
        <f t="array" ref="O257">_xlfn.IFS(J257="M","Medium",J257="L","Light",J257="D","Dark")</f>
        <v>Light</v>
      </c>
      <c r="P257" s="4" t="str">
        <f>_xlfn.XLOOKUP(CoffeeOrderstable[[#This Row],[Customer ID]],customers!$A$1:$A$1001,customers!$I$1:$I$1001,,0)</f>
        <v>No</v>
      </c>
    </row>
    <row r="258" spans="1:16" x14ac:dyDescent="0.3">
      <c r="A258" s="3" t="s">
        <v>1934</v>
      </c>
      <c r="B258" s="5">
        <v>43846</v>
      </c>
      <c r="C258" s="3" t="s">
        <v>1935</v>
      </c>
      <c r="D258" s="4" t="s">
        <v>6160</v>
      </c>
      <c r="E258" s="3">
        <v>2</v>
      </c>
      <c r="F258" s="3" t="str">
        <f>_xlfn.XLOOKUP(C258,customers!$A$1:$A$1001,customers!$B$1:$B$1001,,0)</f>
        <v>Zacharias Kiffe</v>
      </c>
      <c r="G258" s="3" t="str">
        <f>IF(_xlfn.XLOOKUP(C258,customers!$A$1:$A$1001,customers!$C$1:$C$1001,,0)=0,"", _xlfn.XLOOKUP(C258,customers!$A$1:$A$1001,customers!$C$1:$C$1001,,0))</f>
        <v>zkiffe74@cyberchimps.com</v>
      </c>
      <c r="H258" s="3" t="str">
        <f>_xlfn.XLOOKUP(C258,customers!$A$1:$A$1001,customers!$G$1:$G$1001,,0)</f>
        <v>United States</v>
      </c>
      <c r="I258" s="4" t="str">
        <f>INDEX(products!$A$1:$G$49,MATCH(orders!$D258,products!$A$1:$A$49,0),MATCH(orders!I$1,products!$A$1:$G$1,0))</f>
        <v>Lib</v>
      </c>
      <c r="J258" s="4" t="str">
        <f>INDEX(products!$A$1:$G$49,MATCH(orders!$D258,products!$A$1:$A$49,0),MATCH(orders!J$1,products!$A$1:$G$1,0))</f>
        <v>M</v>
      </c>
      <c r="K258" s="6">
        <f>INDEX(products!$A$1:$G$49,MATCH(orders!$D258,products!$A$1:$A$49,0),MATCH(orders!K$1,products!$A$1:$G$1,0))</f>
        <v>0.5</v>
      </c>
      <c r="L258" s="7">
        <f>INDEX(products!$A$1:$G$49,MATCH(orders!$D258,products!$A$1:$A$49,0),MATCH(orders!L$1,products!$A$1:$G$1,0))</f>
        <v>8.73</v>
      </c>
      <c r="M258" s="7">
        <f t="shared" si="3"/>
        <v>17.46</v>
      </c>
      <c r="N258" s="4" t="str" cm="1">
        <f t="array" ref="N258">_xlfn.IFS(I258="Rob","Robusta",I258="Exc","Excelsa",I258="Ara","Arabica",I258="Lib","Liberica")</f>
        <v>Liberica</v>
      </c>
      <c r="O258" s="4" t="str" cm="1">
        <f t="array" ref="O258">_xlfn.IFS(J258="M","Medium",J258="L","Light",J258="D","Dark")</f>
        <v>Medium</v>
      </c>
      <c r="P258" s="4" t="str">
        <f>_xlfn.XLOOKUP(CoffeeOrderstable[[#This Row],[Customer ID]],customers!$A$1:$A$1001,customers!$I$1:$I$1001,,0)</f>
        <v>Yes</v>
      </c>
    </row>
    <row r="259" spans="1:16" x14ac:dyDescent="0.3">
      <c r="A259" s="3" t="s">
        <v>1940</v>
      </c>
      <c r="B259" s="5">
        <v>44676</v>
      </c>
      <c r="C259" s="3" t="s">
        <v>1941</v>
      </c>
      <c r="D259" s="4" t="s">
        <v>6185</v>
      </c>
      <c r="E259" s="3">
        <v>1</v>
      </c>
      <c r="F259" s="3" t="str">
        <f>_xlfn.XLOOKUP(C259,customers!$A$1:$A$1001,customers!$B$1:$B$1001,,0)</f>
        <v>Denyse O'Calleran</v>
      </c>
      <c r="G259" s="3" t="str">
        <f>IF(_xlfn.XLOOKUP(C259,customers!$A$1:$A$1001,customers!$C$1:$C$1001,,0)=0,"", _xlfn.XLOOKUP(C259,customers!$A$1:$A$1001,customers!$C$1:$C$1001,,0))</f>
        <v>docalleran75@ucla.edu</v>
      </c>
      <c r="H259" s="3" t="str">
        <f>_xlfn.XLOOKUP(C259,customers!$A$1:$A$1001,customers!$G$1:$G$1001,,0)</f>
        <v>United States</v>
      </c>
      <c r="I259" s="4" t="str">
        <f>INDEX(products!$A$1:$G$49,MATCH(orders!$D259,products!$A$1:$A$49,0),MATCH(orders!I$1,products!$A$1:$G$1,0))</f>
        <v>Exc</v>
      </c>
      <c r="J259" s="4" t="str">
        <f>INDEX(products!$A$1:$G$49,MATCH(orders!$D259,products!$A$1:$A$49,0),MATCH(orders!J$1,products!$A$1:$G$1,0))</f>
        <v>D</v>
      </c>
      <c r="K259" s="6">
        <f>INDEX(products!$A$1:$G$49,MATCH(orders!$D259,products!$A$1:$A$49,0),MATCH(orders!K$1,products!$A$1:$G$1,0))</f>
        <v>2.5</v>
      </c>
      <c r="L259" s="7">
        <f>INDEX(products!$A$1:$G$49,MATCH(orders!$D259,products!$A$1:$A$49,0),MATCH(orders!L$1,products!$A$1:$G$1,0))</f>
        <v>27.945</v>
      </c>
      <c r="M259" s="7">
        <f t="shared" ref="M259:M322" si="4">L259*E259</f>
        <v>27.945</v>
      </c>
      <c r="N259" s="4" t="str" cm="1">
        <f t="array" ref="N259">_xlfn.IFS(I259="Rob","Robusta",I259="Exc","Excelsa",I259="Ara","Arabica",I259="Lib","Liberica")</f>
        <v>Excelsa</v>
      </c>
      <c r="O259" s="4" t="str" cm="1">
        <f t="array" ref="O259">_xlfn.IFS(J259="M","Medium",J259="L","Light",J259="D","Dark")</f>
        <v>Dark</v>
      </c>
      <c r="P259" s="4" t="str">
        <f>_xlfn.XLOOKUP(CoffeeOrderstable[[#This Row],[Customer ID]],customers!$A$1:$A$1001,customers!$I$1:$I$1001,,0)</f>
        <v>Yes</v>
      </c>
    </row>
    <row r="260" spans="1:16" x14ac:dyDescent="0.3">
      <c r="A260" s="3" t="s">
        <v>1946</v>
      </c>
      <c r="B260" s="5">
        <v>44513</v>
      </c>
      <c r="C260" s="3" t="s">
        <v>1947</v>
      </c>
      <c r="D260" s="4" t="s">
        <v>6185</v>
      </c>
      <c r="E260" s="3">
        <v>5</v>
      </c>
      <c r="F260" s="3" t="str">
        <f>_xlfn.XLOOKUP(C260,customers!$A$1:$A$1001,customers!$B$1:$B$1001,,0)</f>
        <v>Cobby Cromwell</v>
      </c>
      <c r="G260" s="3" t="str">
        <f>IF(_xlfn.XLOOKUP(C260,customers!$A$1:$A$1001,customers!$C$1:$C$1001,,0)=0,"", _xlfn.XLOOKUP(C260,customers!$A$1:$A$1001,customers!$C$1:$C$1001,,0))</f>
        <v>ccromwell76@desdev.cn</v>
      </c>
      <c r="H260" s="3" t="str">
        <f>_xlfn.XLOOKUP(C260,customers!$A$1:$A$1001,customers!$G$1:$G$1001,,0)</f>
        <v>United States</v>
      </c>
      <c r="I260" s="4" t="str">
        <f>INDEX(products!$A$1:$G$49,MATCH(orders!$D260,products!$A$1:$A$49,0),MATCH(orders!I$1,products!$A$1:$G$1,0))</f>
        <v>Exc</v>
      </c>
      <c r="J260" s="4" t="str">
        <f>INDEX(products!$A$1:$G$49,MATCH(orders!$D260,products!$A$1:$A$49,0),MATCH(orders!J$1,products!$A$1:$G$1,0))</f>
        <v>D</v>
      </c>
      <c r="K260" s="6">
        <f>INDEX(products!$A$1:$G$49,MATCH(orders!$D260,products!$A$1:$A$49,0),MATCH(orders!K$1,products!$A$1:$G$1,0))</f>
        <v>2.5</v>
      </c>
      <c r="L260" s="7">
        <f>INDEX(products!$A$1:$G$49,MATCH(orders!$D260,products!$A$1:$A$49,0),MATCH(orders!L$1,products!$A$1:$G$1,0))</f>
        <v>27.945</v>
      </c>
      <c r="M260" s="7">
        <f t="shared" si="4"/>
        <v>139.72499999999999</v>
      </c>
      <c r="N260" s="4" t="str" cm="1">
        <f t="array" ref="N260">_xlfn.IFS(I260="Rob","Robusta",I260="Exc","Excelsa",I260="Ara","Arabica",I260="Lib","Liberica")</f>
        <v>Excelsa</v>
      </c>
      <c r="O260" s="4" t="str" cm="1">
        <f t="array" ref="O260">_xlfn.IFS(J260="M","Medium",J260="L","Light",J260="D","Dark")</f>
        <v>Dark</v>
      </c>
      <c r="P260" s="4" t="str">
        <f>_xlfn.XLOOKUP(CoffeeOrderstable[[#This Row],[Customer ID]],customers!$A$1:$A$1001,customers!$I$1:$I$1001,,0)</f>
        <v>No</v>
      </c>
    </row>
    <row r="261" spans="1:16" x14ac:dyDescent="0.3">
      <c r="A261" s="3" t="s">
        <v>1952</v>
      </c>
      <c r="B261" s="5">
        <v>44355</v>
      </c>
      <c r="C261" s="3" t="s">
        <v>1953</v>
      </c>
      <c r="D261" s="4" t="s">
        <v>6174</v>
      </c>
      <c r="E261" s="3">
        <v>2</v>
      </c>
      <c r="F261" s="3" t="str">
        <f>_xlfn.XLOOKUP(C261,customers!$A$1:$A$1001,customers!$B$1:$B$1001,,0)</f>
        <v>Irv Hay</v>
      </c>
      <c r="G261" s="3" t="str">
        <f>IF(_xlfn.XLOOKUP(C261,customers!$A$1:$A$1001,customers!$C$1:$C$1001,,0)=0,"", _xlfn.XLOOKUP(C261,customers!$A$1:$A$1001,customers!$C$1:$C$1001,,0))</f>
        <v>ihay77@lulu.com</v>
      </c>
      <c r="H261" s="3" t="str">
        <f>_xlfn.XLOOKUP(C261,customers!$A$1:$A$1001,customers!$G$1:$G$1001,,0)</f>
        <v>United Kingdom</v>
      </c>
      <c r="I261" s="4" t="str">
        <f>INDEX(products!$A$1:$G$49,MATCH(orders!$D261,products!$A$1:$A$49,0),MATCH(orders!I$1,products!$A$1:$G$1,0))</f>
        <v>Rob</v>
      </c>
      <c r="J261" s="4" t="str">
        <f>INDEX(products!$A$1:$G$49,MATCH(orders!$D261,products!$A$1:$A$49,0),MATCH(orders!J$1,products!$A$1:$G$1,0))</f>
        <v>M</v>
      </c>
      <c r="K261" s="6">
        <f>INDEX(products!$A$1:$G$49,MATCH(orders!$D261,products!$A$1:$A$49,0),MATCH(orders!K$1,products!$A$1:$G$1,0))</f>
        <v>0.2</v>
      </c>
      <c r="L261" s="7">
        <f>INDEX(products!$A$1:$G$49,MATCH(orders!$D261,products!$A$1:$A$49,0),MATCH(orders!L$1,products!$A$1:$G$1,0))</f>
        <v>2.9849999999999999</v>
      </c>
      <c r="M261" s="7">
        <f t="shared" si="4"/>
        <v>5.97</v>
      </c>
      <c r="N261" s="4" t="str" cm="1">
        <f t="array" ref="N261">_xlfn.IFS(I261="Rob","Robusta",I261="Exc","Excelsa",I261="Ara","Arabica",I261="Lib","Liberica")</f>
        <v>Robusta</v>
      </c>
      <c r="O261" s="4" t="str" cm="1">
        <f t="array" ref="O261">_xlfn.IFS(J261="M","Medium",J261="L","Light",J261="D","Dark")</f>
        <v>Medium</v>
      </c>
      <c r="P261" s="4" t="str">
        <f>_xlfn.XLOOKUP(CoffeeOrderstable[[#This Row],[Customer ID]],customers!$A$1:$A$1001,customers!$I$1:$I$1001,,0)</f>
        <v>No</v>
      </c>
    </row>
    <row r="262" spans="1:16" x14ac:dyDescent="0.3">
      <c r="A262" s="3" t="s">
        <v>1958</v>
      </c>
      <c r="B262" s="5">
        <v>44156</v>
      </c>
      <c r="C262" s="3" t="s">
        <v>1959</v>
      </c>
      <c r="D262" s="4" t="s">
        <v>6142</v>
      </c>
      <c r="E262" s="3">
        <v>1</v>
      </c>
      <c r="F262" s="3" t="str">
        <f>_xlfn.XLOOKUP(C262,customers!$A$1:$A$1001,customers!$B$1:$B$1001,,0)</f>
        <v>Tani Taffarello</v>
      </c>
      <c r="G262" s="3" t="str">
        <f>IF(_xlfn.XLOOKUP(C262,customers!$A$1:$A$1001,customers!$C$1:$C$1001,,0)=0,"", _xlfn.XLOOKUP(C262,customers!$A$1:$A$1001,customers!$C$1:$C$1001,,0))</f>
        <v>ttaffarello78@sciencedaily.com</v>
      </c>
      <c r="H262" s="3" t="str">
        <f>_xlfn.XLOOKUP(C262,customers!$A$1:$A$1001,customers!$G$1:$G$1001,,0)</f>
        <v>United States</v>
      </c>
      <c r="I262" s="4" t="str">
        <f>INDEX(products!$A$1:$G$49,MATCH(orders!$D262,products!$A$1:$A$49,0),MATCH(orders!I$1,products!$A$1:$G$1,0))</f>
        <v>Rob</v>
      </c>
      <c r="J262" s="4" t="str">
        <f>INDEX(products!$A$1:$G$49,MATCH(orders!$D262,products!$A$1:$A$49,0),MATCH(orders!J$1,products!$A$1:$G$1,0))</f>
        <v>L</v>
      </c>
      <c r="K262" s="6">
        <f>INDEX(products!$A$1:$G$49,MATCH(orders!$D262,products!$A$1:$A$49,0),MATCH(orders!K$1,products!$A$1:$G$1,0))</f>
        <v>2.5</v>
      </c>
      <c r="L262" s="7">
        <f>INDEX(products!$A$1:$G$49,MATCH(orders!$D262,products!$A$1:$A$49,0),MATCH(orders!L$1,products!$A$1:$G$1,0))</f>
        <v>27.484999999999996</v>
      </c>
      <c r="M262" s="7">
        <f t="shared" si="4"/>
        <v>27.484999999999996</v>
      </c>
      <c r="N262" s="4" t="str" cm="1">
        <f t="array" ref="N262">_xlfn.IFS(I262="Rob","Robusta",I262="Exc","Excelsa",I262="Ara","Arabica",I262="Lib","Liberica")</f>
        <v>Robusta</v>
      </c>
      <c r="O262" s="4" t="str" cm="1">
        <f t="array" ref="O262">_xlfn.IFS(J262="M","Medium",J262="L","Light",J262="D","Dark")</f>
        <v>Light</v>
      </c>
      <c r="P262" s="4" t="str">
        <f>_xlfn.XLOOKUP(CoffeeOrderstable[[#This Row],[Customer ID]],customers!$A$1:$A$1001,customers!$I$1:$I$1001,,0)</f>
        <v>Yes</v>
      </c>
    </row>
    <row r="263" spans="1:16" x14ac:dyDescent="0.3">
      <c r="A263" s="3" t="s">
        <v>1963</v>
      </c>
      <c r="B263" s="5">
        <v>43538</v>
      </c>
      <c r="C263" s="3" t="s">
        <v>1964</v>
      </c>
      <c r="D263" s="4" t="s">
        <v>6179</v>
      </c>
      <c r="E263" s="3">
        <v>5</v>
      </c>
      <c r="F263" s="3" t="str">
        <f>_xlfn.XLOOKUP(C263,customers!$A$1:$A$1001,customers!$B$1:$B$1001,,0)</f>
        <v>Monique Canty</v>
      </c>
      <c r="G263" s="3" t="str">
        <f>IF(_xlfn.XLOOKUP(C263,customers!$A$1:$A$1001,customers!$C$1:$C$1001,,0)=0,"", _xlfn.XLOOKUP(C263,customers!$A$1:$A$1001,customers!$C$1:$C$1001,,0))</f>
        <v>mcanty79@jigsy.com</v>
      </c>
      <c r="H263" s="3" t="str">
        <f>_xlfn.XLOOKUP(C263,customers!$A$1:$A$1001,customers!$G$1:$G$1001,,0)</f>
        <v>United States</v>
      </c>
      <c r="I263" s="4" t="str">
        <f>INDEX(products!$A$1:$G$49,MATCH(orders!$D263,products!$A$1:$A$49,0),MATCH(orders!I$1,products!$A$1:$G$1,0))</f>
        <v>Rob</v>
      </c>
      <c r="J263" s="4" t="str">
        <f>INDEX(products!$A$1:$G$49,MATCH(orders!$D263,products!$A$1:$A$49,0),MATCH(orders!J$1,products!$A$1:$G$1,0))</f>
        <v>L</v>
      </c>
      <c r="K263" s="6">
        <f>INDEX(products!$A$1:$G$49,MATCH(orders!$D263,products!$A$1:$A$49,0),MATCH(orders!K$1,products!$A$1:$G$1,0))</f>
        <v>1</v>
      </c>
      <c r="L263" s="7">
        <f>INDEX(products!$A$1:$G$49,MATCH(orders!$D263,products!$A$1:$A$49,0),MATCH(orders!L$1,products!$A$1:$G$1,0))</f>
        <v>11.95</v>
      </c>
      <c r="M263" s="7">
        <f t="shared" si="4"/>
        <v>59.75</v>
      </c>
      <c r="N263" s="4" t="str" cm="1">
        <f t="array" ref="N263">_xlfn.IFS(I263="Rob","Robusta",I263="Exc","Excelsa",I263="Ara","Arabica",I263="Lib","Liberica")</f>
        <v>Robusta</v>
      </c>
      <c r="O263" s="4" t="str" cm="1">
        <f t="array" ref="O263">_xlfn.IFS(J263="M","Medium",J263="L","Light",J263="D","Dark")</f>
        <v>Light</v>
      </c>
      <c r="P263" s="4" t="str">
        <f>_xlfn.XLOOKUP(CoffeeOrderstable[[#This Row],[Customer ID]],customers!$A$1:$A$1001,customers!$I$1:$I$1001,,0)</f>
        <v>Yes</v>
      </c>
    </row>
    <row r="264" spans="1:16" x14ac:dyDescent="0.3">
      <c r="A264" s="3" t="s">
        <v>1969</v>
      </c>
      <c r="B264" s="5">
        <v>43693</v>
      </c>
      <c r="C264" s="3" t="s">
        <v>1970</v>
      </c>
      <c r="D264" s="4" t="s">
        <v>6141</v>
      </c>
      <c r="E264" s="3">
        <v>3</v>
      </c>
      <c r="F264" s="3" t="str">
        <f>_xlfn.XLOOKUP(C264,customers!$A$1:$A$1001,customers!$B$1:$B$1001,,0)</f>
        <v>Javier Kopke</v>
      </c>
      <c r="G264" s="3" t="str">
        <f>IF(_xlfn.XLOOKUP(C264,customers!$A$1:$A$1001,customers!$C$1:$C$1001,,0)=0,"", _xlfn.XLOOKUP(C264,customers!$A$1:$A$1001,customers!$C$1:$C$1001,,0))</f>
        <v>jkopke7a@auda.org.au</v>
      </c>
      <c r="H264" s="3" t="str">
        <f>_xlfn.XLOOKUP(C264,customers!$A$1:$A$1001,customers!$G$1:$G$1001,,0)</f>
        <v>United States</v>
      </c>
      <c r="I264" s="4" t="str">
        <f>INDEX(products!$A$1:$G$49,MATCH(orders!$D264,products!$A$1:$A$49,0),MATCH(orders!I$1,products!$A$1:$G$1,0))</f>
        <v>Exc</v>
      </c>
      <c r="J264" s="4" t="str">
        <f>INDEX(products!$A$1:$G$49,MATCH(orders!$D264,products!$A$1:$A$49,0),MATCH(orders!J$1,products!$A$1:$G$1,0))</f>
        <v>M</v>
      </c>
      <c r="K264" s="6">
        <f>INDEX(products!$A$1:$G$49,MATCH(orders!$D264,products!$A$1:$A$49,0),MATCH(orders!K$1,products!$A$1:$G$1,0))</f>
        <v>1</v>
      </c>
      <c r="L264" s="7">
        <f>INDEX(products!$A$1:$G$49,MATCH(orders!$D264,products!$A$1:$A$49,0),MATCH(orders!L$1,products!$A$1:$G$1,0))</f>
        <v>13.75</v>
      </c>
      <c r="M264" s="7">
        <f t="shared" si="4"/>
        <v>41.25</v>
      </c>
      <c r="N264" s="4" t="str" cm="1">
        <f t="array" ref="N264">_xlfn.IFS(I264="Rob","Robusta",I264="Exc","Excelsa",I264="Ara","Arabica",I264="Lib","Liberica")</f>
        <v>Excelsa</v>
      </c>
      <c r="O264" s="4" t="str" cm="1">
        <f t="array" ref="O264">_xlfn.IFS(J264="M","Medium",J264="L","Light",J264="D","Dark")</f>
        <v>Medium</v>
      </c>
      <c r="P264" s="4" t="str">
        <f>_xlfn.XLOOKUP(CoffeeOrderstable[[#This Row],[Customer ID]],customers!$A$1:$A$1001,customers!$I$1:$I$1001,,0)</f>
        <v>No</v>
      </c>
    </row>
    <row r="265" spans="1:16" x14ac:dyDescent="0.3">
      <c r="A265" s="3" t="s">
        <v>1975</v>
      </c>
      <c r="B265" s="5">
        <v>43577</v>
      </c>
      <c r="C265" s="3" t="s">
        <v>1976</v>
      </c>
      <c r="D265" s="4" t="s">
        <v>6181</v>
      </c>
      <c r="E265" s="3">
        <v>4</v>
      </c>
      <c r="F265" s="3" t="str">
        <f>_xlfn.XLOOKUP(C265,customers!$A$1:$A$1001,customers!$B$1:$B$1001,,0)</f>
        <v>Mar McIver</v>
      </c>
      <c r="G265" s="3" t="str">
        <f>IF(_xlfn.XLOOKUP(C265,customers!$A$1:$A$1001,customers!$C$1:$C$1001,,0)=0,"", _xlfn.XLOOKUP(C265,customers!$A$1:$A$1001,customers!$C$1:$C$1001,,0))</f>
        <v/>
      </c>
      <c r="H265" s="3" t="str">
        <f>_xlfn.XLOOKUP(C265,customers!$A$1:$A$1001,customers!$G$1:$G$1001,,0)</f>
        <v>United States</v>
      </c>
      <c r="I265" s="4" t="str">
        <f>INDEX(products!$A$1:$G$49,MATCH(orders!$D265,products!$A$1:$A$49,0),MATCH(orders!I$1,products!$A$1:$G$1,0))</f>
        <v>Lib</v>
      </c>
      <c r="J265" s="4" t="str">
        <f>INDEX(products!$A$1:$G$49,MATCH(orders!$D265,products!$A$1:$A$49,0),MATCH(orders!J$1,products!$A$1:$G$1,0))</f>
        <v>M</v>
      </c>
      <c r="K265" s="6">
        <f>INDEX(products!$A$1:$G$49,MATCH(orders!$D265,products!$A$1:$A$49,0),MATCH(orders!K$1,products!$A$1:$G$1,0))</f>
        <v>2.5</v>
      </c>
      <c r="L265" s="7">
        <f>INDEX(products!$A$1:$G$49,MATCH(orders!$D265,products!$A$1:$A$49,0),MATCH(orders!L$1,products!$A$1:$G$1,0))</f>
        <v>33.464999999999996</v>
      </c>
      <c r="M265" s="7">
        <f t="shared" si="4"/>
        <v>133.85999999999999</v>
      </c>
      <c r="N265" s="4" t="str" cm="1">
        <f t="array" ref="N265">_xlfn.IFS(I265="Rob","Robusta",I265="Exc","Excelsa",I265="Ara","Arabica",I265="Lib","Liberica")</f>
        <v>Liberica</v>
      </c>
      <c r="O265" s="4" t="str" cm="1">
        <f t="array" ref="O265">_xlfn.IFS(J265="M","Medium",J265="L","Light",J265="D","Dark")</f>
        <v>Medium</v>
      </c>
      <c r="P265" s="4" t="str">
        <f>_xlfn.XLOOKUP(CoffeeOrderstable[[#This Row],[Customer ID]],customers!$A$1:$A$1001,customers!$I$1:$I$1001,,0)</f>
        <v>No</v>
      </c>
    </row>
    <row r="266" spans="1:16" x14ac:dyDescent="0.3">
      <c r="A266" s="3" t="s">
        <v>1980</v>
      </c>
      <c r="B266" s="5">
        <v>44683</v>
      </c>
      <c r="C266" s="3" t="s">
        <v>1981</v>
      </c>
      <c r="D266" s="4" t="s">
        <v>6179</v>
      </c>
      <c r="E266" s="3">
        <v>5</v>
      </c>
      <c r="F266" s="3" t="str">
        <f>_xlfn.XLOOKUP(C266,customers!$A$1:$A$1001,customers!$B$1:$B$1001,,0)</f>
        <v>Arabella Fransewich</v>
      </c>
      <c r="G266" s="3" t="str">
        <f>IF(_xlfn.XLOOKUP(C266,customers!$A$1:$A$1001,customers!$C$1:$C$1001,,0)=0,"", _xlfn.XLOOKUP(C266,customers!$A$1:$A$1001,customers!$C$1:$C$1001,,0))</f>
        <v/>
      </c>
      <c r="H266" s="3" t="str">
        <f>_xlfn.XLOOKUP(C266,customers!$A$1:$A$1001,customers!$G$1:$G$1001,,0)</f>
        <v>Ireland</v>
      </c>
      <c r="I266" s="4" t="str">
        <f>INDEX(products!$A$1:$G$49,MATCH(orders!$D266,products!$A$1:$A$49,0),MATCH(orders!I$1,products!$A$1:$G$1,0))</f>
        <v>Rob</v>
      </c>
      <c r="J266" s="4" t="str">
        <f>INDEX(products!$A$1:$G$49,MATCH(orders!$D266,products!$A$1:$A$49,0),MATCH(orders!J$1,products!$A$1:$G$1,0))</f>
        <v>L</v>
      </c>
      <c r="K266" s="6">
        <f>INDEX(products!$A$1:$G$49,MATCH(orders!$D266,products!$A$1:$A$49,0),MATCH(orders!K$1,products!$A$1:$G$1,0))</f>
        <v>1</v>
      </c>
      <c r="L266" s="7">
        <f>INDEX(products!$A$1:$G$49,MATCH(orders!$D266,products!$A$1:$A$49,0),MATCH(orders!L$1,products!$A$1:$G$1,0))</f>
        <v>11.95</v>
      </c>
      <c r="M266" s="7">
        <f t="shared" si="4"/>
        <v>59.75</v>
      </c>
      <c r="N266" s="4" t="str" cm="1">
        <f t="array" ref="N266">_xlfn.IFS(I266="Rob","Robusta",I266="Exc","Excelsa",I266="Ara","Arabica",I266="Lib","Liberica")</f>
        <v>Robusta</v>
      </c>
      <c r="O266" s="4" t="str" cm="1">
        <f t="array" ref="O266">_xlfn.IFS(J266="M","Medium",J266="L","Light",J266="D","Dark")</f>
        <v>Light</v>
      </c>
      <c r="P266" s="4" t="str">
        <f>_xlfn.XLOOKUP(CoffeeOrderstable[[#This Row],[Customer ID]],customers!$A$1:$A$1001,customers!$I$1:$I$1001,,0)</f>
        <v>Yes</v>
      </c>
    </row>
    <row r="267" spans="1:16" x14ac:dyDescent="0.3">
      <c r="A267" s="3" t="s">
        <v>1986</v>
      </c>
      <c r="B267" s="5">
        <v>43872</v>
      </c>
      <c r="C267" s="3" t="s">
        <v>1987</v>
      </c>
      <c r="D267" s="4" t="s">
        <v>6158</v>
      </c>
      <c r="E267" s="3">
        <v>1</v>
      </c>
      <c r="F267" s="3" t="str">
        <f>_xlfn.XLOOKUP(C267,customers!$A$1:$A$1001,customers!$B$1:$B$1001,,0)</f>
        <v>Violette Hellmore</v>
      </c>
      <c r="G267" s="3" t="str">
        <f>IF(_xlfn.XLOOKUP(C267,customers!$A$1:$A$1001,customers!$C$1:$C$1001,,0)=0,"", _xlfn.XLOOKUP(C267,customers!$A$1:$A$1001,customers!$C$1:$C$1001,,0))</f>
        <v>vhellmore7d@bbc.co.uk</v>
      </c>
      <c r="H267" s="3" t="str">
        <f>_xlfn.XLOOKUP(C267,customers!$A$1:$A$1001,customers!$G$1:$G$1001,,0)</f>
        <v>United States</v>
      </c>
      <c r="I267" s="4" t="str">
        <f>INDEX(products!$A$1:$G$49,MATCH(orders!$D267,products!$A$1:$A$49,0),MATCH(orders!I$1,products!$A$1:$G$1,0))</f>
        <v>Ara</v>
      </c>
      <c r="J267" s="4" t="str">
        <f>INDEX(products!$A$1:$G$49,MATCH(orders!$D267,products!$A$1:$A$49,0),MATCH(orders!J$1,products!$A$1:$G$1,0))</f>
        <v>D</v>
      </c>
      <c r="K267" s="6">
        <f>INDEX(products!$A$1:$G$49,MATCH(orders!$D267,products!$A$1:$A$49,0),MATCH(orders!K$1,products!$A$1:$G$1,0))</f>
        <v>0.5</v>
      </c>
      <c r="L267" s="7">
        <f>INDEX(products!$A$1:$G$49,MATCH(orders!$D267,products!$A$1:$A$49,0),MATCH(orders!L$1,products!$A$1:$G$1,0))</f>
        <v>5.97</v>
      </c>
      <c r="M267" s="7">
        <f t="shared" si="4"/>
        <v>5.97</v>
      </c>
      <c r="N267" s="4" t="str" cm="1">
        <f t="array" ref="N267">_xlfn.IFS(I267="Rob","Robusta",I267="Exc","Excelsa",I267="Ara","Arabica",I267="Lib","Liberica")</f>
        <v>Arabica</v>
      </c>
      <c r="O267" s="4" t="str" cm="1">
        <f t="array" ref="O267">_xlfn.IFS(J267="M","Medium",J267="L","Light",J267="D","Dark")</f>
        <v>Dark</v>
      </c>
      <c r="P267" s="4" t="str">
        <f>_xlfn.XLOOKUP(CoffeeOrderstable[[#This Row],[Customer ID]],customers!$A$1:$A$1001,customers!$I$1:$I$1001,,0)</f>
        <v>Yes</v>
      </c>
    </row>
    <row r="268" spans="1:16" x14ac:dyDescent="0.3">
      <c r="A268" s="3" t="s">
        <v>1992</v>
      </c>
      <c r="B268" s="5">
        <v>44283</v>
      </c>
      <c r="C268" s="3" t="s">
        <v>1993</v>
      </c>
      <c r="D268" s="4" t="s">
        <v>6183</v>
      </c>
      <c r="E268" s="3">
        <v>2</v>
      </c>
      <c r="F268" s="3" t="str">
        <f>_xlfn.XLOOKUP(C268,customers!$A$1:$A$1001,customers!$B$1:$B$1001,,0)</f>
        <v>Myles Seawright</v>
      </c>
      <c r="G268" s="3" t="str">
        <f>IF(_xlfn.XLOOKUP(C268,customers!$A$1:$A$1001,customers!$C$1:$C$1001,,0)=0,"", _xlfn.XLOOKUP(C268,customers!$A$1:$A$1001,customers!$C$1:$C$1001,,0))</f>
        <v>mseawright7e@nbcnews.com</v>
      </c>
      <c r="H268" s="3" t="str">
        <f>_xlfn.XLOOKUP(C268,customers!$A$1:$A$1001,customers!$G$1:$G$1001,,0)</f>
        <v>United Kingdom</v>
      </c>
      <c r="I268" s="4" t="str">
        <f>INDEX(products!$A$1:$G$49,MATCH(orders!$D268,products!$A$1:$A$49,0),MATCH(orders!I$1,products!$A$1:$G$1,0))</f>
        <v>Exc</v>
      </c>
      <c r="J268" s="4" t="str">
        <f>INDEX(products!$A$1:$G$49,MATCH(orders!$D268,products!$A$1:$A$49,0),MATCH(orders!J$1,products!$A$1:$G$1,0))</f>
        <v>D</v>
      </c>
      <c r="K268" s="6">
        <f>INDEX(products!$A$1:$G$49,MATCH(orders!$D268,products!$A$1:$A$49,0),MATCH(orders!K$1,products!$A$1:$G$1,0))</f>
        <v>1</v>
      </c>
      <c r="L268" s="7">
        <f>INDEX(products!$A$1:$G$49,MATCH(orders!$D268,products!$A$1:$A$49,0),MATCH(orders!L$1,products!$A$1:$G$1,0))</f>
        <v>12.15</v>
      </c>
      <c r="M268" s="7">
        <f t="shared" si="4"/>
        <v>24.3</v>
      </c>
      <c r="N268" s="4" t="str" cm="1">
        <f t="array" ref="N268">_xlfn.IFS(I268="Rob","Robusta",I268="Exc","Excelsa",I268="Ara","Arabica",I268="Lib","Liberica")</f>
        <v>Excelsa</v>
      </c>
      <c r="O268" s="4" t="str" cm="1">
        <f t="array" ref="O268">_xlfn.IFS(J268="M","Medium",J268="L","Light",J268="D","Dark")</f>
        <v>Dark</v>
      </c>
      <c r="P268" s="4" t="str">
        <f>_xlfn.XLOOKUP(CoffeeOrderstable[[#This Row],[Customer ID]],customers!$A$1:$A$1001,customers!$I$1:$I$1001,,0)</f>
        <v>No</v>
      </c>
    </row>
    <row r="269" spans="1:16" x14ac:dyDescent="0.3">
      <c r="A269" s="3" t="s">
        <v>1998</v>
      </c>
      <c r="B269" s="5">
        <v>44324</v>
      </c>
      <c r="C269" s="3" t="s">
        <v>1999</v>
      </c>
      <c r="D269" s="4" t="s">
        <v>6153</v>
      </c>
      <c r="E269" s="3">
        <v>6</v>
      </c>
      <c r="F269" s="3" t="str">
        <f>_xlfn.XLOOKUP(C269,customers!$A$1:$A$1001,customers!$B$1:$B$1001,,0)</f>
        <v>Silvana Northeast</v>
      </c>
      <c r="G269" s="3" t="str">
        <f>IF(_xlfn.XLOOKUP(C269,customers!$A$1:$A$1001,customers!$C$1:$C$1001,,0)=0,"", _xlfn.XLOOKUP(C269,customers!$A$1:$A$1001,customers!$C$1:$C$1001,,0))</f>
        <v>snortheast7f@mashable.com</v>
      </c>
      <c r="H269" s="3" t="str">
        <f>_xlfn.XLOOKUP(C269,customers!$A$1:$A$1001,customers!$G$1:$G$1001,,0)</f>
        <v>United States</v>
      </c>
      <c r="I269" s="4" t="str">
        <f>INDEX(products!$A$1:$G$49,MATCH(orders!$D269,products!$A$1:$A$49,0),MATCH(orders!I$1,products!$A$1:$G$1,0))</f>
        <v>Exc</v>
      </c>
      <c r="J269" s="4" t="str">
        <f>INDEX(products!$A$1:$G$49,MATCH(orders!$D269,products!$A$1:$A$49,0),MATCH(orders!J$1,products!$A$1:$G$1,0))</f>
        <v>D</v>
      </c>
      <c r="K269" s="6">
        <f>INDEX(products!$A$1:$G$49,MATCH(orders!$D269,products!$A$1:$A$49,0),MATCH(orders!K$1,products!$A$1:$G$1,0))</f>
        <v>0.2</v>
      </c>
      <c r="L269" s="7">
        <f>INDEX(products!$A$1:$G$49,MATCH(orders!$D269,products!$A$1:$A$49,0),MATCH(orders!L$1,products!$A$1:$G$1,0))</f>
        <v>3.645</v>
      </c>
      <c r="M269" s="7">
        <f t="shared" si="4"/>
        <v>21.87</v>
      </c>
      <c r="N269" s="4" t="str" cm="1">
        <f t="array" ref="N269">_xlfn.IFS(I269="Rob","Robusta",I269="Exc","Excelsa",I269="Ara","Arabica",I269="Lib","Liberica")</f>
        <v>Excelsa</v>
      </c>
      <c r="O269" s="4" t="str" cm="1">
        <f t="array" ref="O269">_xlfn.IFS(J269="M","Medium",J269="L","Light",J269="D","Dark")</f>
        <v>Dark</v>
      </c>
      <c r="P269" s="4" t="str">
        <f>_xlfn.XLOOKUP(CoffeeOrderstable[[#This Row],[Customer ID]],customers!$A$1:$A$1001,customers!$I$1:$I$1001,,0)</f>
        <v>Yes</v>
      </c>
    </row>
    <row r="270" spans="1:16" x14ac:dyDescent="0.3">
      <c r="A270" s="3" t="s">
        <v>2004</v>
      </c>
      <c r="B270" s="5">
        <v>43790</v>
      </c>
      <c r="C270" s="3" t="s">
        <v>1672</v>
      </c>
      <c r="D270" s="4" t="s">
        <v>6147</v>
      </c>
      <c r="E270" s="3">
        <v>2</v>
      </c>
      <c r="F270" s="3" t="str">
        <f>_xlfn.XLOOKUP(C270,customers!$A$1:$A$1001,customers!$B$1:$B$1001,,0)</f>
        <v>Anselma Attwater</v>
      </c>
      <c r="G270" s="3" t="str">
        <f>IF(_xlfn.XLOOKUP(C270,customers!$A$1:$A$1001,customers!$C$1:$C$1001,,0)=0,"", _xlfn.XLOOKUP(C270,customers!$A$1:$A$1001,customers!$C$1:$C$1001,,0))</f>
        <v>aattwater5u@wikia.com</v>
      </c>
      <c r="H270" s="3" t="str">
        <f>_xlfn.XLOOKUP(C270,customers!$A$1:$A$1001,customers!$G$1:$G$1001,,0)</f>
        <v>United States</v>
      </c>
      <c r="I270" s="4" t="str">
        <f>INDEX(products!$A$1:$G$49,MATCH(orders!$D270,products!$A$1:$A$49,0),MATCH(orders!I$1,products!$A$1:$G$1,0))</f>
        <v>Ara</v>
      </c>
      <c r="J270" s="4" t="str">
        <f>INDEX(products!$A$1:$G$49,MATCH(orders!$D270,products!$A$1:$A$49,0),MATCH(orders!J$1,products!$A$1:$G$1,0))</f>
        <v>D</v>
      </c>
      <c r="K270" s="6">
        <f>INDEX(products!$A$1:$G$49,MATCH(orders!$D270,products!$A$1:$A$49,0),MATCH(orders!K$1,products!$A$1:$G$1,0))</f>
        <v>1</v>
      </c>
      <c r="L270" s="7">
        <f>INDEX(products!$A$1:$G$49,MATCH(orders!$D270,products!$A$1:$A$49,0),MATCH(orders!L$1,products!$A$1:$G$1,0))</f>
        <v>9.9499999999999993</v>
      </c>
      <c r="M270" s="7">
        <f t="shared" si="4"/>
        <v>19.899999999999999</v>
      </c>
      <c r="N270" s="4" t="str" cm="1">
        <f t="array" ref="N270">_xlfn.IFS(I270="Rob","Robusta",I270="Exc","Excelsa",I270="Ara","Arabica",I270="Lib","Liberica")</f>
        <v>Arabica</v>
      </c>
      <c r="O270" s="4" t="str" cm="1">
        <f t="array" ref="O270">_xlfn.IFS(J270="M","Medium",J270="L","Light",J270="D","Dark")</f>
        <v>Dark</v>
      </c>
      <c r="P270" s="4" t="str">
        <f>_xlfn.XLOOKUP(CoffeeOrderstable[[#This Row],[Customer ID]],customers!$A$1:$A$1001,customers!$I$1:$I$1001,,0)</f>
        <v>Yes</v>
      </c>
    </row>
    <row r="271" spans="1:16" x14ac:dyDescent="0.3">
      <c r="A271" s="3" t="s">
        <v>2009</v>
      </c>
      <c r="B271" s="5">
        <v>44333</v>
      </c>
      <c r="C271" s="3" t="s">
        <v>2010</v>
      </c>
      <c r="D271" s="4" t="s">
        <v>6154</v>
      </c>
      <c r="E271" s="3">
        <v>2</v>
      </c>
      <c r="F271" s="3" t="str">
        <f>_xlfn.XLOOKUP(C271,customers!$A$1:$A$1001,customers!$B$1:$B$1001,,0)</f>
        <v>Monica Fearon</v>
      </c>
      <c r="G271" s="3" t="str">
        <f>IF(_xlfn.XLOOKUP(C271,customers!$A$1:$A$1001,customers!$C$1:$C$1001,,0)=0,"", _xlfn.XLOOKUP(C271,customers!$A$1:$A$1001,customers!$C$1:$C$1001,,0))</f>
        <v>mfearon7h@reverbnation.com</v>
      </c>
      <c r="H271" s="3" t="str">
        <f>_xlfn.XLOOKUP(C271,customers!$A$1:$A$1001,customers!$G$1:$G$1001,,0)</f>
        <v>United States</v>
      </c>
      <c r="I271" s="4" t="str">
        <f>INDEX(products!$A$1:$G$49,MATCH(orders!$D271,products!$A$1:$A$49,0),MATCH(orders!I$1,products!$A$1:$G$1,0))</f>
        <v>Ara</v>
      </c>
      <c r="J271" s="4" t="str">
        <f>INDEX(products!$A$1:$G$49,MATCH(orders!$D271,products!$A$1:$A$49,0),MATCH(orders!J$1,products!$A$1:$G$1,0))</f>
        <v>D</v>
      </c>
      <c r="K271" s="6">
        <f>INDEX(products!$A$1:$G$49,MATCH(orders!$D271,products!$A$1:$A$49,0),MATCH(orders!K$1,products!$A$1:$G$1,0))</f>
        <v>0.2</v>
      </c>
      <c r="L271" s="7">
        <f>INDEX(products!$A$1:$G$49,MATCH(orders!$D271,products!$A$1:$A$49,0),MATCH(orders!L$1,products!$A$1:$G$1,0))</f>
        <v>2.9849999999999999</v>
      </c>
      <c r="M271" s="7">
        <f t="shared" si="4"/>
        <v>5.97</v>
      </c>
      <c r="N271" s="4" t="str" cm="1">
        <f t="array" ref="N271">_xlfn.IFS(I271="Rob","Robusta",I271="Exc","Excelsa",I271="Ara","Arabica",I271="Lib","Liberica")</f>
        <v>Arabica</v>
      </c>
      <c r="O271" s="4" t="str" cm="1">
        <f t="array" ref="O271">_xlfn.IFS(J271="M","Medium",J271="L","Light",J271="D","Dark")</f>
        <v>Dark</v>
      </c>
      <c r="P271" s="4" t="str">
        <f>_xlfn.XLOOKUP(CoffeeOrderstable[[#This Row],[Customer ID]],customers!$A$1:$A$1001,customers!$I$1:$I$1001,,0)</f>
        <v>No</v>
      </c>
    </row>
    <row r="272" spans="1:16" x14ac:dyDescent="0.3">
      <c r="A272" s="3" t="s">
        <v>2015</v>
      </c>
      <c r="B272" s="5">
        <v>43655</v>
      </c>
      <c r="C272" s="3" t="s">
        <v>2016</v>
      </c>
      <c r="D272" s="4" t="s">
        <v>6144</v>
      </c>
      <c r="E272" s="3">
        <v>1</v>
      </c>
      <c r="F272" s="3" t="str">
        <f>_xlfn.XLOOKUP(C272,customers!$A$1:$A$1001,customers!$B$1:$B$1001,,0)</f>
        <v>Barney Chisnell</v>
      </c>
      <c r="G272" s="3" t="str">
        <f>IF(_xlfn.XLOOKUP(C272,customers!$A$1:$A$1001,customers!$C$1:$C$1001,,0)=0,"", _xlfn.XLOOKUP(C272,customers!$A$1:$A$1001,customers!$C$1:$C$1001,,0))</f>
        <v/>
      </c>
      <c r="H272" s="3" t="str">
        <f>_xlfn.XLOOKUP(C272,customers!$A$1:$A$1001,customers!$G$1:$G$1001,,0)</f>
        <v>Ireland</v>
      </c>
      <c r="I272" s="4" t="str">
        <f>INDEX(products!$A$1:$G$49,MATCH(orders!$D272,products!$A$1:$A$49,0),MATCH(orders!I$1,products!$A$1:$G$1,0))</f>
        <v>Exc</v>
      </c>
      <c r="J272" s="4" t="str">
        <f>INDEX(products!$A$1:$G$49,MATCH(orders!$D272,products!$A$1:$A$49,0),MATCH(orders!J$1,products!$A$1:$G$1,0))</f>
        <v>D</v>
      </c>
      <c r="K272" s="6">
        <f>INDEX(products!$A$1:$G$49,MATCH(orders!$D272,products!$A$1:$A$49,0),MATCH(orders!K$1,products!$A$1:$G$1,0))</f>
        <v>0.5</v>
      </c>
      <c r="L272" s="7">
        <f>INDEX(products!$A$1:$G$49,MATCH(orders!$D272,products!$A$1:$A$49,0),MATCH(orders!L$1,products!$A$1:$G$1,0))</f>
        <v>7.29</v>
      </c>
      <c r="M272" s="7">
        <f t="shared" si="4"/>
        <v>7.29</v>
      </c>
      <c r="N272" s="4" t="str" cm="1">
        <f t="array" ref="N272">_xlfn.IFS(I272="Rob","Robusta",I272="Exc","Excelsa",I272="Ara","Arabica",I272="Lib","Liberica")</f>
        <v>Excelsa</v>
      </c>
      <c r="O272" s="4" t="str" cm="1">
        <f t="array" ref="O272">_xlfn.IFS(J272="M","Medium",J272="L","Light",J272="D","Dark")</f>
        <v>Dark</v>
      </c>
      <c r="P272" s="4" t="str">
        <f>_xlfn.XLOOKUP(CoffeeOrderstable[[#This Row],[Customer ID]],customers!$A$1:$A$1001,customers!$I$1:$I$1001,,0)</f>
        <v>Yes</v>
      </c>
    </row>
    <row r="273" spans="1:16" x14ac:dyDescent="0.3">
      <c r="A273" s="3" t="s">
        <v>2019</v>
      </c>
      <c r="B273" s="5">
        <v>43971</v>
      </c>
      <c r="C273" s="3" t="s">
        <v>2020</v>
      </c>
      <c r="D273" s="4" t="s">
        <v>6154</v>
      </c>
      <c r="E273" s="3">
        <v>4</v>
      </c>
      <c r="F273" s="3" t="str">
        <f>_xlfn.XLOOKUP(C273,customers!$A$1:$A$1001,customers!$B$1:$B$1001,,0)</f>
        <v>Jasper Sisneros</v>
      </c>
      <c r="G273" s="3" t="str">
        <f>IF(_xlfn.XLOOKUP(C273,customers!$A$1:$A$1001,customers!$C$1:$C$1001,,0)=0,"", _xlfn.XLOOKUP(C273,customers!$A$1:$A$1001,customers!$C$1:$C$1001,,0))</f>
        <v>jsisneros7j@a8.net</v>
      </c>
      <c r="H273" s="3" t="str">
        <f>_xlfn.XLOOKUP(C273,customers!$A$1:$A$1001,customers!$G$1:$G$1001,,0)</f>
        <v>United States</v>
      </c>
      <c r="I273" s="4" t="str">
        <f>INDEX(products!$A$1:$G$49,MATCH(orders!$D273,products!$A$1:$A$49,0),MATCH(orders!I$1,products!$A$1:$G$1,0))</f>
        <v>Ara</v>
      </c>
      <c r="J273" s="4" t="str">
        <f>INDEX(products!$A$1:$G$49,MATCH(orders!$D273,products!$A$1:$A$49,0),MATCH(orders!J$1,products!$A$1:$G$1,0))</f>
        <v>D</v>
      </c>
      <c r="K273" s="6">
        <f>INDEX(products!$A$1:$G$49,MATCH(orders!$D273,products!$A$1:$A$49,0),MATCH(orders!K$1,products!$A$1:$G$1,0))</f>
        <v>0.2</v>
      </c>
      <c r="L273" s="7">
        <f>INDEX(products!$A$1:$G$49,MATCH(orders!$D273,products!$A$1:$A$49,0),MATCH(orders!L$1,products!$A$1:$G$1,0))</f>
        <v>2.9849999999999999</v>
      </c>
      <c r="M273" s="7">
        <f t="shared" si="4"/>
        <v>11.94</v>
      </c>
      <c r="N273" s="4" t="str" cm="1">
        <f t="array" ref="N273">_xlfn.IFS(I273="Rob","Robusta",I273="Exc","Excelsa",I273="Ara","Arabica",I273="Lib","Liberica")</f>
        <v>Arabica</v>
      </c>
      <c r="O273" s="4" t="str" cm="1">
        <f t="array" ref="O273">_xlfn.IFS(J273="M","Medium",J273="L","Light",J273="D","Dark")</f>
        <v>Dark</v>
      </c>
      <c r="P273" s="4" t="str">
        <f>_xlfn.XLOOKUP(CoffeeOrderstable[[#This Row],[Customer ID]],customers!$A$1:$A$1001,customers!$I$1:$I$1001,,0)</f>
        <v>Yes</v>
      </c>
    </row>
    <row r="274" spans="1:16" x14ac:dyDescent="0.3">
      <c r="A274" s="3" t="s">
        <v>2025</v>
      </c>
      <c r="B274" s="5">
        <v>44435</v>
      </c>
      <c r="C274" s="3" t="s">
        <v>2026</v>
      </c>
      <c r="D274" s="4" t="s">
        <v>6179</v>
      </c>
      <c r="E274" s="3">
        <v>6</v>
      </c>
      <c r="F274" s="3" t="str">
        <f>_xlfn.XLOOKUP(C274,customers!$A$1:$A$1001,customers!$B$1:$B$1001,,0)</f>
        <v>Zachariah Carlson</v>
      </c>
      <c r="G274" s="3" t="str">
        <f>IF(_xlfn.XLOOKUP(C274,customers!$A$1:$A$1001,customers!$C$1:$C$1001,,0)=0,"", _xlfn.XLOOKUP(C274,customers!$A$1:$A$1001,customers!$C$1:$C$1001,,0))</f>
        <v>zcarlson7k@bigcartel.com</v>
      </c>
      <c r="H274" s="3" t="str">
        <f>_xlfn.XLOOKUP(C274,customers!$A$1:$A$1001,customers!$G$1:$G$1001,,0)</f>
        <v>Ireland</v>
      </c>
      <c r="I274" s="4" t="str">
        <f>INDEX(products!$A$1:$G$49,MATCH(orders!$D274,products!$A$1:$A$49,0),MATCH(orders!I$1,products!$A$1:$G$1,0))</f>
        <v>Rob</v>
      </c>
      <c r="J274" s="4" t="str">
        <f>INDEX(products!$A$1:$G$49,MATCH(orders!$D274,products!$A$1:$A$49,0),MATCH(orders!J$1,products!$A$1:$G$1,0))</f>
        <v>L</v>
      </c>
      <c r="K274" s="6">
        <f>INDEX(products!$A$1:$G$49,MATCH(orders!$D274,products!$A$1:$A$49,0),MATCH(orders!K$1,products!$A$1:$G$1,0))</f>
        <v>1</v>
      </c>
      <c r="L274" s="7">
        <f>INDEX(products!$A$1:$G$49,MATCH(orders!$D274,products!$A$1:$A$49,0),MATCH(orders!L$1,products!$A$1:$G$1,0))</f>
        <v>11.95</v>
      </c>
      <c r="M274" s="7">
        <f t="shared" si="4"/>
        <v>71.699999999999989</v>
      </c>
      <c r="N274" s="4" t="str" cm="1">
        <f t="array" ref="N274">_xlfn.IFS(I274="Rob","Robusta",I274="Exc","Excelsa",I274="Ara","Arabica",I274="Lib","Liberica")</f>
        <v>Robusta</v>
      </c>
      <c r="O274" s="4" t="str" cm="1">
        <f t="array" ref="O274">_xlfn.IFS(J274="M","Medium",J274="L","Light",J274="D","Dark")</f>
        <v>Light</v>
      </c>
      <c r="P274" s="4" t="str">
        <f>_xlfn.XLOOKUP(CoffeeOrderstable[[#This Row],[Customer ID]],customers!$A$1:$A$1001,customers!$I$1:$I$1001,,0)</f>
        <v>Yes</v>
      </c>
    </row>
    <row r="275" spans="1:16" x14ac:dyDescent="0.3">
      <c r="A275" s="3" t="s">
        <v>2032</v>
      </c>
      <c r="B275" s="5">
        <v>44681</v>
      </c>
      <c r="C275" s="3" t="s">
        <v>2033</v>
      </c>
      <c r="D275" s="4" t="s">
        <v>6167</v>
      </c>
      <c r="E275" s="3">
        <v>2</v>
      </c>
      <c r="F275" s="3" t="str">
        <f>_xlfn.XLOOKUP(C275,customers!$A$1:$A$1001,customers!$B$1:$B$1001,,0)</f>
        <v>Warner Maddox</v>
      </c>
      <c r="G275" s="3" t="str">
        <f>IF(_xlfn.XLOOKUP(C275,customers!$A$1:$A$1001,customers!$C$1:$C$1001,,0)=0,"", _xlfn.XLOOKUP(C275,customers!$A$1:$A$1001,customers!$C$1:$C$1001,,0))</f>
        <v>wmaddox7l@timesonline.co.uk</v>
      </c>
      <c r="H275" s="3" t="str">
        <f>_xlfn.XLOOKUP(C275,customers!$A$1:$A$1001,customers!$G$1:$G$1001,,0)</f>
        <v>United States</v>
      </c>
      <c r="I275" s="4" t="str">
        <f>INDEX(products!$A$1:$G$49,MATCH(orders!$D275,products!$A$1:$A$49,0),MATCH(orders!I$1,products!$A$1:$G$1,0))</f>
        <v>Ara</v>
      </c>
      <c r="J275" s="4" t="str">
        <f>INDEX(products!$A$1:$G$49,MATCH(orders!$D275,products!$A$1:$A$49,0),MATCH(orders!J$1,products!$A$1:$G$1,0))</f>
        <v>L</v>
      </c>
      <c r="K275" s="6">
        <f>INDEX(products!$A$1:$G$49,MATCH(orders!$D275,products!$A$1:$A$49,0),MATCH(orders!K$1,products!$A$1:$G$1,0))</f>
        <v>0.2</v>
      </c>
      <c r="L275" s="7">
        <f>INDEX(products!$A$1:$G$49,MATCH(orders!$D275,products!$A$1:$A$49,0),MATCH(orders!L$1,products!$A$1:$G$1,0))</f>
        <v>3.8849999999999998</v>
      </c>
      <c r="M275" s="7">
        <f t="shared" si="4"/>
        <v>7.77</v>
      </c>
      <c r="N275" s="4" t="str" cm="1">
        <f t="array" ref="N275">_xlfn.IFS(I275="Rob","Robusta",I275="Exc","Excelsa",I275="Ara","Arabica",I275="Lib","Liberica")</f>
        <v>Arabica</v>
      </c>
      <c r="O275" s="4" t="str" cm="1">
        <f t="array" ref="O275">_xlfn.IFS(J275="M","Medium",J275="L","Light",J275="D","Dark")</f>
        <v>Light</v>
      </c>
      <c r="P275" s="4" t="str">
        <f>_xlfn.XLOOKUP(CoffeeOrderstable[[#This Row],[Customer ID]],customers!$A$1:$A$1001,customers!$I$1:$I$1001,,0)</f>
        <v>No</v>
      </c>
    </row>
    <row r="276" spans="1:16" x14ac:dyDescent="0.3">
      <c r="A276" s="3" t="s">
        <v>2038</v>
      </c>
      <c r="B276" s="5">
        <v>43985</v>
      </c>
      <c r="C276" s="3" t="s">
        <v>2039</v>
      </c>
      <c r="D276" s="4" t="s">
        <v>6175</v>
      </c>
      <c r="E276" s="3">
        <v>1</v>
      </c>
      <c r="F276" s="3" t="str">
        <f>_xlfn.XLOOKUP(C276,customers!$A$1:$A$1001,customers!$B$1:$B$1001,,0)</f>
        <v>Donnie Hedlestone</v>
      </c>
      <c r="G276" s="3" t="str">
        <f>IF(_xlfn.XLOOKUP(C276,customers!$A$1:$A$1001,customers!$C$1:$C$1001,,0)=0,"", _xlfn.XLOOKUP(C276,customers!$A$1:$A$1001,customers!$C$1:$C$1001,,0))</f>
        <v>dhedlestone7m@craigslist.org</v>
      </c>
      <c r="H276" s="3" t="str">
        <f>_xlfn.XLOOKUP(C276,customers!$A$1:$A$1001,customers!$G$1:$G$1001,,0)</f>
        <v>United States</v>
      </c>
      <c r="I276" s="4" t="str">
        <f>INDEX(products!$A$1:$G$49,MATCH(orders!$D276,products!$A$1:$A$49,0),MATCH(orders!I$1,products!$A$1:$G$1,0))</f>
        <v>Ara</v>
      </c>
      <c r="J276" s="4" t="str">
        <f>INDEX(products!$A$1:$G$49,MATCH(orders!$D276,products!$A$1:$A$49,0),MATCH(orders!J$1,products!$A$1:$G$1,0))</f>
        <v>M</v>
      </c>
      <c r="K276" s="6">
        <f>INDEX(products!$A$1:$G$49,MATCH(orders!$D276,products!$A$1:$A$49,0),MATCH(orders!K$1,products!$A$1:$G$1,0))</f>
        <v>2.5</v>
      </c>
      <c r="L276" s="7">
        <f>INDEX(products!$A$1:$G$49,MATCH(orders!$D276,products!$A$1:$A$49,0),MATCH(orders!L$1,products!$A$1:$G$1,0))</f>
        <v>25.874999999999996</v>
      </c>
      <c r="M276" s="7">
        <f t="shared" si="4"/>
        <v>25.874999999999996</v>
      </c>
      <c r="N276" s="4" t="str" cm="1">
        <f t="array" ref="N276">_xlfn.IFS(I276="Rob","Robusta",I276="Exc","Excelsa",I276="Ara","Arabica",I276="Lib","Liberica")</f>
        <v>Arabica</v>
      </c>
      <c r="O276" s="4" t="str" cm="1">
        <f t="array" ref="O276">_xlfn.IFS(J276="M","Medium",J276="L","Light",J276="D","Dark")</f>
        <v>Medium</v>
      </c>
      <c r="P276" s="4" t="str">
        <f>_xlfn.XLOOKUP(CoffeeOrderstable[[#This Row],[Customer ID]],customers!$A$1:$A$1001,customers!$I$1:$I$1001,,0)</f>
        <v>No</v>
      </c>
    </row>
    <row r="277" spans="1:16" x14ac:dyDescent="0.3">
      <c r="A277" s="3" t="s">
        <v>2044</v>
      </c>
      <c r="B277" s="5">
        <v>44725</v>
      </c>
      <c r="C277" s="3" t="s">
        <v>2045</v>
      </c>
      <c r="D277" s="4" t="s">
        <v>6148</v>
      </c>
      <c r="E277" s="3">
        <v>6</v>
      </c>
      <c r="F277" s="3" t="str">
        <f>_xlfn.XLOOKUP(C277,customers!$A$1:$A$1001,customers!$B$1:$B$1001,,0)</f>
        <v>Teddi Crowthe</v>
      </c>
      <c r="G277" s="3" t="str">
        <f>IF(_xlfn.XLOOKUP(C277,customers!$A$1:$A$1001,customers!$C$1:$C$1001,,0)=0,"", _xlfn.XLOOKUP(C277,customers!$A$1:$A$1001,customers!$C$1:$C$1001,,0))</f>
        <v>tcrowthe7n@europa.eu</v>
      </c>
      <c r="H277" s="3" t="str">
        <f>_xlfn.XLOOKUP(C277,customers!$A$1:$A$1001,customers!$G$1:$G$1001,,0)</f>
        <v>United States</v>
      </c>
      <c r="I277" s="4" t="str">
        <f>INDEX(products!$A$1:$G$49,MATCH(orders!$D277,products!$A$1:$A$49,0),MATCH(orders!I$1,products!$A$1:$G$1,0))</f>
        <v>Exc</v>
      </c>
      <c r="J277" s="4" t="str">
        <f>INDEX(products!$A$1:$G$49,MATCH(orders!$D277,products!$A$1:$A$49,0),MATCH(orders!J$1,products!$A$1:$G$1,0))</f>
        <v>L</v>
      </c>
      <c r="K277" s="6">
        <f>INDEX(products!$A$1:$G$49,MATCH(orders!$D277,products!$A$1:$A$49,0),MATCH(orders!K$1,products!$A$1:$G$1,0))</f>
        <v>2.5</v>
      </c>
      <c r="L277" s="7">
        <f>INDEX(products!$A$1:$G$49,MATCH(orders!$D277,products!$A$1:$A$49,0),MATCH(orders!L$1,products!$A$1:$G$1,0))</f>
        <v>34.154999999999994</v>
      </c>
      <c r="M277" s="7">
        <f t="shared" si="4"/>
        <v>204.92999999999995</v>
      </c>
      <c r="N277" s="4" t="str" cm="1">
        <f t="array" ref="N277">_xlfn.IFS(I277="Rob","Robusta",I277="Exc","Excelsa",I277="Ara","Arabica",I277="Lib","Liberica")</f>
        <v>Excelsa</v>
      </c>
      <c r="O277" s="4" t="str" cm="1">
        <f t="array" ref="O277">_xlfn.IFS(J277="M","Medium",J277="L","Light",J277="D","Dark")</f>
        <v>Light</v>
      </c>
      <c r="P277" s="4" t="str">
        <f>_xlfn.XLOOKUP(CoffeeOrderstable[[#This Row],[Customer ID]],customers!$A$1:$A$1001,customers!$I$1:$I$1001,,0)</f>
        <v>No</v>
      </c>
    </row>
    <row r="278" spans="1:16" x14ac:dyDescent="0.3">
      <c r="A278" s="3" t="s">
        <v>2050</v>
      </c>
      <c r="B278" s="5">
        <v>43992</v>
      </c>
      <c r="C278" s="3" t="s">
        <v>2051</v>
      </c>
      <c r="D278" s="4" t="s">
        <v>6142</v>
      </c>
      <c r="E278" s="3">
        <v>4</v>
      </c>
      <c r="F278" s="3" t="str">
        <f>_xlfn.XLOOKUP(C278,customers!$A$1:$A$1001,customers!$B$1:$B$1001,,0)</f>
        <v>Dorelia Bury</v>
      </c>
      <c r="G278" s="3" t="str">
        <f>IF(_xlfn.XLOOKUP(C278,customers!$A$1:$A$1001,customers!$C$1:$C$1001,,0)=0,"", _xlfn.XLOOKUP(C278,customers!$A$1:$A$1001,customers!$C$1:$C$1001,,0))</f>
        <v>dbury7o@tinyurl.com</v>
      </c>
      <c r="H278" s="3" t="str">
        <f>_xlfn.XLOOKUP(C278,customers!$A$1:$A$1001,customers!$G$1:$G$1001,,0)</f>
        <v>Ireland</v>
      </c>
      <c r="I278" s="4" t="str">
        <f>INDEX(products!$A$1:$G$49,MATCH(orders!$D278,products!$A$1:$A$49,0),MATCH(orders!I$1,products!$A$1:$G$1,0))</f>
        <v>Rob</v>
      </c>
      <c r="J278" s="4" t="str">
        <f>INDEX(products!$A$1:$G$49,MATCH(orders!$D278,products!$A$1:$A$49,0),MATCH(orders!J$1,products!$A$1:$G$1,0))</f>
        <v>L</v>
      </c>
      <c r="K278" s="6">
        <f>INDEX(products!$A$1:$G$49,MATCH(orders!$D278,products!$A$1:$A$49,0),MATCH(orders!K$1,products!$A$1:$G$1,0))</f>
        <v>2.5</v>
      </c>
      <c r="L278" s="7">
        <f>INDEX(products!$A$1:$G$49,MATCH(orders!$D278,products!$A$1:$A$49,0),MATCH(orders!L$1,products!$A$1:$G$1,0))</f>
        <v>27.484999999999996</v>
      </c>
      <c r="M278" s="7">
        <f t="shared" si="4"/>
        <v>109.93999999999998</v>
      </c>
      <c r="N278" s="4" t="str" cm="1">
        <f t="array" ref="N278">_xlfn.IFS(I278="Rob","Robusta",I278="Exc","Excelsa",I278="Ara","Arabica",I278="Lib","Liberica")</f>
        <v>Robusta</v>
      </c>
      <c r="O278" s="4" t="str" cm="1">
        <f t="array" ref="O278">_xlfn.IFS(J278="M","Medium",J278="L","Light",J278="D","Dark")</f>
        <v>Light</v>
      </c>
      <c r="P278" s="4" t="str">
        <f>_xlfn.XLOOKUP(CoffeeOrderstable[[#This Row],[Customer ID]],customers!$A$1:$A$1001,customers!$I$1:$I$1001,,0)</f>
        <v>Yes</v>
      </c>
    </row>
    <row r="279" spans="1:16" x14ac:dyDescent="0.3">
      <c r="A279" s="3" t="s">
        <v>2056</v>
      </c>
      <c r="B279" s="5">
        <v>44183</v>
      </c>
      <c r="C279" s="3" t="s">
        <v>2057</v>
      </c>
      <c r="D279" s="4" t="s">
        <v>6171</v>
      </c>
      <c r="E279" s="3">
        <v>6</v>
      </c>
      <c r="F279" s="3" t="str">
        <f>_xlfn.XLOOKUP(C279,customers!$A$1:$A$1001,customers!$B$1:$B$1001,,0)</f>
        <v>Gussy Broadbear</v>
      </c>
      <c r="G279" s="3" t="str">
        <f>IF(_xlfn.XLOOKUP(C279,customers!$A$1:$A$1001,customers!$C$1:$C$1001,,0)=0,"", _xlfn.XLOOKUP(C279,customers!$A$1:$A$1001,customers!$C$1:$C$1001,,0))</f>
        <v>gbroadbear7p@omniture.com</v>
      </c>
      <c r="H279" s="3" t="str">
        <f>_xlfn.XLOOKUP(C279,customers!$A$1:$A$1001,customers!$G$1:$G$1001,,0)</f>
        <v>United States</v>
      </c>
      <c r="I279" s="4" t="str">
        <f>INDEX(products!$A$1:$G$49,MATCH(orders!$D279,products!$A$1:$A$49,0),MATCH(orders!I$1,products!$A$1:$G$1,0))</f>
        <v>Exc</v>
      </c>
      <c r="J279" s="4" t="str">
        <f>INDEX(products!$A$1:$G$49,MATCH(orders!$D279,products!$A$1:$A$49,0),MATCH(orders!J$1,products!$A$1:$G$1,0))</f>
        <v>L</v>
      </c>
      <c r="K279" s="6">
        <f>INDEX(products!$A$1:$G$49,MATCH(orders!$D279,products!$A$1:$A$49,0),MATCH(orders!K$1,products!$A$1:$G$1,0))</f>
        <v>1</v>
      </c>
      <c r="L279" s="7">
        <f>INDEX(products!$A$1:$G$49,MATCH(orders!$D279,products!$A$1:$A$49,0),MATCH(orders!L$1,products!$A$1:$G$1,0))</f>
        <v>14.85</v>
      </c>
      <c r="M279" s="7">
        <f t="shared" si="4"/>
        <v>89.1</v>
      </c>
      <c r="N279" s="4" t="str" cm="1">
        <f t="array" ref="N279">_xlfn.IFS(I279="Rob","Robusta",I279="Exc","Excelsa",I279="Ara","Arabica",I279="Lib","Liberica")</f>
        <v>Excelsa</v>
      </c>
      <c r="O279" s="4" t="str" cm="1">
        <f t="array" ref="O279">_xlfn.IFS(J279="M","Medium",J279="L","Light",J279="D","Dark")</f>
        <v>Light</v>
      </c>
      <c r="P279" s="4" t="str">
        <f>_xlfn.XLOOKUP(CoffeeOrderstable[[#This Row],[Customer ID]],customers!$A$1:$A$1001,customers!$I$1:$I$1001,,0)</f>
        <v>No</v>
      </c>
    </row>
    <row r="280" spans="1:16" x14ac:dyDescent="0.3">
      <c r="A280" s="3" t="s">
        <v>2062</v>
      </c>
      <c r="B280" s="5">
        <v>43708</v>
      </c>
      <c r="C280" s="3" t="s">
        <v>2063</v>
      </c>
      <c r="D280" s="4" t="s">
        <v>6167</v>
      </c>
      <c r="E280" s="3">
        <v>2</v>
      </c>
      <c r="F280" s="3" t="str">
        <f>_xlfn.XLOOKUP(C280,customers!$A$1:$A$1001,customers!$B$1:$B$1001,,0)</f>
        <v>Emlynne Palfrey</v>
      </c>
      <c r="G280" s="3" t="str">
        <f>IF(_xlfn.XLOOKUP(C280,customers!$A$1:$A$1001,customers!$C$1:$C$1001,,0)=0,"", _xlfn.XLOOKUP(C280,customers!$A$1:$A$1001,customers!$C$1:$C$1001,,0))</f>
        <v>epalfrey7q@devhub.com</v>
      </c>
      <c r="H280" s="3" t="str">
        <f>_xlfn.XLOOKUP(C280,customers!$A$1:$A$1001,customers!$G$1:$G$1001,,0)</f>
        <v>United States</v>
      </c>
      <c r="I280" s="4" t="str">
        <f>INDEX(products!$A$1:$G$49,MATCH(orders!$D280,products!$A$1:$A$49,0),MATCH(orders!I$1,products!$A$1:$G$1,0))</f>
        <v>Ara</v>
      </c>
      <c r="J280" s="4" t="str">
        <f>INDEX(products!$A$1:$G$49,MATCH(orders!$D280,products!$A$1:$A$49,0),MATCH(orders!J$1,products!$A$1:$G$1,0))</f>
        <v>L</v>
      </c>
      <c r="K280" s="6">
        <f>INDEX(products!$A$1:$G$49,MATCH(orders!$D280,products!$A$1:$A$49,0),MATCH(orders!K$1,products!$A$1:$G$1,0))</f>
        <v>0.2</v>
      </c>
      <c r="L280" s="7">
        <f>INDEX(products!$A$1:$G$49,MATCH(orders!$D280,products!$A$1:$A$49,0),MATCH(orders!L$1,products!$A$1:$G$1,0))</f>
        <v>3.8849999999999998</v>
      </c>
      <c r="M280" s="7">
        <f t="shared" si="4"/>
        <v>7.77</v>
      </c>
      <c r="N280" s="4" t="str" cm="1">
        <f t="array" ref="N280">_xlfn.IFS(I280="Rob","Robusta",I280="Exc","Excelsa",I280="Ara","Arabica",I280="Lib","Liberica")</f>
        <v>Arabica</v>
      </c>
      <c r="O280" s="4" t="str" cm="1">
        <f t="array" ref="O280">_xlfn.IFS(J280="M","Medium",J280="L","Light",J280="D","Dark")</f>
        <v>Light</v>
      </c>
      <c r="P280" s="4" t="str">
        <f>_xlfn.XLOOKUP(CoffeeOrderstable[[#This Row],[Customer ID]],customers!$A$1:$A$1001,customers!$I$1:$I$1001,,0)</f>
        <v>Yes</v>
      </c>
    </row>
    <row r="281" spans="1:16" x14ac:dyDescent="0.3">
      <c r="A281" s="3" t="s">
        <v>2068</v>
      </c>
      <c r="B281" s="5">
        <v>43521</v>
      </c>
      <c r="C281" s="3" t="s">
        <v>2069</v>
      </c>
      <c r="D281" s="4" t="s">
        <v>6181</v>
      </c>
      <c r="E281" s="3">
        <v>1</v>
      </c>
      <c r="F281" s="3" t="str">
        <f>_xlfn.XLOOKUP(C281,customers!$A$1:$A$1001,customers!$B$1:$B$1001,,0)</f>
        <v>Parsifal Metrick</v>
      </c>
      <c r="G281" s="3" t="str">
        <f>IF(_xlfn.XLOOKUP(C281,customers!$A$1:$A$1001,customers!$C$1:$C$1001,,0)=0,"", _xlfn.XLOOKUP(C281,customers!$A$1:$A$1001,customers!$C$1:$C$1001,,0))</f>
        <v>pmetrick7r@rakuten.co.jp</v>
      </c>
      <c r="H281" s="3" t="str">
        <f>_xlfn.XLOOKUP(C281,customers!$A$1:$A$1001,customers!$G$1:$G$1001,,0)</f>
        <v>United States</v>
      </c>
      <c r="I281" s="4" t="str">
        <f>INDEX(products!$A$1:$G$49,MATCH(orders!$D281,products!$A$1:$A$49,0),MATCH(orders!I$1,products!$A$1:$G$1,0))</f>
        <v>Lib</v>
      </c>
      <c r="J281" s="4" t="str">
        <f>INDEX(products!$A$1:$G$49,MATCH(orders!$D281,products!$A$1:$A$49,0),MATCH(orders!J$1,products!$A$1:$G$1,0))</f>
        <v>M</v>
      </c>
      <c r="K281" s="6">
        <f>INDEX(products!$A$1:$G$49,MATCH(orders!$D281,products!$A$1:$A$49,0),MATCH(orders!K$1,products!$A$1:$G$1,0))</f>
        <v>2.5</v>
      </c>
      <c r="L281" s="7">
        <f>INDEX(products!$A$1:$G$49,MATCH(orders!$D281,products!$A$1:$A$49,0),MATCH(orders!L$1,products!$A$1:$G$1,0))</f>
        <v>33.464999999999996</v>
      </c>
      <c r="M281" s="7">
        <f t="shared" si="4"/>
        <v>33.464999999999996</v>
      </c>
      <c r="N281" s="4" t="str" cm="1">
        <f t="array" ref="N281">_xlfn.IFS(I281="Rob","Robusta",I281="Exc","Excelsa",I281="Ara","Arabica",I281="Lib","Liberica")</f>
        <v>Liberica</v>
      </c>
      <c r="O281" s="4" t="str" cm="1">
        <f t="array" ref="O281">_xlfn.IFS(J281="M","Medium",J281="L","Light",J281="D","Dark")</f>
        <v>Medium</v>
      </c>
      <c r="P281" s="4" t="str">
        <f>_xlfn.XLOOKUP(CoffeeOrderstable[[#This Row],[Customer ID]],customers!$A$1:$A$1001,customers!$I$1:$I$1001,,0)</f>
        <v>Yes</v>
      </c>
    </row>
    <row r="282" spans="1:16" x14ac:dyDescent="0.3">
      <c r="A282" s="3" t="s">
        <v>2074</v>
      </c>
      <c r="B282" s="5">
        <v>44234</v>
      </c>
      <c r="C282" s="3" t="s">
        <v>2075</v>
      </c>
      <c r="D282" s="4" t="s">
        <v>6139</v>
      </c>
      <c r="E282" s="3">
        <v>5</v>
      </c>
      <c r="F282" s="3" t="str">
        <f>_xlfn.XLOOKUP(C282,customers!$A$1:$A$1001,customers!$B$1:$B$1001,,0)</f>
        <v>Christopher Grieveson</v>
      </c>
      <c r="G282" s="3" t="str">
        <f>IF(_xlfn.XLOOKUP(C282,customers!$A$1:$A$1001,customers!$C$1:$C$1001,,0)=0,"", _xlfn.XLOOKUP(C282,customers!$A$1:$A$1001,customers!$C$1:$C$1001,,0))</f>
        <v/>
      </c>
      <c r="H282" s="3" t="str">
        <f>_xlfn.XLOOKUP(C282,customers!$A$1:$A$1001,customers!$G$1:$G$1001,,0)</f>
        <v>United States</v>
      </c>
      <c r="I282" s="4" t="str">
        <f>INDEX(products!$A$1:$G$49,MATCH(orders!$D282,products!$A$1:$A$49,0),MATCH(orders!I$1,products!$A$1:$G$1,0))</f>
        <v>Exc</v>
      </c>
      <c r="J282" s="4" t="str">
        <f>INDEX(products!$A$1:$G$49,MATCH(orders!$D282,products!$A$1:$A$49,0),MATCH(orders!J$1,products!$A$1:$G$1,0))</f>
        <v>M</v>
      </c>
      <c r="K282" s="6">
        <f>INDEX(products!$A$1:$G$49,MATCH(orders!$D282,products!$A$1:$A$49,0),MATCH(orders!K$1,products!$A$1:$G$1,0))</f>
        <v>0.5</v>
      </c>
      <c r="L282" s="7">
        <f>INDEX(products!$A$1:$G$49,MATCH(orders!$D282,products!$A$1:$A$49,0),MATCH(orders!L$1,products!$A$1:$G$1,0))</f>
        <v>8.25</v>
      </c>
      <c r="M282" s="7">
        <f t="shared" si="4"/>
        <v>41.25</v>
      </c>
      <c r="N282" s="4" t="str" cm="1">
        <f t="array" ref="N282">_xlfn.IFS(I282="Rob","Robusta",I282="Exc","Excelsa",I282="Ara","Arabica",I282="Lib","Liberica")</f>
        <v>Excelsa</v>
      </c>
      <c r="O282" s="4" t="str" cm="1">
        <f t="array" ref="O282">_xlfn.IFS(J282="M","Medium",J282="L","Light",J282="D","Dark")</f>
        <v>Medium</v>
      </c>
      <c r="P282" s="4" t="str">
        <f>_xlfn.XLOOKUP(CoffeeOrderstable[[#This Row],[Customer ID]],customers!$A$1:$A$1001,customers!$I$1:$I$1001,,0)</f>
        <v>Yes</v>
      </c>
    </row>
    <row r="283" spans="1:16" x14ac:dyDescent="0.3">
      <c r="A283" s="3" t="s">
        <v>2079</v>
      </c>
      <c r="B283" s="5">
        <v>44210</v>
      </c>
      <c r="C283" s="3" t="s">
        <v>2080</v>
      </c>
      <c r="D283" s="4" t="s">
        <v>6171</v>
      </c>
      <c r="E283" s="3">
        <v>4</v>
      </c>
      <c r="F283" s="3" t="str">
        <f>_xlfn.XLOOKUP(C283,customers!$A$1:$A$1001,customers!$B$1:$B$1001,,0)</f>
        <v>Karlan Karby</v>
      </c>
      <c r="G283" s="3" t="str">
        <f>IF(_xlfn.XLOOKUP(C283,customers!$A$1:$A$1001,customers!$C$1:$C$1001,,0)=0,"", _xlfn.XLOOKUP(C283,customers!$A$1:$A$1001,customers!$C$1:$C$1001,,0))</f>
        <v>kkarby7t@sbwire.com</v>
      </c>
      <c r="H283" s="3" t="str">
        <f>_xlfn.XLOOKUP(C283,customers!$A$1:$A$1001,customers!$G$1:$G$1001,,0)</f>
        <v>United States</v>
      </c>
      <c r="I283" s="4" t="str">
        <f>INDEX(products!$A$1:$G$49,MATCH(orders!$D283,products!$A$1:$A$49,0),MATCH(orders!I$1,products!$A$1:$G$1,0))</f>
        <v>Exc</v>
      </c>
      <c r="J283" s="4" t="str">
        <f>INDEX(products!$A$1:$G$49,MATCH(orders!$D283,products!$A$1:$A$49,0),MATCH(orders!J$1,products!$A$1:$G$1,0))</f>
        <v>L</v>
      </c>
      <c r="K283" s="6">
        <f>INDEX(products!$A$1:$G$49,MATCH(orders!$D283,products!$A$1:$A$49,0),MATCH(orders!K$1,products!$A$1:$G$1,0))</f>
        <v>1</v>
      </c>
      <c r="L283" s="7">
        <f>INDEX(products!$A$1:$G$49,MATCH(orders!$D283,products!$A$1:$A$49,0),MATCH(orders!L$1,products!$A$1:$G$1,0))</f>
        <v>14.85</v>
      </c>
      <c r="M283" s="7">
        <f t="shared" si="4"/>
        <v>59.4</v>
      </c>
      <c r="N283" s="4" t="str" cm="1">
        <f t="array" ref="N283">_xlfn.IFS(I283="Rob","Robusta",I283="Exc","Excelsa",I283="Ara","Arabica",I283="Lib","Liberica")</f>
        <v>Excelsa</v>
      </c>
      <c r="O283" s="4" t="str" cm="1">
        <f t="array" ref="O283">_xlfn.IFS(J283="M","Medium",J283="L","Light",J283="D","Dark")</f>
        <v>Light</v>
      </c>
      <c r="P283" s="4" t="str">
        <f>_xlfn.XLOOKUP(CoffeeOrderstable[[#This Row],[Customer ID]],customers!$A$1:$A$1001,customers!$I$1:$I$1001,,0)</f>
        <v>Yes</v>
      </c>
    </row>
    <row r="284" spans="1:16" x14ac:dyDescent="0.3">
      <c r="A284" s="3" t="s">
        <v>2085</v>
      </c>
      <c r="B284" s="5">
        <v>43520</v>
      </c>
      <c r="C284" s="3" t="s">
        <v>2086</v>
      </c>
      <c r="D284" s="4" t="s">
        <v>6180</v>
      </c>
      <c r="E284" s="3">
        <v>1</v>
      </c>
      <c r="F284" s="3" t="str">
        <f>_xlfn.XLOOKUP(C284,customers!$A$1:$A$1001,customers!$B$1:$B$1001,,0)</f>
        <v>Flory Crumpe</v>
      </c>
      <c r="G284" s="3" t="str">
        <f>IF(_xlfn.XLOOKUP(C284,customers!$A$1:$A$1001,customers!$C$1:$C$1001,,0)=0,"", _xlfn.XLOOKUP(C284,customers!$A$1:$A$1001,customers!$C$1:$C$1001,,0))</f>
        <v>fcrumpe7u@ftc.gov</v>
      </c>
      <c r="H284" s="3" t="str">
        <f>_xlfn.XLOOKUP(C284,customers!$A$1:$A$1001,customers!$G$1:$G$1001,,0)</f>
        <v>United Kingdom</v>
      </c>
      <c r="I284" s="4" t="str">
        <f>INDEX(products!$A$1:$G$49,MATCH(orders!$D284,products!$A$1:$A$49,0),MATCH(orders!I$1,products!$A$1:$G$1,0))</f>
        <v>Ara</v>
      </c>
      <c r="J284" s="4" t="str">
        <f>INDEX(products!$A$1:$G$49,MATCH(orders!$D284,products!$A$1:$A$49,0),MATCH(orders!J$1,products!$A$1:$G$1,0))</f>
        <v>L</v>
      </c>
      <c r="K284" s="6">
        <f>INDEX(products!$A$1:$G$49,MATCH(orders!$D284,products!$A$1:$A$49,0),MATCH(orders!K$1,products!$A$1:$G$1,0))</f>
        <v>0.5</v>
      </c>
      <c r="L284" s="7">
        <f>INDEX(products!$A$1:$G$49,MATCH(orders!$D284,products!$A$1:$A$49,0),MATCH(orders!L$1,products!$A$1:$G$1,0))</f>
        <v>7.77</v>
      </c>
      <c r="M284" s="7">
        <f t="shared" si="4"/>
        <v>7.77</v>
      </c>
      <c r="N284" s="4" t="str" cm="1">
        <f t="array" ref="N284">_xlfn.IFS(I284="Rob","Robusta",I284="Exc","Excelsa",I284="Ara","Arabica",I284="Lib","Liberica")</f>
        <v>Arabica</v>
      </c>
      <c r="O284" s="4" t="str" cm="1">
        <f t="array" ref="O284">_xlfn.IFS(J284="M","Medium",J284="L","Light",J284="D","Dark")</f>
        <v>Light</v>
      </c>
      <c r="P284" s="4" t="str">
        <f>_xlfn.XLOOKUP(CoffeeOrderstable[[#This Row],[Customer ID]],customers!$A$1:$A$1001,customers!$I$1:$I$1001,,0)</f>
        <v>No</v>
      </c>
    </row>
    <row r="285" spans="1:16" x14ac:dyDescent="0.3">
      <c r="A285" s="3" t="s">
        <v>2091</v>
      </c>
      <c r="B285" s="5">
        <v>43639</v>
      </c>
      <c r="C285" s="3" t="s">
        <v>2092</v>
      </c>
      <c r="D285" s="4" t="s">
        <v>6172</v>
      </c>
      <c r="E285" s="3">
        <v>1</v>
      </c>
      <c r="F285" s="3" t="str">
        <f>_xlfn.XLOOKUP(C285,customers!$A$1:$A$1001,customers!$B$1:$B$1001,,0)</f>
        <v>Amity Chatto</v>
      </c>
      <c r="G285" s="3" t="str">
        <f>IF(_xlfn.XLOOKUP(C285,customers!$A$1:$A$1001,customers!$C$1:$C$1001,,0)=0,"", _xlfn.XLOOKUP(C285,customers!$A$1:$A$1001,customers!$C$1:$C$1001,,0))</f>
        <v>achatto7v@sakura.ne.jp</v>
      </c>
      <c r="H285" s="3" t="str">
        <f>_xlfn.XLOOKUP(C285,customers!$A$1:$A$1001,customers!$G$1:$G$1001,,0)</f>
        <v>United Kingdom</v>
      </c>
      <c r="I285" s="4" t="str">
        <f>INDEX(products!$A$1:$G$49,MATCH(orders!$D285,products!$A$1:$A$49,0),MATCH(orders!I$1,products!$A$1:$G$1,0))</f>
        <v>Rob</v>
      </c>
      <c r="J285" s="4" t="str">
        <f>INDEX(products!$A$1:$G$49,MATCH(orders!$D285,products!$A$1:$A$49,0),MATCH(orders!J$1,products!$A$1:$G$1,0))</f>
        <v>D</v>
      </c>
      <c r="K285" s="6">
        <f>INDEX(products!$A$1:$G$49,MATCH(orders!$D285,products!$A$1:$A$49,0),MATCH(orders!K$1,products!$A$1:$G$1,0))</f>
        <v>0.5</v>
      </c>
      <c r="L285" s="7">
        <f>INDEX(products!$A$1:$G$49,MATCH(orders!$D285,products!$A$1:$A$49,0),MATCH(orders!L$1,products!$A$1:$G$1,0))</f>
        <v>5.3699999999999992</v>
      </c>
      <c r="M285" s="7">
        <f t="shared" si="4"/>
        <v>5.3699999999999992</v>
      </c>
      <c r="N285" s="4" t="str" cm="1">
        <f t="array" ref="N285">_xlfn.IFS(I285="Rob","Robusta",I285="Exc","Excelsa",I285="Ara","Arabica",I285="Lib","Liberica")</f>
        <v>Robusta</v>
      </c>
      <c r="O285" s="4" t="str" cm="1">
        <f t="array" ref="O285">_xlfn.IFS(J285="M","Medium",J285="L","Light",J285="D","Dark")</f>
        <v>Dark</v>
      </c>
      <c r="P285" s="4" t="str">
        <f>_xlfn.XLOOKUP(CoffeeOrderstable[[#This Row],[Customer ID]],customers!$A$1:$A$1001,customers!$I$1:$I$1001,,0)</f>
        <v>Yes</v>
      </c>
    </row>
    <row r="286" spans="1:16" x14ac:dyDescent="0.3">
      <c r="A286" s="3" t="s">
        <v>2097</v>
      </c>
      <c r="B286" s="5">
        <v>43960</v>
      </c>
      <c r="C286" s="3" t="s">
        <v>2098</v>
      </c>
      <c r="D286" s="4" t="s">
        <v>6166</v>
      </c>
      <c r="E286" s="3">
        <v>3</v>
      </c>
      <c r="F286" s="3" t="str">
        <f>_xlfn.XLOOKUP(C286,customers!$A$1:$A$1001,customers!$B$1:$B$1001,,0)</f>
        <v>Nanine McCarthy</v>
      </c>
      <c r="G286" s="3" t="str">
        <f>IF(_xlfn.XLOOKUP(C286,customers!$A$1:$A$1001,customers!$C$1:$C$1001,,0)=0,"", _xlfn.XLOOKUP(C286,customers!$A$1:$A$1001,customers!$C$1:$C$1001,,0))</f>
        <v/>
      </c>
      <c r="H286" s="3" t="str">
        <f>_xlfn.XLOOKUP(C286,customers!$A$1:$A$1001,customers!$G$1:$G$1001,,0)</f>
        <v>United States</v>
      </c>
      <c r="I286" s="4" t="str">
        <f>INDEX(products!$A$1:$G$49,MATCH(orders!$D286,products!$A$1:$A$49,0),MATCH(orders!I$1,products!$A$1:$G$1,0))</f>
        <v>Exc</v>
      </c>
      <c r="J286" s="4" t="str">
        <f>INDEX(products!$A$1:$G$49,MATCH(orders!$D286,products!$A$1:$A$49,0),MATCH(orders!J$1,products!$A$1:$G$1,0))</f>
        <v>M</v>
      </c>
      <c r="K286" s="6">
        <f>INDEX(products!$A$1:$G$49,MATCH(orders!$D286,products!$A$1:$A$49,0),MATCH(orders!K$1,products!$A$1:$G$1,0))</f>
        <v>2.5</v>
      </c>
      <c r="L286" s="7">
        <f>INDEX(products!$A$1:$G$49,MATCH(orders!$D286,products!$A$1:$A$49,0),MATCH(orders!L$1,products!$A$1:$G$1,0))</f>
        <v>31.624999999999996</v>
      </c>
      <c r="M286" s="7">
        <f t="shared" si="4"/>
        <v>94.874999999999986</v>
      </c>
      <c r="N286" s="4" t="str" cm="1">
        <f t="array" ref="N286">_xlfn.IFS(I286="Rob","Robusta",I286="Exc","Excelsa",I286="Ara","Arabica",I286="Lib","Liberica")</f>
        <v>Excelsa</v>
      </c>
      <c r="O286" s="4" t="str" cm="1">
        <f t="array" ref="O286">_xlfn.IFS(J286="M","Medium",J286="L","Light",J286="D","Dark")</f>
        <v>Medium</v>
      </c>
      <c r="P286" s="4" t="str">
        <f>_xlfn.XLOOKUP(CoffeeOrderstable[[#This Row],[Customer ID]],customers!$A$1:$A$1001,customers!$I$1:$I$1001,,0)</f>
        <v>No</v>
      </c>
    </row>
    <row r="287" spans="1:16" x14ac:dyDescent="0.3">
      <c r="A287" s="3" t="s">
        <v>2102</v>
      </c>
      <c r="B287" s="5">
        <v>44030</v>
      </c>
      <c r="C287" s="3" t="s">
        <v>2103</v>
      </c>
      <c r="D287" s="4" t="s">
        <v>6164</v>
      </c>
      <c r="E287" s="3">
        <v>1</v>
      </c>
      <c r="F287" s="3" t="str">
        <f>_xlfn.XLOOKUP(C287,customers!$A$1:$A$1001,customers!$B$1:$B$1001,,0)</f>
        <v>Lyndsey Megany</v>
      </c>
      <c r="G287" s="3" t="str">
        <f>IF(_xlfn.XLOOKUP(C287,customers!$A$1:$A$1001,customers!$C$1:$C$1001,,0)=0,"", _xlfn.XLOOKUP(C287,customers!$A$1:$A$1001,customers!$C$1:$C$1001,,0))</f>
        <v/>
      </c>
      <c r="H287" s="3" t="str">
        <f>_xlfn.XLOOKUP(C287,customers!$A$1:$A$1001,customers!$G$1:$G$1001,,0)</f>
        <v>United States</v>
      </c>
      <c r="I287" s="4" t="str">
        <f>INDEX(products!$A$1:$G$49,MATCH(orders!$D287,products!$A$1:$A$49,0),MATCH(orders!I$1,products!$A$1:$G$1,0))</f>
        <v>Lib</v>
      </c>
      <c r="J287" s="4" t="str">
        <f>INDEX(products!$A$1:$G$49,MATCH(orders!$D287,products!$A$1:$A$49,0),MATCH(orders!J$1,products!$A$1:$G$1,0))</f>
        <v>L</v>
      </c>
      <c r="K287" s="6">
        <f>INDEX(products!$A$1:$G$49,MATCH(orders!$D287,products!$A$1:$A$49,0),MATCH(orders!K$1,products!$A$1:$G$1,0))</f>
        <v>2.5</v>
      </c>
      <c r="L287" s="7">
        <f>INDEX(products!$A$1:$G$49,MATCH(orders!$D287,products!$A$1:$A$49,0),MATCH(orders!L$1,products!$A$1:$G$1,0))</f>
        <v>36.454999999999998</v>
      </c>
      <c r="M287" s="7">
        <f t="shared" si="4"/>
        <v>36.454999999999998</v>
      </c>
      <c r="N287" s="4" t="str" cm="1">
        <f t="array" ref="N287">_xlfn.IFS(I287="Rob","Robusta",I287="Exc","Excelsa",I287="Ara","Arabica",I287="Lib","Liberica")</f>
        <v>Liberica</v>
      </c>
      <c r="O287" s="4" t="str" cm="1">
        <f t="array" ref="O287">_xlfn.IFS(J287="M","Medium",J287="L","Light",J287="D","Dark")</f>
        <v>Light</v>
      </c>
      <c r="P287" s="4" t="str">
        <f>_xlfn.XLOOKUP(CoffeeOrderstable[[#This Row],[Customer ID]],customers!$A$1:$A$1001,customers!$I$1:$I$1001,,0)</f>
        <v>No</v>
      </c>
    </row>
    <row r="288" spans="1:16" x14ac:dyDescent="0.3">
      <c r="A288" s="3" t="s">
        <v>2107</v>
      </c>
      <c r="B288" s="5">
        <v>43755</v>
      </c>
      <c r="C288" s="3" t="s">
        <v>2108</v>
      </c>
      <c r="D288" s="4" t="s">
        <v>6152</v>
      </c>
      <c r="E288" s="3">
        <v>4</v>
      </c>
      <c r="F288" s="3" t="str">
        <f>_xlfn.XLOOKUP(C288,customers!$A$1:$A$1001,customers!$B$1:$B$1001,,0)</f>
        <v>Byram Mergue</v>
      </c>
      <c r="G288" s="3" t="str">
        <f>IF(_xlfn.XLOOKUP(C288,customers!$A$1:$A$1001,customers!$C$1:$C$1001,,0)=0,"", _xlfn.XLOOKUP(C288,customers!$A$1:$A$1001,customers!$C$1:$C$1001,,0))</f>
        <v>bmergue7y@umn.edu</v>
      </c>
      <c r="H288" s="3" t="str">
        <f>_xlfn.XLOOKUP(C288,customers!$A$1:$A$1001,customers!$G$1:$G$1001,,0)</f>
        <v>United States</v>
      </c>
      <c r="I288" s="4" t="str">
        <f>INDEX(products!$A$1:$G$49,MATCH(orders!$D288,products!$A$1:$A$49,0),MATCH(orders!I$1,products!$A$1:$G$1,0))</f>
        <v>Ara</v>
      </c>
      <c r="J288" s="4" t="str">
        <f>INDEX(products!$A$1:$G$49,MATCH(orders!$D288,products!$A$1:$A$49,0),MATCH(orders!J$1,products!$A$1:$G$1,0))</f>
        <v>M</v>
      </c>
      <c r="K288" s="6">
        <f>INDEX(products!$A$1:$G$49,MATCH(orders!$D288,products!$A$1:$A$49,0),MATCH(orders!K$1,products!$A$1:$G$1,0))</f>
        <v>0.2</v>
      </c>
      <c r="L288" s="7">
        <f>INDEX(products!$A$1:$G$49,MATCH(orders!$D288,products!$A$1:$A$49,0),MATCH(orders!L$1,products!$A$1:$G$1,0))</f>
        <v>3.375</v>
      </c>
      <c r="M288" s="7">
        <f t="shared" si="4"/>
        <v>13.5</v>
      </c>
      <c r="N288" s="4" t="str" cm="1">
        <f t="array" ref="N288">_xlfn.IFS(I288="Rob","Robusta",I288="Exc","Excelsa",I288="Ara","Arabica",I288="Lib","Liberica")</f>
        <v>Arabica</v>
      </c>
      <c r="O288" s="4" t="str" cm="1">
        <f t="array" ref="O288">_xlfn.IFS(J288="M","Medium",J288="L","Light",J288="D","Dark")</f>
        <v>Medium</v>
      </c>
      <c r="P288" s="4" t="str">
        <f>_xlfn.XLOOKUP(CoffeeOrderstable[[#This Row],[Customer ID]],customers!$A$1:$A$1001,customers!$I$1:$I$1001,,0)</f>
        <v>Yes</v>
      </c>
    </row>
    <row r="289" spans="1:16" x14ac:dyDescent="0.3">
      <c r="A289" s="3" t="s">
        <v>2112</v>
      </c>
      <c r="B289" s="5">
        <v>44697</v>
      </c>
      <c r="C289" s="3" t="s">
        <v>2113</v>
      </c>
      <c r="D289" s="4" t="s">
        <v>6178</v>
      </c>
      <c r="E289" s="3">
        <v>4</v>
      </c>
      <c r="F289" s="3" t="str">
        <f>_xlfn.XLOOKUP(C289,customers!$A$1:$A$1001,customers!$B$1:$B$1001,,0)</f>
        <v>Kerr Patise</v>
      </c>
      <c r="G289" s="3" t="str">
        <f>IF(_xlfn.XLOOKUP(C289,customers!$A$1:$A$1001,customers!$C$1:$C$1001,,0)=0,"", _xlfn.XLOOKUP(C289,customers!$A$1:$A$1001,customers!$C$1:$C$1001,,0))</f>
        <v>kpatise7z@jigsy.com</v>
      </c>
      <c r="H289" s="3" t="str">
        <f>_xlfn.XLOOKUP(C289,customers!$A$1:$A$1001,customers!$G$1:$G$1001,,0)</f>
        <v>United States</v>
      </c>
      <c r="I289" s="4" t="str">
        <f>INDEX(products!$A$1:$G$49,MATCH(orders!$D289,products!$A$1:$A$49,0),MATCH(orders!I$1,products!$A$1:$G$1,0))</f>
        <v>Rob</v>
      </c>
      <c r="J289" s="4" t="str">
        <f>INDEX(products!$A$1:$G$49,MATCH(orders!$D289,products!$A$1:$A$49,0),MATCH(orders!J$1,products!$A$1:$G$1,0))</f>
        <v>L</v>
      </c>
      <c r="K289" s="6">
        <f>INDEX(products!$A$1:$G$49,MATCH(orders!$D289,products!$A$1:$A$49,0),MATCH(orders!K$1,products!$A$1:$G$1,0))</f>
        <v>0.2</v>
      </c>
      <c r="L289" s="7">
        <f>INDEX(products!$A$1:$G$49,MATCH(orders!$D289,products!$A$1:$A$49,0),MATCH(orders!L$1,products!$A$1:$G$1,0))</f>
        <v>3.5849999999999995</v>
      </c>
      <c r="M289" s="7">
        <f t="shared" si="4"/>
        <v>14.339999999999998</v>
      </c>
      <c r="N289" s="4" t="str" cm="1">
        <f t="array" ref="N289">_xlfn.IFS(I289="Rob","Robusta",I289="Exc","Excelsa",I289="Ara","Arabica",I289="Lib","Liberica")</f>
        <v>Robusta</v>
      </c>
      <c r="O289" s="4" t="str" cm="1">
        <f t="array" ref="O289">_xlfn.IFS(J289="M","Medium",J289="L","Light",J289="D","Dark")</f>
        <v>Light</v>
      </c>
      <c r="P289" s="4" t="str">
        <f>_xlfn.XLOOKUP(CoffeeOrderstable[[#This Row],[Customer ID]],customers!$A$1:$A$1001,customers!$I$1:$I$1001,,0)</f>
        <v>No</v>
      </c>
    </row>
    <row r="290" spans="1:16" x14ac:dyDescent="0.3">
      <c r="A290" s="3" t="s">
        <v>2118</v>
      </c>
      <c r="B290" s="5">
        <v>44279</v>
      </c>
      <c r="C290" s="3" t="s">
        <v>2119</v>
      </c>
      <c r="D290" s="4" t="s">
        <v>6139</v>
      </c>
      <c r="E290" s="3">
        <v>1</v>
      </c>
      <c r="F290" s="3" t="str">
        <f>_xlfn.XLOOKUP(C290,customers!$A$1:$A$1001,customers!$B$1:$B$1001,,0)</f>
        <v>Mathew Goulter</v>
      </c>
      <c r="G290" s="3" t="str">
        <f>IF(_xlfn.XLOOKUP(C290,customers!$A$1:$A$1001,customers!$C$1:$C$1001,,0)=0,"", _xlfn.XLOOKUP(C290,customers!$A$1:$A$1001,customers!$C$1:$C$1001,,0))</f>
        <v/>
      </c>
      <c r="H290" s="3" t="str">
        <f>_xlfn.XLOOKUP(C290,customers!$A$1:$A$1001,customers!$G$1:$G$1001,,0)</f>
        <v>Ireland</v>
      </c>
      <c r="I290" s="4" t="str">
        <f>INDEX(products!$A$1:$G$49,MATCH(orders!$D290,products!$A$1:$A$49,0),MATCH(orders!I$1,products!$A$1:$G$1,0))</f>
        <v>Exc</v>
      </c>
      <c r="J290" s="4" t="str">
        <f>INDEX(products!$A$1:$G$49,MATCH(orders!$D290,products!$A$1:$A$49,0),MATCH(orders!J$1,products!$A$1:$G$1,0))</f>
        <v>M</v>
      </c>
      <c r="K290" s="6">
        <f>INDEX(products!$A$1:$G$49,MATCH(orders!$D290,products!$A$1:$A$49,0),MATCH(orders!K$1,products!$A$1:$G$1,0))</f>
        <v>0.5</v>
      </c>
      <c r="L290" s="7">
        <f>INDEX(products!$A$1:$G$49,MATCH(orders!$D290,products!$A$1:$A$49,0),MATCH(orders!L$1,products!$A$1:$G$1,0))</f>
        <v>8.25</v>
      </c>
      <c r="M290" s="7">
        <f t="shared" si="4"/>
        <v>8.25</v>
      </c>
      <c r="N290" s="4" t="str" cm="1">
        <f t="array" ref="N290">_xlfn.IFS(I290="Rob","Robusta",I290="Exc","Excelsa",I290="Ara","Arabica",I290="Lib","Liberica")</f>
        <v>Excelsa</v>
      </c>
      <c r="O290" s="4" t="str" cm="1">
        <f t="array" ref="O290">_xlfn.IFS(J290="M","Medium",J290="L","Light",J290="D","Dark")</f>
        <v>Medium</v>
      </c>
      <c r="P290" s="4" t="str">
        <f>_xlfn.XLOOKUP(CoffeeOrderstable[[#This Row],[Customer ID]],customers!$A$1:$A$1001,customers!$I$1:$I$1001,,0)</f>
        <v>Yes</v>
      </c>
    </row>
    <row r="291" spans="1:16" x14ac:dyDescent="0.3">
      <c r="A291" s="3" t="s">
        <v>2123</v>
      </c>
      <c r="B291" s="5">
        <v>43772</v>
      </c>
      <c r="C291" s="3" t="s">
        <v>2124</v>
      </c>
      <c r="D291" s="4" t="s">
        <v>6163</v>
      </c>
      <c r="E291" s="3">
        <v>5</v>
      </c>
      <c r="F291" s="3" t="str">
        <f>_xlfn.XLOOKUP(C291,customers!$A$1:$A$1001,customers!$B$1:$B$1001,,0)</f>
        <v>Marris Grcic</v>
      </c>
      <c r="G291" s="3" t="str">
        <f>IF(_xlfn.XLOOKUP(C291,customers!$A$1:$A$1001,customers!$C$1:$C$1001,,0)=0,"", _xlfn.XLOOKUP(C291,customers!$A$1:$A$1001,customers!$C$1:$C$1001,,0))</f>
        <v/>
      </c>
      <c r="H291" s="3" t="str">
        <f>_xlfn.XLOOKUP(C291,customers!$A$1:$A$1001,customers!$G$1:$G$1001,,0)</f>
        <v>United States</v>
      </c>
      <c r="I291" s="4" t="str">
        <f>INDEX(products!$A$1:$G$49,MATCH(orders!$D291,products!$A$1:$A$49,0),MATCH(orders!I$1,products!$A$1:$G$1,0))</f>
        <v>Rob</v>
      </c>
      <c r="J291" s="4" t="str">
        <f>INDEX(products!$A$1:$G$49,MATCH(orders!$D291,products!$A$1:$A$49,0),MATCH(orders!J$1,products!$A$1:$G$1,0))</f>
        <v>D</v>
      </c>
      <c r="K291" s="6">
        <f>INDEX(products!$A$1:$G$49,MATCH(orders!$D291,products!$A$1:$A$49,0),MATCH(orders!K$1,products!$A$1:$G$1,0))</f>
        <v>0.2</v>
      </c>
      <c r="L291" s="7">
        <f>INDEX(products!$A$1:$G$49,MATCH(orders!$D291,products!$A$1:$A$49,0),MATCH(orders!L$1,products!$A$1:$G$1,0))</f>
        <v>2.6849999999999996</v>
      </c>
      <c r="M291" s="7">
        <f t="shared" si="4"/>
        <v>13.424999999999997</v>
      </c>
      <c r="N291" s="4" t="str" cm="1">
        <f t="array" ref="N291">_xlfn.IFS(I291="Rob","Robusta",I291="Exc","Excelsa",I291="Ara","Arabica",I291="Lib","Liberica")</f>
        <v>Robusta</v>
      </c>
      <c r="O291" s="4" t="str" cm="1">
        <f t="array" ref="O291">_xlfn.IFS(J291="M","Medium",J291="L","Light",J291="D","Dark")</f>
        <v>Dark</v>
      </c>
      <c r="P291" s="4" t="str">
        <f>_xlfn.XLOOKUP(CoffeeOrderstable[[#This Row],[Customer ID]],customers!$A$1:$A$1001,customers!$I$1:$I$1001,,0)</f>
        <v>Yes</v>
      </c>
    </row>
    <row r="292" spans="1:16" x14ac:dyDescent="0.3">
      <c r="A292" s="3" t="s">
        <v>2127</v>
      </c>
      <c r="B292" s="5">
        <v>44497</v>
      </c>
      <c r="C292" s="3" t="s">
        <v>2128</v>
      </c>
      <c r="D292" s="4" t="s">
        <v>6147</v>
      </c>
      <c r="E292" s="3">
        <v>5</v>
      </c>
      <c r="F292" s="3" t="str">
        <f>_xlfn.XLOOKUP(C292,customers!$A$1:$A$1001,customers!$B$1:$B$1001,,0)</f>
        <v>Domeniga Duke</v>
      </c>
      <c r="G292" s="3" t="str">
        <f>IF(_xlfn.XLOOKUP(C292,customers!$A$1:$A$1001,customers!$C$1:$C$1001,,0)=0,"", _xlfn.XLOOKUP(C292,customers!$A$1:$A$1001,customers!$C$1:$C$1001,,0))</f>
        <v>dduke82@vkontakte.ru</v>
      </c>
      <c r="H292" s="3" t="str">
        <f>_xlfn.XLOOKUP(C292,customers!$A$1:$A$1001,customers!$G$1:$G$1001,,0)</f>
        <v>United States</v>
      </c>
      <c r="I292" s="4" t="str">
        <f>INDEX(products!$A$1:$G$49,MATCH(orders!$D292,products!$A$1:$A$49,0),MATCH(orders!I$1,products!$A$1:$G$1,0))</f>
        <v>Ara</v>
      </c>
      <c r="J292" s="4" t="str">
        <f>INDEX(products!$A$1:$G$49,MATCH(orders!$D292,products!$A$1:$A$49,0),MATCH(orders!J$1,products!$A$1:$G$1,0))</f>
        <v>D</v>
      </c>
      <c r="K292" s="6">
        <f>INDEX(products!$A$1:$G$49,MATCH(orders!$D292,products!$A$1:$A$49,0),MATCH(orders!K$1,products!$A$1:$G$1,0))</f>
        <v>1</v>
      </c>
      <c r="L292" s="7">
        <f>INDEX(products!$A$1:$G$49,MATCH(orders!$D292,products!$A$1:$A$49,0),MATCH(orders!L$1,products!$A$1:$G$1,0))</f>
        <v>9.9499999999999993</v>
      </c>
      <c r="M292" s="7">
        <f t="shared" si="4"/>
        <v>49.75</v>
      </c>
      <c r="N292" s="4" t="str" cm="1">
        <f t="array" ref="N292">_xlfn.IFS(I292="Rob","Robusta",I292="Exc","Excelsa",I292="Ara","Arabica",I292="Lib","Liberica")</f>
        <v>Arabica</v>
      </c>
      <c r="O292" s="4" t="str" cm="1">
        <f t="array" ref="O292">_xlfn.IFS(J292="M","Medium",J292="L","Light",J292="D","Dark")</f>
        <v>Dark</v>
      </c>
      <c r="P292" s="4" t="str">
        <f>_xlfn.XLOOKUP(CoffeeOrderstable[[#This Row],[Customer ID]],customers!$A$1:$A$1001,customers!$I$1:$I$1001,,0)</f>
        <v>No</v>
      </c>
    </row>
    <row r="293" spans="1:16" x14ac:dyDescent="0.3">
      <c r="A293" s="3" t="s">
        <v>2133</v>
      </c>
      <c r="B293" s="5">
        <v>44181</v>
      </c>
      <c r="C293" s="3" t="s">
        <v>2134</v>
      </c>
      <c r="D293" s="4" t="s">
        <v>6139</v>
      </c>
      <c r="E293" s="3">
        <v>2</v>
      </c>
      <c r="F293" s="3" t="str">
        <f>_xlfn.XLOOKUP(C293,customers!$A$1:$A$1001,customers!$B$1:$B$1001,,0)</f>
        <v>Violante Skouling</v>
      </c>
      <c r="G293" s="3" t="str">
        <f>IF(_xlfn.XLOOKUP(C293,customers!$A$1:$A$1001,customers!$C$1:$C$1001,,0)=0,"", _xlfn.XLOOKUP(C293,customers!$A$1:$A$1001,customers!$C$1:$C$1001,,0))</f>
        <v/>
      </c>
      <c r="H293" s="3" t="str">
        <f>_xlfn.XLOOKUP(C293,customers!$A$1:$A$1001,customers!$G$1:$G$1001,,0)</f>
        <v>Ireland</v>
      </c>
      <c r="I293" s="4" t="str">
        <f>INDEX(products!$A$1:$G$49,MATCH(orders!$D293,products!$A$1:$A$49,0),MATCH(orders!I$1,products!$A$1:$G$1,0))</f>
        <v>Exc</v>
      </c>
      <c r="J293" s="4" t="str">
        <f>INDEX(products!$A$1:$G$49,MATCH(orders!$D293,products!$A$1:$A$49,0),MATCH(orders!J$1,products!$A$1:$G$1,0))</f>
        <v>M</v>
      </c>
      <c r="K293" s="6">
        <f>INDEX(products!$A$1:$G$49,MATCH(orders!$D293,products!$A$1:$A$49,0),MATCH(orders!K$1,products!$A$1:$G$1,0))</f>
        <v>0.5</v>
      </c>
      <c r="L293" s="7">
        <f>INDEX(products!$A$1:$G$49,MATCH(orders!$D293,products!$A$1:$A$49,0),MATCH(orders!L$1,products!$A$1:$G$1,0))</f>
        <v>8.25</v>
      </c>
      <c r="M293" s="7">
        <f t="shared" si="4"/>
        <v>16.5</v>
      </c>
      <c r="N293" s="4" t="str" cm="1">
        <f t="array" ref="N293">_xlfn.IFS(I293="Rob","Robusta",I293="Exc","Excelsa",I293="Ara","Arabica",I293="Lib","Liberica")</f>
        <v>Excelsa</v>
      </c>
      <c r="O293" s="4" t="str" cm="1">
        <f t="array" ref="O293">_xlfn.IFS(J293="M","Medium",J293="L","Light",J293="D","Dark")</f>
        <v>Medium</v>
      </c>
      <c r="P293" s="4" t="str">
        <f>_xlfn.XLOOKUP(CoffeeOrderstable[[#This Row],[Customer ID]],customers!$A$1:$A$1001,customers!$I$1:$I$1001,,0)</f>
        <v>No</v>
      </c>
    </row>
    <row r="294" spans="1:16" x14ac:dyDescent="0.3">
      <c r="A294" s="3" t="s">
        <v>2137</v>
      </c>
      <c r="B294" s="5">
        <v>44529</v>
      </c>
      <c r="C294" s="3" t="s">
        <v>2138</v>
      </c>
      <c r="D294" s="4" t="s">
        <v>6158</v>
      </c>
      <c r="E294" s="3">
        <v>3</v>
      </c>
      <c r="F294" s="3" t="str">
        <f>_xlfn.XLOOKUP(C294,customers!$A$1:$A$1001,customers!$B$1:$B$1001,,0)</f>
        <v>Isidore Hussey</v>
      </c>
      <c r="G294" s="3" t="str">
        <f>IF(_xlfn.XLOOKUP(C294,customers!$A$1:$A$1001,customers!$C$1:$C$1001,,0)=0,"", _xlfn.XLOOKUP(C294,customers!$A$1:$A$1001,customers!$C$1:$C$1001,,0))</f>
        <v>ihussey84@mapy.cz</v>
      </c>
      <c r="H294" s="3" t="str">
        <f>_xlfn.XLOOKUP(C294,customers!$A$1:$A$1001,customers!$G$1:$G$1001,,0)</f>
        <v>United States</v>
      </c>
      <c r="I294" s="4" t="str">
        <f>INDEX(products!$A$1:$G$49,MATCH(orders!$D294,products!$A$1:$A$49,0),MATCH(orders!I$1,products!$A$1:$G$1,0))</f>
        <v>Ara</v>
      </c>
      <c r="J294" s="4" t="str">
        <f>INDEX(products!$A$1:$G$49,MATCH(orders!$D294,products!$A$1:$A$49,0),MATCH(orders!J$1,products!$A$1:$G$1,0))</f>
        <v>D</v>
      </c>
      <c r="K294" s="6">
        <f>INDEX(products!$A$1:$G$49,MATCH(orders!$D294,products!$A$1:$A$49,0),MATCH(orders!K$1,products!$A$1:$G$1,0))</f>
        <v>0.5</v>
      </c>
      <c r="L294" s="7">
        <f>INDEX(products!$A$1:$G$49,MATCH(orders!$D294,products!$A$1:$A$49,0),MATCH(orders!L$1,products!$A$1:$G$1,0))</f>
        <v>5.97</v>
      </c>
      <c r="M294" s="7">
        <f t="shared" si="4"/>
        <v>17.91</v>
      </c>
      <c r="N294" s="4" t="str" cm="1">
        <f t="array" ref="N294">_xlfn.IFS(I294="Rob","Robusta",I294="Exc","Excelsa",I294="Ara","Arabica",I294="Lib","Liberica")</f>
        <v>Arabica</v>
      </c>
      <c r="O294" s="4" t="str" cm="1">
        <f t="array" ref="O294">_xlfn.IFS(J294="M","Medium",J294="L","Light",J294="D","Dark")</f>
        <v>Dark</v>
      </c>
      <c r="P294" s="4" t="str">
        <f>_xlfn.XLOOKUP(CoffeeOrderstable[[#This Row],[Customer ID]],customers!$A$1:$A$1001,customers!$I$1:$I$1001,,0)</f>
        <v>No</v>
      </c>
    </row>
    <row r="295" spans="1:16" x14ac:dyDescent="0.3">
      <c r="A295" s="3" t="s">
        <v>2142</v>
      </c>
      <c r="B295" s="5">
        <v>44275</v>
      </c>
      <c r="C295" s="3" t="s">
        <v>2143</v>
      </c>
      <c r="D295" s="4" t="s">
        <v>6158</v>
      </c>
      <c r="E295" s="3">
        <v>5</v>
      </c>
      <c r="F295" s="3" t="str">
        <f>_xlfn.XLOOKUP(C295,customers!$A$1:$A$1001,customers!$B$1:$B$1001,,0)</f>
        <v>Cassie Pinkerton</v>
      </c>
      <c r="G295" s="3" t="str">
        <f>IF(_xlfn.XLOOKUP(C295,customers!$A$1:$A$1001,customers!$C$1:$C$1001,,0)=0,"", _xlfn.XLOOKUP(C295,customers!$A$1:$A$1001,customers!$C$1:$C$1001,,0))</f>
        <v>cpinkerton85@upenn.edu</v>
      </c>
      <c r="H295" s="3" t="str">
        <f>_xlfn.XLOOKUP(C295,customers!$A$1:$A$1001,customers!$G$1:$G$1001,,0)</f>
        <v>United States</v>
      </c>
      <c r="I295" s="4" t="str">
        <f>INDEX(products!$A$1:$G$49,MATCH(orders!$D295,products!$A$1:$A$49,0),MATCH(orders!I$1,products!$A$1:$G$1,0))</f>
        <v>Ara</v>
      </c>
      <c r="J295" s="4" t="str">
        <f>INDEX(products!$A$1:$G$49,MATCH(orders!$D295,products!$A$1:$A$49,0),MATCH(orders!J$1,products!$A$1:$G$1,0))</f>
        <v>D</v>
      </c>
      <c r="K295" s="6">
        <f>INDEX(products!$A$1:$G$49,MATCH(orders!$D295,products!$A$1:$A$49,0),MATCH(orders!K$1,products!$A$1:$G$1,0))</f>
        <v>0.5</v>
      </c>
      <c r="L295" s="7">
        <f>INDEX(products!$A$1:$G$49,MATCH(orders!$D295,products!$A$1:$A$49,0),MATCH(orders!L$1,products!$A$1:$G$1,0))</f>
        <v>5.97</v>
      </c>
      <c r="M295" s="7">
        <f t="shared" si="4"/>
        <v>29.849999999999998</v>
      </c>
      <c r="N295" s="4" t="str" cm="1">
        <f t="array" ref="N295">_xlfn.IFS(I295="Rob","Robusta",I295="Exc","Excelsa",I295="Ara","Arabica",I295="Lib","Liberica")</f>
        <v>Arabica</v>
      </c>
      <c r="O295" s="4" t="str" cm="1">
        <f t="array" ref="O295">_xlfn.IFS(J295="M","Medium",J295="L","Light",J295="D","Dark")</f>
        <v>Dark</v>
      </c>
      <c r="P295" s="4" t="str">
        <f>_xlfn.XLOOKUP(CoffeeOrderstable[[#This Row],[Customer ID]],customers!$A$1:$A$1001,customers!$I$1:$I$1001,,0)</f>
        <v>No</v>
      </c>
    </row>
    <row r="296" spans="1:16" x14ac:dyDescent="0.3">
      <c r="A296" s="3" t="s">
        <v>2148</v>
      </c>
      <c r="B296" s="5">
        <v>44659</v>
      </c>
      <c r="C296" s="3" t="s">
        <v>2149</v>
      </c>
      <c r="D296" s="4" t="s">
        <v>6171</v>
      </c>
      <c r="E296" s="3">
        <v>3</v>
      </c>
      <c r="F296" s="3" t="str">
        <f>_xlfn.XLOOKUP(C296,customers!$A$1:$A$1001,customers!$B$1:$B$1001,,0)</f>
        <v>Micki Fero</v>
      </c>
      <c r="G296" s="3" t="str">
        <f>IF(_xlfn.XLOOKUP(C296,customers!$A$1:$A$1001,customers!$C$1:$C$1001,,0)=0,"", _xlfn.XLOOKUP(C296,customers!$A$1:$A$1001,customers!$C$1:$C$1001,,0))</f>
        <v/>
      </c>
      <c r="H296" s="3" t="str">
        <f>_xlfn.XLOOKUP(C296,customers!$A$1:$A$1001,customers!$G$1:$G$1001,,0)</f>
        <v>United States</v>
      </c>
      <c r="I296" s="4" t="str">
        <f>INDEX(products!$A$1:$G$49,MATCH(orders!$D296,products!$A$1:$A$49,0),MATCH(orders!I$1,products!$A$1:$G$1,0))</f>
        <v>Exc</v>
      </c>
      <c r="J296" s="4" t="str">
        <f>INDEX(products!$A$1:$G$49,MATCH(orders!$D296,products!$A$1:$A$49,0),MATCH(orders!J$1,products!$A$1:$G$1,0))</f>
        <v>L</v>
      </c>
      <c r="K296" s="6">
        <f>INDEX(products!$A$1:$G$49,MATCH(orders!$D296,products!$A$1:$A$49,0),MATCH(orders!K$1,products!$A$1:$G$1,0))</f>
        <v>1</v>
      </c>
      <c r="L296" s="7">
        <f>INDEX(products!$A$1:$G$49,MATCH(orders!$D296,products!$A$1:$A$49,0),MATCH(orders!L$1,products!$A$1:$G$1,0))</f>
        <v>14.85</v>
      </c>
      <c r="M296" s="7">
        <f t="shared" si="4"/>
        <v>44.55</v>
      </c>
      <c r="N296" s="4" t="str" cm="1">
        <f t="array" ref="N296">_xlfn.IFS(I296="Rob","Robusta",I296="Exc","Excelsa",I296="Ara","Arabica",I296="Lib","Liberica")</f>
        <v>Excelsa</v>
      </c>
      <c r="O296" s="4" t="str" cm="1">
        <f t="array" ref="O296">_xlfn.IFS(J296="M","Medium",J296="L","Light",J296="D","Dark")</f>
        <v>Light</v>
      </c>
      <c r="P296" s="4" t="str">
        <f>_xlfn.XLOOKUP(CoffeeOrderstable[[#This Row],[Customer ID]],customers!$A$1:$A$1001,customers!$I$1:$I$1001,,0)</f>
        <v>No</v>
      </c>
    </row>
    <row r="297" spans="1:16" x14ac:dyDescent="0.3">
      <c r="A297" s="3" t="s">
        <v>2153</v>
      </c>
      <c r="B297" s="5">
        <v>44057</v>
      </c>
      <c r="C297" s="3" t="s">
        <v>2154</v>
      </c>
      <c r="D297" s="4" t="s">
        <v>6141</v>
      </c>
      <c r="E297" s="3">
        <v>2</v>
      </c>
      <c r="F297" s="3" t="str">
        <f>_xlfn.XLOOKUP(C297,customers!$A$1:$A$1001,customers!$B$1:$B$1001,,0)</f>
        <v>Cybill Graddell</v>
      </c>
      <c r="G297" s="3" t="str">
        <f>IF(_xlfn.XLOOKUP(C297,customers!$A$1:$A$1001,customers!$C$1:$C$1001,,0)=0,"", _xlfn.XLOOKUP(C297,customers!$A$1:$A$1001,customers!$C$1:$C$1001,,0))</f>
        <v/>
      </c>
      <c r="H297" s="3" t="str">
        <f>_xlfn.XLOOKUP(C297,customers!$A$1:$A$1001,customers!$G$1:$G$1001,,0)</f>
        <v>United States</v>
      </c>
      <c r="I297" s="4" t="str">
        <f>INDEX(products!$A$1:$G$49,MATCH(orders!$D297,products!$A$1:$A$49,0),MATCH(orders!I$1,products!$A$1:$G$1,0))</f>
        <v>Exc</v>
      </c>
      <c r="J297" s="4" t="str">
        <f>INDEX(products!$A$1:$G$49,MATCH(orders!$D297,products!$A$1:$A$49,0),MATCH(orders!J$1,products!$A$1:$G$1,0))</f>
        <v>M</v>
      </c>
      <c r="K297" s="6">
        <f>INDEX(products!$A$1:$G$49,MATCH(orders!$D297,products!$A$1:$A$49,0),MATCH(orders!K$1,products!$A$1:$G$1,0))</f>
        <v>1</v>
      </c>
      <c r="L297" s="7">
        <f>INDEX(products!$A$1:$G$49,MATCH(orders!$D297,products!$A$1:$A$49,0),MATCH(orders!L$1,products!$A$1:$G$1,0))</f>
        <v>13.75</v>
      </c>
      <c r="M297" s="7">
        <f t="shared" si="4"/>
        <v>27.5</v>
      </c>
      <c r="N297" s="4" t="str" cm="1">
        <f t="array" ref="N297">_xlfn.IFS(I297="Rob","Robusta",I297="Exc","Excelsa",I297="Ara","Arabica",I297="Lib","Liberica")</f>
        <v>Excelsa</v>
      </c>
      <c r="O297" s="4" t="str" cm="1">
        <f t="array" ref="O297">_xlfn.IFS(J297="M","Medium",J297="L","Light",J297="D","Dark")</f>
        <v>Medium</v>
      </c>
      <c r="P297" s="4" t="str">
        <f>_xlfn.XLOOKUP(CoffeeOrderstable[[#This Row],[Customer ID]],customers!$A$1:$A$1001,customers!$I$1:$I$1001,,0)</f>
        <v>No</v>
      </c>
    </row>
    <row r="298" spans="1:16" x14ac:dyDescent="0.3">
      <c r="A298" s="3" t="s">
        <v>2157</v>
      </c>
      <c r="B298" s="5">
        <v>43597</v>
      </c>
      <c r="C298" s="3" t="s">
        <v>2158</v>
      </c>
      <c r="D298" s="4" t="s">
        <v>6146</v>
      </c>
      <c r="E298" s="3">
        <v>6</v>
      </c>
      <c r="F298" s="3" t="str">
        <f>_xlfn.XLOOKUP(C298,customers!$A$1:$A$1001,customers!$B$1:$B$1001,,0)</f>
        <v>Dorian Vizor</v>
      </c>
      <c r="G298" s="3" t="str">
        <f>IF(_xlfn.XLOOKUP(C298,customers!$A$1:$A$1001,customers!$C$1:$C$1001,,0)=0,"", _xlfn.XLOOKUP(C298,customers!$A$1:$A$1001,customers!$C$1:$C$1001,,0))</f>
        <v>dvizor88@furl.net</v>
      </c>
      <c r="H298" s="3" t="str">
        <f>_xlfn.XLOOKUP(C298,customers!$A$1:$A$1001,customers!$G$1:$G$1001,,0)</f>
        <v>United States</v>
      </c>
      <c r="I298" s="4" t="str">
        <f>INDEX(products!$A$1:$G$49,MATCH(orders!$D298,products!$A$1:$A$49,0),MATCH(orders!I$1,products!$A$1:$G$1,0))</f>
        <v>Rob</v>
      </c>
      <c r="J298" s="4" t="str">
        <f>INDEX(products!$A$1:$G$49,MATCH(orders!$D298,products!$A$1:$A$49,0),MATCH(orders!J$1,products!$A$1:$G$1,0))</f>
        <v>M</v>
      </c>
      <c r="K298" s="6">
        <f>INDEX(products!$A$1:$G$49,MATCH(orders!$D298,products!$A$1:$A$49,0),MATCH(orders!K$1,products!$A$1:$G$1,0))</f>
        <v>0.5</v>
      </c>
      <c r="L298" s="7">
        <f>INDEX(products!$A$1:$G$49,MATCH(orders!$D298,products!$A$1:$A$49,0),MATCH(orders!L$1,products!$A$1:$G$1,0))</f>
        <v>5.97</v>
      </c>
      <c r="M298" s="7">
        <f t="shared" si="4"/>
        <v>35.82</v>
      </c>
      <c r="N298" s="4" t="str" cm="1">
        <f t="array" ref="N298">_xlfn.IFS(I298="Rob","Robusta",I298="Exc","Excelsa",I298="Ara","Arabica",I298="Lib","Liberica")</f>
        <v>Robusta</v>
      </c>
      <c r="O298" s="4" t="str" cm="1">
        <f t="array" ref="O298">_xlfn.IFS(J298="M","Medium",J298="L","Light",J298="D","Dark")</f>
        <v>Medium</v>
      </c>
      <c r="P298" s="4" t="str">
        <f>_xlfn.XLOOKUP(CoffeeOrderstable[[#This Row],[Customer ID]],customers!$A$1:$A$1001,customers!$I$1:$I$1001,,0)</f>
        <v>Yes</v>
      </c>
    </row>
    <row r="299" spans="1:16" x14ac:dyDescent="0.3">
      <c r="A299" s="3" t="s">
        <v>2163</v>
      </c>
      <c r="B299" s="5">
        <v>44258</v>
      </c>
      <c r="C299" s="3" t="s">
        <v>2164</v>
      </c>
      <c r="D299" s="4" t="s">
        <v>6172</v>
      </c>
      <c r="E299" s="3">
        <v>3</v>
      </c>
      <c r="F299" s="3" t="str">
        <f>_xlfn.XLOOKUP(C299,customers!$A$1:$A$1001,customers!$B$1:$B$1001,,0)</f>
        <v>Eddi Sedgebeer</v>
      </c>
      <c r="G299" s="3" t="str">
        <f>IF(_xlfn.XLOOKUP(C299,customers!$A$1:$A$1001,customers!$C$1:$C$1001,,0)=0,"", _xlfn.XLOOKUP(C299,customers!$A$1:$A$1001,customers!$C$1:$C$1001,,0))</f>
        <v>esedgebeer89@oaic.gov.au</v>
      </c>
      <c r="H299" s="3" t="str">
        <f>_xlfn.XLOOKUP(C299,customers!$A$1:$A$1001,customers!$G$1:$G$1001,,0)</f>
        <v>United States</v>
      </c>
      <c r="I299" s="4" t="str">
        <f>INDEX(products!$A$1:$G$49,MATCH(orders!$D299,products!$A$1:$A$49,0),MATCH(orders!I$1,products!$A$1:$G$1,0))</f>
        <v>Rob</v>
      </c>
      <c r="J299" s="4" t="str">
        <f>INDEX(products!$A$1:$G$49,MATCH(orders!$D299,products!$A$1:$A$49,0),MATCH(orders!J$1,products!$A$1:$G$1,0))</f>
        <v>D</v>
      </c>
      <c r="K299" s="6">
        <f>INDEX(products!$A$1:$G$49,MATCH(orders!$D299,products!$A$1:$A$49,0),MATCH(orders!K$1,products!$A$1:$G$1,0))</f>
        <v>0.5</v>
      </c>
      <c r="L299" s="7">
        <f>INDEX(products!$A$1:$G$49,MATCH(orders!$D299,products!$A$1:$A$49,0),MATCH(orders!L$1,products!$A$1:$G$1,0))</f>
        <v>5.3699999999999992</v>
      </c>
      <c r="M299" s="7">
        <f t="shared" si="4"/>
        <v>16.11</v>
      </c>
      <c r="N299" s="4" t="str" cm="1">
        <f t="array" ref="N299">_xlfn.IFS(I299="Rob","Robusta",I299="Exc","Excelsa",I299="Ara","Arabica",I299="Lib","Liberica")</f>
        <v>Robusta</v>
      </c>
      <c r="O299" s="4" t="str" cm="1">
        <f t="array" ref="O299">_xlfn.IFS(J299="M","Medium",J299="L","Light",J299="D","Dark")</f>
        <v>Dark</v>
      </c>
      <c r="P299" s="4" t="str">
        <f>_xlfn.XLOOKUP(CoffeeOrderstable[[#This Row],[Customer ID]],customers!$A$1:$A$1001,customers!$I$1:$I$1001,,0)</f>
        <v>Yes</v>
      </c>
    </row>
    <row r="300" spans="1:16" x14ac:dyDescent="0.3">
      <c r="A300" s="3" t="s">
        <v>2169</v>
      </c>
      <c r="B300" s="5">
        <v>43872</v>
      </c>
      <c r="C300" s="3" t="s">
        <v>2170</v>
      </c>
      <c r="D300" s="4" t="s">
        <v>6184</v>
      </c>
      <c r="E300" s="3">
        <v>6</v>
      </c>
      <c r="F300" s="3" t="str">
        <f>_xlfn.XLOOKUP(C300,customers!$A$1:$A$1001,customers!$B$1:$B$1001,,0)</f>
        <v>Ken Lestrange</v>
      </c>
      <c r="G300" s="3" t="str">
        <f>IF(_xlfn.XLOOKUP(C300,customers!$A$1:$A$1001,customers!$C$1:$C$1001,,0)=0,"", _xlfn.XLOOKUP(C300,customers!$A$1:$A$1001,customers!$C$1:$C$1001,,0))</f>
        <v>klestrange8a@lulu.com</v>
      </c>
      <c r="H300" s="3" t="str">
        <f>_xlfn.XLOOKUP(C300,customers!$A$1:$A$1001,customers!$G$1:$G$1001,,0)</f>
        <v>United States</v>
      </c>
      <c r="I300" s="4" t="str">
        <f>INDEX(products!$A$1:$G$49,MATCH(orders!$D300,products!$A$1:$A$49,0),MATCH(orders!I$1,products!$A$1:$G$1,0))</f>
        <v>Exc</v>
      </c>
      <c r="J300" s="4" t="str">
        <f>INDEX(products!$A$1:$G$49,MATCH(orders!$D300,products!$A$1:$A$49,0),MATCH(orders!J$1,products!$A$1:$G$1,0))</f>
        <v>L</v>
      </c>
      <c r="K300" s="6">
        <f>INDEX(products!$A$1:$G$49,MATCH(orders!$D300,products!$A$1:$A$49,0),MATCH(orders!K$1,products!$A$1:$G$1,0))</f>
        <v>0.2</v>
      </c>
      <c r="L300" s="7">
        <f>INDEX(products!$A$1:$G$49,MATCH(orders!$D300,products!$A$1:$A$49,0),MATCH(orders!L$1,products!$A$1:$G$1,0))</f>
        <v>4.4550000000000001</v>
      </c>
      <c r="M300" s="7">
        <f t="shared" si="4"/>
        <v>26.73</v>
      </c>
      <c r="N300" s="4" t="str" cm="1">
        <f t="array" ref="N300">_xlfn.IFS(I300="Rob","Robusta",I300="Exc","Excelsa",I300="Ara","Arabica",I300="Lib","Liberica")</f>
        <v>Excelsa</v>
      </c>
      <c r="O300" s="4" t="str" cm="1">
        <f t="array" ref="O300">_xlfn.IFS(J300="M","Medium",J300="L","Light",J300="D","Dark")</f>
        <v>Light</v>
      </c>
      <c r="P300" s="4" t="str">
        <f>_xlfn.XLOOKUP(CoffeeOrderstable[[#This Row],[Customer ID]],customers!$A$1:$A$1001,customers!$I$1:$I$1001,,0)</f>
        <v>Yes</v>
      </c>
    </row>
    <row r="301" spans="1:16" x14ac:dyDescent="0.3">
      <c r="A301" s="3" t="s">
        <v>2175</v>
      </c>
      <c r="B301" s="5">
        <v>43582</v>
      </c>
      <c r="C301" s="3" t="s">
        <v>2176</v>
      </c>
      <c r="D301" s="4" t="s">
        <v>6148</v>
      </c>
      <c r="E301" s="3">
        <v>6</v>
      </c>
      <c r="F301" s="3" t="str">
        <f>_xlfn.XLOOKUP(C301,customers!$A$1:$A$1001,customers!$B$1:$B$1001,,0)</f>
        <v>Lacee Tanti</v>
      </c>
      <c r="G301" s="3" t="str">
        <f>IF(_xlfn.XLOOKUP(C301,customers!$A$1:$A$1001,customers!$C$1:$C$1001,,0)=0,"", _xlfn.XLOOKUP(C301,customers!$A$1:$A$1001,customers!$C$1:$C$1001,,0))</f>
        <v>ltanti8b@techcrunch.com</v>
      </c>
      <c r="H301" s="3" t="str">
        <f>_xlfn.XLOOKUP(C301,customers!$A$1:$A$1001,customers!$G$1:$G$1001,,0)</f>
        <v>United States</v>
      </c>
      <c r="I301" s="4" t="str">
        <f>INDEX(products!$A$1:$G$49,MATCH(orders!$D301,products!$A$1:$A$49,0),MATCH(orders!I$1,products!$A$1:$G$1,0))</f>
        <v>Exc</v>
      </c>
      <c r="J301" s="4" t="str">
        <f>INDEX(products!$A$1:$G$49,MATCH(orders!$D301,products!$A$1:$A$49,0),MATCH(orders!J$1,products!$A$1:$G$1,0))</f>
        <v>L</v>
      </c>
      <c r="K301" s="6">
        <f>INDEX(products!$A$1:$G$49,MATCH(orders!$D301,products!$A$1:$A$49,0),MATCH(orders!K$1,products!$A$1:$G$1,0))</f>
        <v>2.5</v>
      </c>
      <c r="L301" s="7">
        <f>INDEX(products!$A$1:$G$49,MATCH(orders!$D301,products!$A$1:$A$49,0),MATCH(orders!L$1,products!$A$1:$G$1,0))</f>
        <v>34.154999999999994</v>
      </c>
      <c r="M301" s="7">
        <f t="shared" si="4"/>
        <v>204.92999999999995</v>
      </c>
      <c r="N301" s="4" t="str" cm="1">
        <f t="array" ref="N301">_xlfn.IFS(I301="Rob","Robusta",I301="Exc","Excelsa",I301="Ara","Arabica",I301="Lib","Liberica")</f>
        <v>Excelsa</v>
      </c>
      <c r="O301" s="4" t="str" cm="1">
        <f t="array" ref="O301">_xlfn.IFS(J301="M","Medium",J301="L","Light",J301="D","Dark")</f>
        <v>Light</v>
      </c>
      <c r="P301" s="4" t="str">
        <f>_xlfn.XLOOKUP(CoffeeOrderstable[[#This Row],[Customer ID]],customers!$A$1:$A$1001,customers!$I$1:$I$1001,,0)</f>
        <v>Yes</v>
      </c>
    </row>
    <row r="302" spans="1:16" x14ac:dyDescent="0.3">
      <c r="A302" s="3" t="s">
        <v>2181</v>
      </c>
      <c r="B302" s="5">
        <v>44646</v>
      </c>
      <c r="C302" s="3" t="s">
        <v>2182</v>
      </c>
      <c r="D302" s="4" t="s">
        <v>6140</v>
      </c>
      <c r="E302" s="3">
        <v>3</v>
      </c>
      <c r="F302" s="3" t="str">
        <f>_xlfn.XLOOKUP(C302,customers!$A$1:$A$1001,customers!$B$1:$B$1001,,0)</f>
        <v>Arel De Lasci</v>
      </c>
      <c r="G302" s="3" t="str">
        <f>IF(_xlfn.XLOOKUP(C302,customers!$A$1:$A$1001,customers!$C$1:$C$1001,,0)=0,"", _xlfn.XLOOKUP(C302,customers!$A$1:$A$1001,customers!$C$1:$C$1001,,0))</f>
        <v>ade8c@1und1.de</v>
      </c>
      <c r="H302" s="3" t="str">
        <f>_xlfn.XLOOKUP(C302,customers!$A$1:$A$1001,customers!$G$1:$G$1001,,0)</f>
        <v>United States</v>
      </c>
      <c r="I302" s="4" t="str">
        <f>INDEX(products!$A$1:$G$49,MATCH(orders!$D302,products!$A$1:$A$49,0),MATCH(orders!I$1,products!$A$1:$G$1,0))</f>
        <v>Ara</v>
      </c>
      <c r="J302" s="4" t="str">
        <f>INDEX(products!$A$1:$G$49,MATCH(orders!$D302,products!$A$1:$A$49,0),MATCH(orders!J$1,products!$A$1:$G$1,0))</f>
        <v>L</v>
      </c>
      <c r="K302" s="6">
        <f>INDEX(products!$A$1:$G$49,MATCH(orders!$D302,products!$A$1:$A$49,0),MATCH(orders!K$1,products!$A$1:$G$1,0))</f>
        <v>1</v>
      </c>
      <c r="L302" s="7">
        <f>INDEX(products!$A$1:$G$49,MATCH(orders!$D302,products!$A$1:$A$49,0),MATCH(orders!L$1,products!$A$1:$G$1,0))</f>
        <v>12.95</v>
      </c>
      <c r="M302" s="7">
        <f t="shared" si="4"/>
        <v>38.849999999999994</v>
      </c>
      <c r="N302" s="4" t="str" cm="1">
        <f t="array" ref="N302">_xlfn.IFS(I302="Rob","Robusta",I302="Exc","Excelsa",I302="Ara","Arabica",I302="Lib","Liberica")</f>
        <v>Arabica</v>
      </c>
      <c r="O302" s="4" t="str" cm="1">
        <f t="array" ref="O302">_xlfn.IFS(J302="M","Medium",J302="L","Light",J302="D","Dark")</f>
        <v>Light</v>
      </c>
      <c r="P302" s="4" t="str">
        <f>_xlfn.XLOOKUP(CoffeeOrderstable[[#This Row],[Customer ID]],customers!$A$1:$A$1001,customers!$I$1:$I$1001,,0)</f>
        <v>Yes</v>
      </c>
    </row>
    <row r="303" spans="1:16" x14ac:dyDescent="0.3">
      <c r="A303" s="3" t="s">
        <v>2187</v>
      </c>
      <c r="B303" s="5">
        <v>44102</v>
      </c>
      <c r="C303" s="3" t="s">
        <v>2188</v>
      </c>
      <c r="D303" s="4" t="s">
        <v>6150</v>
      </c>
      <c r="E303" s="3">
        <v>4</v>
      </c>
      <c r="F303" s="3" t="str">
        <f>_xlfn.XLOOKUP(C303,customers!$A$1:$A$1001,customers!$B$1:$B$1001,,0)</f>
        <v>Trescha Jedrachowicz</v>
      </c>
      <c r="G303" s="3" t="str">
        <f>IF(_xlfn.XLOOKUP(C303,customers!$A$1:$A$1001,customers!$C$1:$C$1001,,0)=0,"", _xlfn.XLOOKUP(C303,customers!$A$1:$A$1001,customers!$C$1:$C$1001,,0))</f>
        <v>tjedrachowicz8d@acquirethisname.com</v>
      </c>
      <c r="H303" s="3" t="str">
        <f>_xlfn.XLOOKUP(C303,customers!$A$1:$A$1001,customers!$G$1:$G$1001,,0)</f>
        <v>United States</v>
      </c>
      <c r="I303" s="4" t="str">
        <f>INDEX(products!$A$1:$G$49,MATCH(orders!$D303,products!$A$1:$A$49,0),MATCH(orders!I$1,products!$A$1:$G$1,0))</f>
        <v>Lib</v>
      </c>
      <c r="J303" s="4" t="str">
        <f>INDEX(products!$A$1:$G$49,MATCH(orders!$D303,products!$A$1:$A$49,0),MATCH(orders!J$1,products!$A$1:$G$1,0))</f>
        <v>D</v>
      </c>
      <c r="K303" s="6">
        <f>INDEX(products!$A$1:$G$49,MATCH(orders!$D303,products!$A$1:$A$49,0),MATCH(orders!K$1,products!$A$1:$G$1,0))</f>
        <v>0.2</v>
      </c>
      <c r="L303" s="7">
        <f>INDEX(products!$A$1:$G$49,MATCH(orders!$D303,products!$A$1:$A$49,0),MATCH(orders!L$1,products!$A$1:$G$1,0))</f>
        <v>3.8849999999999998</v>
      </c>
      <c r="M303" s="7">
        <f t="shared" si="4"/>
        <v>15.54</v>
      </c>
      <c r="N303" s="4" t="str" cm="1">
        <f t="array" ref="N303">_xlfn.IFS(I303="Rob","Robusta",I303="Exc","Excelsa",I303="Ara","Arabica",I303="Lib","Liberica")</f>
        <v>Liberica</v>
      </c>
      <c r="O303" s="4" t="str" cm="1">
        <f t="array" ref="O303">_xlfn.IFS(J303="M","Medium",J303="L","Light",J303="D","Dark")</f>
        <v>Dark</v>
      </c>
      <c r="P303" s="4" t="str">
        <f>_xlfn.XLOOKUP(CoffeeOrderstable[[#This Row],[Customer ID]],customers!$A$1:$A$1001,customers!$I$1:$I$1001,,0)</f>
        <v>Yes</v>
      </c>
    </row>
    <row r="304" spans="1:16" x14ac:dyDescent="0.3">
      <c r="A304" s="3" t="s">
        <v>2193</v>
      </c>
      <c r="B304" s="5">
        <v>43762</v>
      </c>
      <c r="C304" s="3" t="s">
        <v>2194</v>
      </c>
      <c r="D304" s="4" t="s">
        <v>6157</v>
      </c>
      <c r="E304" s="3">
        <v>1</v>
      </c>
      <c r="F304" s="3" t="str">
        <f>_xlfn.XLOOKUP(C304,customers!$A$1:$A$1001,customers!$B$1:$B$1001,,0)</f>
        <v>Perkin Stonner</v>
      </c>
      <c r="G304" s="3" t="str">
        <f>IF(_xlfn.XLOOKUP(C304,customers!$A$1:$A$1001,customers!$C$1:$C$1001,,0)=0,"", _xlfn.XLOOKUP(C304,customers!$A$1:$A$1001,customers!$C$1:$C$1001,,0))</f>
        <v>pstonner8e@moonfruit.com</v>
      </c>
      <c r="H304" s="3" t="str">
        <f>_xlfn.XLOOKUP(C304,customers!$A$1:$A$1001,customers!$G$1:$G$1001,,0)</f>
        <v>United States</v>
      </c>
      <c r="I304" s="4" t="str">
        <f>INDEX(products!$A$1:$G$49,MATCH(orders!$D304,products!$A$1:$A$49,0),MATCH(orders!I$1,products!$A$1:$G$1,0))</f>
        <v>Ara</v>
      </c>
      <c r="J304" s="4" t="str">
        <f>INDEX(products!$A$1:$G$49,MATCH(orders!$D304,products!$A$1:$A$49,0),MATCH(orders!J$1,products!$A$1:$G$1,0))</f>
        <v>M</v>
      </c>
      <c r="K304" s="6">
        <f>INDEX(products!$A$1:$G$49,MATCH(orders!$D304,products!$A$1:$A$49,0),MATCH(orders!K$1,products!$A$1:$G$1,0))</f>
        <v>0.5</v>
      </c>
      <c r="L304" s="7">
        <f>INDEX(products!$A$1:$G$49,MATCH(orders!$D304,products!$A$1:$A$49,0),MATCH(orders!L$1,products!$A$1:$G$1,0))</f>
        <v>6.75</v>
      </c>
      <c r="M304" s="7">
        <f t="shared" si="4"/>
        <v>6.75</v>
      </c>
      <c r="N304" s="4" t="str" cm="1">
        <f t="array" ref="N304">_xlfn.IFS(I304="Rob","Robusta",I304="Exc","Excelsa",I304="Ara","Arabica",I304="Lib","Liberica")</f>
        <v>Arabica</v>
      </c>
      <c r="O304" s="4" t="str" cm="1">
        <f t="array" ref="O304">_xlfn.IFS(J304="M","Medium",J304="L","Light",J304="D","Dark")</f>
        <v>Medium</v>
      </c>
      <c r="P304" s="4" t="str">
        <f>_xlfn.XLOOKUP(CoffeeOrderstable[[#This Row],[Customer ID]],customers!$A$1:$A$1001,customers!$I$1:$I$1001,,0)</f>
        <v>No</v>
      </c>
    </row>
    <row r="305" spans="1:16" x14ac:dyDescent="0.3">
      <c r="A305" s="3" t="s">
        <v>2199</v>
      </c>
      <c r="B305" s="5">
        <v>44412</v>
      </c>
      <c r="C305" s="3" t="s">
        <v>2200</v>
      </c>
      <c r="D305" s="4" t="s">
        <v>6185</v>
      </c>
      <c r="E305" s="3">
        <v>4</v>
      </c>
      <c r="F305" s="3" t="str">
        <f>_xlfn.XLOOKUP(C305,customers!$A$1:$A$1001,customers!$B$1:$B$1001,,0)</f>
        <v>Darrin Tingly</v>
      </c>
      <c r="G305" s="3" t="str">
        <f>IF(_xlfn.XLOOKUP(C305,customers!$A$1:$A$1001,customers!$C$1:$C$1001,,0)=0,"", _xlfn.XLOOKUP(C305,customers!$A$1:$A$1001,customers!$C$1:$C$1001,,0))</f>
        <v>dtingly8f@goo.ne.jp</v>
      </c>
      <c r="H305" s="3" t="str">
        <f>_xlfn.XLOOKUP(C305,customers!$A$1:$A$1001,customers!$G$1:$G$1001,,0)</f>
        <v>United States</v>
      </c>
      <c r="I305" s="4" t="str">
        <f>INDEX(products!$A$1:$G$49,MATCH(orders!$D305,products!$A$1:$A$49,0),MATCH(orders!I$1,products!$A$1:$G$1,0))</f>
        <v>Exc</v>
      </c>
      <c r="J305" s="4" t="str">
        <f>INDEX(products!$A$1:$G$49,MATCH(orders!$D305,products!$A$1:$A$49,0),MATCH(orders!J$1,products!$A$1:$G$1,0))</f>
        <v>D</v>
      </c>
      <c r="K305" s="6">
        <f>INDEX(products!$A$1:$G$49,MATCH(orders!$D305,products!$A$1:$A$49,0),MATCH(orders!K$1,products!$A$1:$G$1,0))</f>
        <v>2.5</v>
      </c>
      <c r="L305" s="7">
        <f>INDEX(products!$A$1:$G$49,MATCH(orders!$D305,products!$A$1:$A$49,0),MATCH(orders!L$1,products!$A$1:$G$1,0))</f>
        <v>27.945</v>
      </c>
      <c r="M305" s="7">
        <f t="shared" si="4"/>
        <v>111.78</v>
      </c>
      <c r="N305" s="4" t="str" cm="1">
        <f t="array" ref="N305">_xlfn.IFS(I305="Rob","Robusta",I305="Exc","Excelsa",I305="Ara","Arabica",I305="Lib","Liberica")</f>
        <v>Excelsa</v>
      </c>
      <c r="O305" s="4" t="str" cm="1">
        <f t="array" ref="O305">_xlfn.IFS(J305="M","Medium",J305="L","Light",J305="D","Dark")</f>
        <v>Dark</v>
      </c>
      <c r="P305" s="4" t="str">
        <f>_xlfn.XLOOKUP(CoffeeOrderstable[[#This Row],[Customer ID]],customers!$A$1:$A$1001,customers!$I$1:$I$1001,,0)</f>
        <v>Yes</v>
      </c>
    </row>
    <row r="306" spans="1:16" x14ac:dyDescent="0.3">
      <c r="A306" s="3" t="s">
        <v>2204</v>
      </c>
      <c r="B306" s="5">
        <v>43828</v>
      </c>
      <c r="C306" s="3" t="s">
        <v>2245</v>
      </c>
      <c r="D306" s="4" t="s">
        <v>6167</v>
      </c>
      <c r="E306" s="3">
        <v>1</v>
      </c>
      <c r="F306" s="3" t="str">
        <f>_xlfn.XLOOKUP(C306,customers!$A$1:$A$1001,customers!$B$1:$B$1001,,0)</f>
        <v>Claudetta Rushe</v>
      </c>
      <c r="G306" s="3" t="str">
        <f>IF(_xlfn.XLOOKUP(C306,customers!$A$1:$A$1001,customers!$C$1:$C$1001,,0)=0,"", _xlfn.XLOOKUP(C306,customers!$A$1:$A$1001,customers!$C$1:$C$1001,,0))</f>
        <v>crushe8n@about.me</v>
      </c>
      <c r="H306" s="3" t="str">
        <f>_xlfn.XLOOKUP(C306,customers!$A$1:$A$1001,customers!$G$1:$G$1001,,0)</f>
        <v>United States</v>
      </c>
      <c r="I306" s="4" t="str">
        <f>INDEX(products!$A$1:$G$49,MATCH(orders!$D306,products!$A$1:$A$49,0),MATCH(orders!I$1,products!$A$1:$G$1,0))</f>
        <v>Ara</v>
      </c>
      <c r="J306" s="4" t="str">
        <f>INDEX(products!$A$1:$G$49,MATCH(orders!$D306,products!$A$1:$A$49,0),MATCH(orders!J$1,products!$A$1:$G$1,0))</f>
        <v>L</v>
      </c>
      <c r="K306" s="6">
        <f>INDEX(products!$A$1:$G$49,MATCH(orders!$D306,products!$A$1:$A$49,0),MATCH(orders!K$1,products!$A$1:$G$1,0))</f>
        <v>0.2</v>
      </c>
      <c r="L306" s="7">
        <f>INDEX(products!$A$1:$G$49,MATCH(orders!$D306,products!$A$1:$A$49,0),MATCH(orders!L$1,products!$A$1:$G$1,0))</f>
        <v>3.8849999999999998</v>
      </c>
      <c r="M306" s="7">
        <f t="shared" si="4"/>
        <v>3.8849999999999998</v>
      </c>
      <c r="N306" s="4" t="str" cm="1">
        <f t="array" ref="N306">_xlfn.IFS(I306="Rob","Robusta",I306="Exc","Excelsa",I306="Ara","Arabica",I306="Lib","Liberica")</f>
        <v>Arabica</v>
      </c>
      <c r="O306" s="4" t="str" cm="1">
        <f t="array" ref="O306">_xlfn.IFS(J306="M","Medium",J306="L","Light",J306="D","Dark")</f>
        <v>Light</v>
      </c>
      <c r="P306" s="4" t="str">
        <f>_xlfn.XLOOKUP(CoffeeOrderstable[[#This Row],[Customer ID]],customers!$A$1:$A$1001,customers!$I$1:$I$1001,,0)</f>
        <v>Yes</v>
      </c>
    </row>
    <row r="307" spans="1:16" x14ac:dyDescent="0.3">
      <c r="A307" s="3" t="s">
        <v>2209</v>
      </c>
      <c r="B307" s="5">
        <v>43796</v>
      </c>
      <c r="C307" s="3" t="s">
        <v>2210</v>
      </c>
      <c r="D307" s="4" t="s">
        <v>6159</v>
      </c>
      <c r="E307" s="3">
        <v>5</v>
      </c>
      <c r="F307" s="3" t="str">
        <f>_xlfn.XLOOKUP(C307,customers!$A$1:$A$1001,customers!$B$1:$B$1001,,0)</f>
        <v>Benn Checci</v>
      </c>
      <c r="G307" s="3" t="str">
        <f>IF(_xlfn.XLOOKUP(C307,customers!$A$1:$A$1001,customers!$C$1:$C$1001,,0)=0,"", _xlfn.XLOOKUP(C307,customers!$A$1:$A$1001,customers!$C$1:$C$1001,,0))</f>
        <v>bchecci8h@usa.gov</v>
      </c>
      <c r="H307" s="3" t="str">
        <f>_xlfn.XLOOKUP(C307,customers!$A$1:$A$1001,customers!$G$1:$G$1001,,0)</f>
        <v>United Kingdom</v>
      </c>
      <c r="I307" s="4" t="str">
        <f>INDEX(products!$A$1:$G$49,MATCH(orders!$D307,products!$A$1:$A$49,0),MATCH(orders!I$1,products!$A$1:$G$1,0))</f>
        <v>Lib</v>
      </c>
      <c r="J307" s="4" t="str">
        <f>INDEX(products!$A$1:$G$49,MATCH(orders!$D307,products!$A$1:$A$49,0),MATCH(orders!J$1,products!$A$1:$G$1,0))</f>
        <v>M</v>
      </c>
      <c r="K307" s="6">
        <f>INDEX(products!$A$1:$G$49,MATCH(orders!$D307,products!$A$1:$A$49,0),MATCH(orders!K$1,products!$A$1:$G$1,0))</f>
        <v>0.2</v>
      </c>
      <c r="L307" s="7">
        <f>INDEX(products!$A$1:$G$49,MATCH(orders!$D307,products!$A$1:$A$49,0),MATCH(orders!L$1,products!$A$1:$G$1,0))</f>
        <v>4.3650000000000002</v>
      </c>
      <c r="M307" s="7">
        <f t="shared" si="4"/>
        <v>21.825000000000003</v>
      </c>
      <c r="N307" s="4" t="str" cm="1">
        <f t="array" ref="N307">_xlfn.IFS(I307="Rob","Robusta",I307="Exc","Excelsa",I307="Ara","Arabica",I307="Lib","Liberica")</f>
        <v>Liberica</v>
      </c>
      <c r="O307" s="4" t="str" cm="1">
        <f t="array" ref="O307">_xlfn.IFS(J307="M","Medium",J307="L","Light",J307="D","Dark")</f>
        <v>Medium</v>
      </c>
      <c r="P307" s="4" t="str">
        <f>_xlfn.XLOOKUP(CoffeeOrderstable[[#This Row],[Customer ID]],customers!$A$1:$A$1001,customers!$I$1:$I$1001,,0)</f>
        <v>No</v>
      </c>
    </row>
    <row r="308" spans="1:16" x14ac:dyDescent="0.3">
      <c r="A308" s="3" t="s">
        <v>2215</v>
      </c>
      <c r="B308" s="5">
        <v>43890</v>
      </c>
      <c r="C308" s="3" t="s">
        <v>2216</v>
      </c>
      <c r="D308" s="4" t="s">
        <v>6174</v>
      </c>
      <c r="E308" s="3">
        <v>5</v>
      </c>
      <c r="F308" s="3" t="str">
        <f>_xlfn.XLOOKUP(C308,customers!$A$1:$A$1001,customers!$B$1:$B$1001,,0)</f>
        <v>Janifer Bagot</v>
      </c>
      <c r="G308" s="3" t="str">
        <f>IF(_xlfn.XLOOKUP(C308,customers!$A$1:$A$1001,customers!$C$1:$C$1001,,0)=0,"", _xlfn.XLOOKUP(C308,customers!$A$1:$A$1001,customers!$C$1:$C$1001,,0))</f>
        <v>jbagot8i@mac.com</v>
      </c>
      <c r="H308" s="3" t="str">
        <f>_xlfn.XLOOKUP(C308,customers!$A$1:$A$1001,customers!$G$1:$G$1001,,0)</f>
        <v>United States</v>
      </c>
      <c r="I308" s="4" t="str">
        <f>INDEX(products!$A$1:$G$49,MATCH(orders!$D308,products!$A$1:$A$49,0),MATCH(orders!I$1,products!$A$1:$G$1,0))</f>
        <v>Rob</v>
      </c>
      <c r="J308" s="4" t="str">
        <f>INDEX(products!$A$1:$G$49,MATCH(orders!$D308,products!$A$1:$A$49,0),MATCH(orders!J$1,products!$A$1:$G$1,0))</f>
        <v>M</v>
      </c>
      <c r="K308" s="6">
        <f>INDEX(products!$A$1:$G$49,MATCH(orders!$D308,products!$A$1:$A$49,0),MATCH(orders!K$1,products!$A$1:$G$1,0))</f>
        <v>0.2</v>
      </c>
      <c r="L308" s="7">
        <f>INDEX(products!$A$1:$G$49,MATCH(orders!$D308,products!$A$1:$A$49,0),MATCH(orders!L$1,products!$A$1:$G$1,0))</f>
        <v>2.9849999999999999</v>
      </c>
      <c r="M308" s="7">
        <f t="shared" si="4"/>
        <v>14.924999999999999</v>
      </c>
      <c r="N308" s="4" t="str" cm="1">
        <f t="array" ref="N308">_xlfn.IFS(I308="Rob","Robusta",I308="Exc","Excelsa",I308="Ara","Arabica",I308="Lib","Liberica")</f>
        <v>Robusta</v>
      </c>
      <c r="O308" s="4" t="str" cm="1">
        <f t="array" ref="O308">_xlfn.IFS(J308="M","Medium",J308="L","Light",J308="D","Dark")</f>
        <v>Medium</v>
      </c>
      <c r="P308" s="4" t="str">
        <f>_xlfn.XLOOKUP(CoffeeOrderstable[[#This Row],[Customer ID]],customers!$A$1:$A$1001,customers!$I$1:$I$1001,,0)</f>
        <v>No</v>
      </c>
    </row>
    <row r="309" spans="1:16" x14ac:dyDescent="0.3">
      <c r="A309" s="3" t="s">
        <v>2221</v>
      </c>
      <c r="B309" s="5">
        <v>44227</v>
      </c>
      <c r="C309" s="3" t="s">
        <v>2222</v>
      </c>
      <c r="D309" s="4" t="s">
        <v>6155</v>
      </c>
      <c r="E309" s="3">
        <v>3</v>
      </c>
      <c r="F309" s="3" t="str">
        <f>_xlfn.XLOOKUP(C309,customers!$A$1:$A$1001,customers!$B$1:$B$1001,,0)</f>
        <v>Ermin Beeble</v>
      </c>
      <c r="G309" s="3" t="str">
        <f>IF(_xlfn.XLOOKUP(C309,customers!$A$1:$A$1001,customers!$C$1:$C$1001,,0)=0,"", _xlfn.XLOOKUP(C309,customers!$A$1:$A$1001,customers!$C$1:$C$1001,,0))</f>
        <v>ebeeble8j@soundcloud.com</v>
      </c>
      <c r="H309" s="3" t="str">
        <f>_xlfn.XLOOKUP(C309,customers!$A$1:$A$1001,customers!$G$1:$G$1001,,0)</f>
        <v>United States</v>
      </c>
      <c r="I309" s="4" t="str">
        <f>INDEX(products!$A$1:$G$49,MATCH(orders!$D309,products!$A$1:$A$49,0),MATCH(orders!I$1,products!$A$1:$G$1,0))</f>
        <v>Ara</v>
      </c>
      <c r="J309" s="4" t="str">
        <f>INDEX(products!$A$1:$G$49,MATCH(orders!$D309,products!$A$1:$A$49,0),MATCH(orders!J$1,products!$A$1:$G$1,0))</f>
        <v>M</v>
      </c>
      <c r="K309" s="6">
        <f>INDEX(products!$A$1:$G$49,MATCH(orders!$D309,products!$A$1:$A$49,0),MATCH(orders!K$1,products!$A$1:$G$1,0))</f>
        <v>1</v>
      </c>
      <c r="L309" s="7">
        <f>INDEX(products!$A$1:$G$49,MATCH(orders!$D309,products!$A$1:$A$49,0),MATCH(orders!L$1,products!$A$1:$G$1,0))</f>
        <v>11.25</v>
      </c>
      <c r="M309" s="7">
        <f t="shared" si="4"/>
        <v>33.75</v>
      </c>
      <c r="N309" s="4" t="str" cm="1">
        <f t="array" ref="N309">_xlfn.IFS(I309="Rob","Robusta",I309="Exc","Excelsa",I309="Ara","Arabica",I309="Lib","Liberica")</f>
        <v>Arabica</v>
      </c>
      <c r="O309" s="4" t="str" cm="1">
        <f t="array" ref="O309">_xlfn.IFS(J309="M","Medium",J309="L","Light",J309="D","Dark")</f>
        <v>Medium</v>
      </c>
      <c r="P309" s="4" t="str">
        <f>_xlfn.XLOOKUP(CoffeeOrderstable[[#This Row],[Customer ID]],customers!$A$1:$A$1001,customers!$I$1:$I$1001,,0)</f>
        <v>Yes</v>
      </c>
    </row>
    <row r="310" spans="1:16" x14ac:dyDescent="0.3">
      <c r="A310" s="3" t="s">
        <v>2227</v>
      </c>
      <c r="B310" s="5">
        <v>44729</v>
      </c>
      <c r="C310" s="3" t="s">
        <v>2228</v>
      </c>
      <c r="D310" s="4" t="s">
        <v>6155</v>
      </c>
      <c r="E310" s="3">
        <v>3</v>
      </c>
      <c r="F310" s="3" t="str">
        <f>_xlfn.XLOOKUP(C310,customers!$A$1:$A$1001,customers!$B$1:$B$1001,,0)</f>
        <v>Cos Fluin</v>
      </c>
      <c r="G310" s="3" t="str">
        <f>IF(_xlfn.XLOOKUP(C310,customers!$A$1:$A$1001,customers!$C$1:$C$1001,,0)=0,"", _xlfn.XLOOKUP(C310,customers!$A$1:$A$1001,customers!$C$1:$C$1001,,0))</f>
        <v>cfluin8k@flickr.com</v>
      </c>
      <c r="H310" s="3" t="str">
        <f>_xlfn.XLOOKUP(C310,customers!$A$1:$A$1001,customers!$G$1:$G$1001,,0)</f>
        <v>United Kingdom</v>
      </c>
      <c r="I310" s="4" t="str">
        <f>INDEX(products!$A$1:$G$49,MATCH(orders!$D310,products!$A$1:$A$49,0),MATCH(orders!I$1,products!$A$1:$G$1,0))</f>
        <v>Ara</v>
      </c>
      <c r="J310" s="4" t="str">
        <f>INDEX(products!$A$1:$G$49,MATCH(orders!$D310,products!$A$1:$A$49,0),MATCH(orders!J$1,products!$A$1:$G$1,0))</f>
        <v>M</v>
      </c>
      <c r="K310" s="6">
        <f>INDEX(products!$A$1:$G$49,MATCH(orders!$D310,products!$A$1:$A$49,0),MATCH(orders!K$1,products!$A$1:$G$1,0))</f>
        <v>1</v>
      </c>
      <c r="L310" s="7">
        <f>INDEX(products!$A$1:$G$49,MATCH(orders!$D310,products!$A$1:$A$49,0),MATCH(orders!L$1,products!$A$1:$G$1,0))</f>
        <v>11.25</v>
      </c>
      <c r="M310" s="7">
        <f t="shared" si="4"/>
        <v>33.75</v>
      </c>
      <c r="N310" s="4" t="str" cm="1">
        <f t="array" ref="N310">_xlfn.IFS(I310="Rob","Robusta",I310="Exc","Excelsa",I310="Ara","Arabica",I310="Lib","Liberica")</f>
        <v>Arabica</v>
      </c>
      <c r="O310" s="4" t="str" cm="1">
        <f t="array" ref="O310">_xlfn.IFS(J310="M","Medium",J310="L","Light",J310="D","Dark")</f>
        <v>Medium</v>
      </c>
      <c r="P310" s="4" t="str">
        <f>_xlfn.XLOOKUP(CoffeeOrderstable[[#This Row],[Customer ID]],customers!$A$1:$A$1001,customers!$I$1:$I$1001,,0)</f>
        <v>No</v>
      </c>
    </row>
    <row r="311" spans="1:16" x14ac:dyDescent="0.3">
      <c r="A311" s="3" t="s">
        <v>2232</v>
      </c>
      <c r="B311" s="5">
        <v>43864</v>
      </c>
      <c r="C311" s="3" t="s">
        <v>2233</v>
      </c>
      <c r="D311" s="4" t="s">
        <v>6159</v>
      </c>
      <c r="E311" s="3">
        <v>6</v>
      </c>
      <c r="F311" s="3" t="str">
        <f>_xlfn.XLOOKUP(C311,customers!$A$1:$A$1001,customers!$B$1:$B$1001,,0)</f>
        <v>Eveleen Bletsor</v>
      </c>
      <c r="G311" s="3" t="str">
        <f>IF(_xlfn.XLOOKUP(C311,customers!$A$1:$A$1001,customers!$C$1:$C$1001,,0)=0,"", _xlfn.XLOOKUP(C311,customers!$A$1:$A$1001,customers!$C$1:$C$1001,,0))</f>
        <v>ebletsor8l@vinaora.com</v>
      </c>
      <c r="H311" s="3" t="str">
        <f>_xlfn.XLOOKUP(C311,customers!$A$1:$A$1001,customers!$G$1:$G$1001,,0)</f>
        <v>United States</v>
      </c>
      <c r="I311" s="4" t="str">
        <f>INDEX(products!$A$1:$G$49,MATCH(orders!$D311,products!$A$1:$A$49,0),MATCH(orders!I$1,products!$A$1:$G$1,0))</f>
        <v>Lib</v>
      </c>
      <c r="J311" s="4" t="str">
        <f>INDEX(products!$A$1:$G$49,MATCH(orders!$D311,products!$A$1:$A$49,0),MATCH(orders!J$1,products!$A$1:$G$1,0))</f>
        <v>M</v>
      </c>
      <c r="K311" s="6">
        <f>INDEX(products!$A$1:$G$49,MATCH(orders!$D311,products!$A$1:$A$49,0),MATCH(orders!K$1,products!$A$1:$G$1,0))</f>
        <v>0.2</v>
      </c>
      <c r="L311" s="7">
        <f>INDEX(products!$A$1:$G$49,MATCH(orders!$D311,products!$A$1:$A$49,0),MATCH(orders!L$1,products!$A$1:$G$1,0))</f>
        <v>4.3650000000000002</v>
      </c>
      <c r="M311" s="7">
        <f t="shared" si="4"/>
        <v>26.19</v>
      </c>
      <c r="N311" s="4" t="str" cm="1">
        <f t="array" ref="N311">_xlfn.IFS(I311="Rob","Robusta",I311="Exc","Excelsa",I311="Ara","Arabica",I311="Lib","Liberica")</f>
        <v>Liberica</v>
      </c>
      <c r="O311" s="4" t="str" cm="1">
        <f t="array" ref="O311">_xlfn.IFS(J311="M","Medium",J311="L","Light",J311="D","Dark")</f>
        <v>Medium</v>
      </c>
      <c r="P311" s="4" t="str">
        <f>_xlfn.XLOOKUP(CoffeeOrderstable[[#This Row],[Customer ID]],customers!$A$1:$A$1001,customers!$I$1:$I$1001,,0)</f>
        <v>Yes</v>
      </c>
    </row>
    <row r="312" spans="1:16" x14ac:dyDescent="0.3">
      <c r="A312" s="3" t="s">
        <v>2238</v>
      </c>
      <c r="B312" s="5">
        <v>44586</v>
      </c>
      <c r="C312" s="3" t="s">
        <v>2239</v>
      </c>
      <c r="D312" s="4" t="s">
        <v>6171</v>
      </c>
      <c r="E312" s="3">
        <v>1</v>
      </c>
      <c r="F312" s="3" t="str">
        <f>_xlfn.XLOOKUP(C312,customers!$A$1:$A$1001,customers!$B$1:$B$1001,,0)</f>
        <v>Paola Brydell</v>
      </c>
      <c r="G312" s="3" t="str">
        <f>IF(_xlfn.XLOOKUP(C312,customers!$A$1:$A$1001,customers!$C$1:$C$1001,,0)=0,"", _xlfn.XLOOKUP(C312,customers!$A$1:$A$1001,customers!$C$1:$C$1001,,0))</f>
        <v>pbrydell8m@bloglovin.com</v>
      </c>
      <c r="H312" s="3" t="str">
        <f>_xlfn.XLOOKUP(C312,customers!$A$1:$A$1001,customers!$G$1:$G$1001,,0)</f>
        <v>Ireland</v>
      </c>
      <c r="I312" s="4" t="str">
        <f>INDEX(products!$A$1:$G$49,MATCH(orders!$D312,products!$A$1:$A$49,0),MATCH(orders!I$1,products!$A$1:$G$1,0))</f>
        <v>Exc</v>
      </c>
      <c r="J312" s="4" t="str">
        <f>INDEX(products!$A$1:$G$49,MATCH(orders!$D312,products!$A$1:$A$49,0),MATCH(orders!J$1,products!$A$1:$G$1,0))</f>
        <v>L</v>
      </c>
      <c r="K312" s="6">
        <f>INDEX(products!$A$1:$G$49,MATCH(orders!$D312,products!$A$1:$A$49,0),MATCH(orders!K$1,products!$A$1:$G$1,0))</f>
        <v>1</v>
      </c>
      <c r="L312" s="7">
        <f>INDEX(products!$A$1:$G$49,MATCH(orders!$D312,products!$A$1:$A$49,0),MATCH(orders!L$1,products!$A$1:$G$1,0))</f>
        <v>14.85</v>
      </c>
      <c r="M312" s="7">
        <f t="shared" si="4"/>
        <v>14.85</v>
      </c>
      <c r="N312" s="4" t="str" cm="1">
        <f t="array" ref="N312">_xlfn.IFS(I312="Rob","Robusta",I312="Exc","Excelsa",I312="Ara","Arabica",I312="Lib","Liberica")</f>
        <v>Excelsa</v>
      </c>
      <c r="O312" s="4" t="str" cm="1">
        <f t="array" ref="O312">_xlfn.IFS(J312="M","Medium",J312="L","Light",J312="D","Dark")</f>
        <v>Light</v>
      </c>
      <c r="P312" s="4" t="str">
        <f>_xlfn.XLOOKUP(CoffeeOrderstable[[#This Row],[Customer ID]],customers!$A$1:$A$1001,customers!$I$1:$I$1001,,0)</f>
        <v>No</v>
      </c>
    </row>
    <row r="313" spans="1:16" x14ac:dyDescent="0.3">
      <c r="A313" s="3" t="s">
        <v>2244</v>
      </c>
      <c r="B313" s="5">
        <v>43951</v>
      </c>
      <c r="C313" s="3" t="s">
        <v>2245</v>
      </c>
      <c r="D313" s="4" t="s">
        <v>6166</v>
      </c>
      <c r="E313" s="3">
        <v>6</v>
      </c>
      <c r="F313" s="3" t="str">
        <f>_xlfn.XLOOKUP(C313,customers!$A$1:$A$1001,customers!$B$1:$B$1001,,0)</f>
        <v>Claudetta Rushe</v>
      </c>
      <c r="G313" s="3" t="str">
        <f>IF(_xlfn.XLOOKUP(C313,customers!$A$1:$A$1001,customers!$C$1:$C$1001,,0)=0,"", _xlfn.XLOOKUP(C313,customers!$A$1:$A$1001,customers!$C$1:$C$1001,,0))</f>
        <v>crushe8n@about.me</v>
      </c>
      <c r="H313" s="3" t="str">
        <f>_xlfn.XLOOKUP(C313,customers!$A$1:$A$1001,customers!$G$1:$G$1001,,0)</f>
        <v>United States</v>
      </c>
      <c r="I313" s="4" t="str">
        <f>INDEX(products!$A$1:$G$49,MATCH(orders!$D313,products!$A$1:$A$49,0),MATCH(orders!I$1,products!$A$1:$G$1,0))</f>
        <v>Exc</v>
      </c>
      <c r="J313" s="4" t="str">
        <f>INDEX(products!$A$1:$G$49,MATCH(orders!$D313,products!$A$1:$A$49,0),MATCH(orders!J$1,products!$A$1:$G$1,0))</f>
        <v>M</v>
      </c>
      <c r="K313" s="6">
        <f>INDEX(products!$A$1:$G$49,MATCH(orders!$D313,products!$A$1:$A$49,0),MATCH(orders!K$1,products!$A$1:$G$1,0))</f>
        <v>2.5</v>
      </c>
      <c r="L313" s="7">
        <f>INDEX(products!$A$1:$G$49,MATCH(orders!$D313,products!$A$1:$A$49,0),MATCH(orders!L$1,products!$A$1:$G$1,0))</f>
        <v>31.624999999999996</v>
      </c>
      <c r="M313" s="7">
        <f t="shared" si="4"/>
        <v>189.74999999999997</v>
      </c>
      <c r="N313" s="4" t="str" cm="1">
        <f t="array" ref="N313">_xlfn.IFS(I313="Rob","Robusta",I313="Exc","Excelsa",I313="Ara","Arabica",I313="Lib","Liberica")</f>
        <v>Excelsa</v>
      </c>
      <c r="O313" s="4" t="str" cm="1">
        <f t="array" ref="O313">_xlfn.IFS(J313="M","Medium",J313="L","Light",J313="D","Dark")</f>
        <v>Medium</v>
      </c>
      <c r="P313" s="4" t="str">
        <f>_xlfn.XLOOKUP(CoffeeOrderstable[[#This Row],[Customer ID]],customers!$A$1:$A$1001,customers!$I$1:$I$1001,,0)</f>
        <v>Yes</v>
      </c>
    </row>
    <row r="314" spans="1:16" x14ac:dyDescent="0.3">
      <c r="A314" s="3" t="s">
        <v>2250</v>
      </c>
      <c r="B314" s="5">
        <v>44317</v>
      </c>
      <c r="C314" s="3" t="s">
        <v>2251</v>
      </c>
      <c r="D314" s="4" t="s">
        <v>6146</v>
      </c>
      <c r="E314" s="3">
        <v>1</v>
      </c>
      <c r="F314" s="3" t="str">
        <f>_xlfn.XLOOKUP(C314,customers!$A$1:$A$1001,customers!$B$1:$B$1001,,0)</f>
        <v>Natka Leethem</v>
      </c>
      <c r="G314" s="3" t="str">
        <f>IF(_xlfn.XLOOKUP(C314,customers!$A$1:$A$1001,customers!$C$1:$C$1001,,0)=0,"", _xlfn.XLOOKUP(C314,customers!$A$1:$A$1001,customers!$C$1:$C$1001,,0))</f>
        <v>nleethem8o@mac.com</v>
      </c>
      <c r="H314" s="3" t="str">
        <f>_xlfn.XLOOKUP(C314,customers!$A$1:$A$1001,customers!$G$1:$G$1001,,0)</f>
        <v>United States</v>
      </c>
      <c r="I314" s="4" t="str">
        <f>INDEX(products!$A$1:$G$49,MATCH(orders!$D314,products!$A$1:$A$49,0),MATCH(orders!I$1,products!$A$1:$G$1,0))</f>
        <v>Rob</v>
      </c>
      <c r="J314" s="4" t="str">
        <f>INDEX(products!$A$1:$G$49,MATCH(orders!$D314,products!$A$1:$A$49,0),MATCH(orders!J$1,products!$A$1:$G$1,0))</f>
        <v>M</v>
      </c>
      <c r="K314" s="6">
        <f>INDEX(products!$A$1:$G$49,MATCH(orders!$D314,products!$A$1:$A$49,0),MATCH(orders!K$1,products!$A$1:$G$1,0))</f>
        <v>0.5</v>
      </c>
      <c r="L314" s="7">
        <f>INDEX(products!$A$1:$G$49,MATCH(orders!$D314,products!$A$1:$A$49,0),MATCH(orders!L$1,products!$A$1:$G$1,0))</f>
        <v>5.97</v>
      </c>
      <c r="M314" s="7">
        <f t="shared" si="4"/>
        <v>5.97</v>
      </c>
      <c r="N314" s="4" t="str" cm="1">
        <f t="array" ref="N314">_xlfn.IFS(I314="Rob","Robusta",I314="Exc","Excelsa",I314="Ara","Arabica",I314="Lib","Liberica")</f>
        <v>Robusta</v>
      </c>
      <c r="O314" s="4" t="str" cm="1">
        <f t="array" ref="O314">_xlfn.IFS(J314="M","Medium",J314="L","Light",J314="D","Dark")</f>
        <v>Medium</v>
      </c>
      <c r="P314" s="4" t="str">
        <f>_xlfn.XLOOKUP(CoffeeOrderstable[[#This Row],[Customer ID]],customers!$A$1:$A$1001,customers!$I$1:$I$1001,,0)</f>
        <v>Yes</v>
      </c>
    </row>
    <row r="315" spans="1:16" x14ac:dyDescent="0.3">
      <c r="A315" s="3" t="s">
        <v>2256</v>
      </c>
      <c r="B315" s="5">
        <v>44497</v>
      </c>
      <c r="C315" s="3" t="s">
        <v>2257</v>
      </c>
      <c r="D315" s="4" t="s">
        <v>6138</v>
      </c>
      <c r="E315" s="3">
        <v>3</v>
      </c>
      <c r="F315" s="3" t="str">
        <f>_xlfn.XLOOKUP(C315,customers!$A$1:$A$1001,customers!$B$1:$B$1001,,0)</f>
        <v>Ailene Nesfield</v>
      </c>
      <c r="G315" s="3" t="str">
        <f>IF(_xlfn.XLOOKUP(C315,customers!$A$1:$A$1001,customers!$C$1:$C$1001,,0)=0,"", _xlfn.XLOOKUP(C315,customers!$A$1:$A$1001,customers!$C$1:$C$1001,,0))</f>
        <v>anesfield8p@people.com.cn</v>
      </c>
      <c r="H315" s="3" t="str">
        <f>_xlfn.XLOOKUP(C315,customers!$A$1:$A$1001,customers!$G$1:$G$1001,,0)</f>
        <v>United Kingdom</v>
      </c>
      <c r="I315" s="4" t="str">
        <f>INDEX(products!$A$1:$G$49,MATCH(orders!$D315,products!$A$1:$A$49,0),MATCH(orders!I$1,products!$A$1:$G$1,0))</f>
        <v>Rob</v>
      </c>
      <c r="J315" s="4" t="str">
        <f>INDEX(products!$A$1:$G$49,MATCH(orders!$D315,products!$A$1:$A$49,0),MATCH(orders!J$1,products!$A$1:$G$1,0))</f>
        <v>M</v>
      </c>
      <c r="K315" s="6">
        <f>INDEX(products!$A$1:$G$49,MATCH(orders!$D315,products!$A$1:$A$49,0),MATCH(orders!K$1,products!$A$1:$G$1,0))</f>
        <v>1</v>
      </c>
      <c r="L315" s="7">
        <f>INDEX(products!$A$1:$G$49,MATCH(orders!$D315,products!$A$1:$A$49,0),MATCH(orders!L$1,products!$A$1:$G$1,0))</f>
        <v>9.9499999999999993</v>
      </c>
      <c r="M315" s="7">
        <f t="shared" si="4"/>
        <v>29.849999999999998</v>
      </c>
      <c r="N315" s="4" t="str" cm="1">
        <f t="array" ref="N315">_xlfn.IFS(I315="Rob","Robusta",I315="Exc","Excelsa",I315="Ara","Arabica",I315="Lib","Liberica")</f>
        <v>Robusta</v>
      </c>
      <c r="O315" s="4" t="str" cm="1">
        <f t="array" ref="O315">_xlfn.IFS(J315="M","Medium",J315="L","Light",J315="D","Dark")</f>
        <v>Medium</v>
      </c>
      <c r="P315" s="4" t="str">
        <f>_xlfn.XLOOKUP(CoffeeOrderstable[[#This Row],[Customer ID]],customers!$A$1:$A$1001,customers!$I$1:$I$1001,,0)</f>
        <v>Yes</v>
      </c>
    </row>
    <row r="316" spans="1:16" x14ac:dyDescent="0.3">
      <c r="A316" s="3" t="s">
        <v>2262</v>
      </c>
      <c r="B316" s="5">
        <v>44437</v>
      </c>
      <c r="C316" s="3" t="s">
        <v>2263</v>
      </c>
      <c r="D316" s="4" t="s">
        <v>6177</v>
      </c>
      <c r="E316" s="3">
        <v>5</v>
      </c>
      <c r="F316" s="3" t="str">
        <f>_xlfn.XLOOKUP(C316,customers!$A$1:$A$1001,customers!$B$1:$B$1001,,0)</f>
        <v>Stacy Pickworth</v>
      </c>
      <c r="G316" s="3" t="str">
        <f>IF(_xlfn.XLOOKUP(C316,customers!$A$1:$A$1001,customers!$C$1:$C$1001,,0)=0,"", _xlfn.XLOOKUP(C316,customers!$A$1:$A$1001,customers!$C$1:$C$1001,,0))</f>
        <v/>
      </c>
      <c r="H316" s="3" t="str">
        <f>_xlfn.XLOOKUP(C316,customers!$A$1:$A$1001,customers!$G$1:$G$1001,,0)</f>
        <v>United States</v>
      </c>
      <c r="I316" s="4" t="str">
        <f>INDEX(products!$A$1:$G$49,MATCH(orders!$D316,products!$A$1:$A$49,0),MATCH(orders!I$1,products!$A$1:$G$1,0))</f>
        <v>Rob</v>
      </c>
      <c r="J316" s="4" t="str">
        <f>INDEX(products!$A$1:$G$49,MATCH(orders!$D316,products!$A$1:$A$49,0),MATCH(orders!J$1,products!$A$1:$G$1,0))</f>
        <v>D</v>
      </c>
      <c r="K316" s="6">
        <f>INDEX(products!$A$1:$G$49,MATCH(orders!$D316,products!$A$1:$A$49,0),MATCH(orders!K$1,products!$A$1:$G$1,0))</f>
        <v>1</v>
      </c>
      <c r="L316" s="7">
        <f>INDEX(products!$A$1:$G$49,MATCH(orders!$D316,products!$A$1:$A$49,0),MATCH(orders!L$1,products!$A$1:$G$1,0))</f>
        <v>8.9499999999999993</v>
      </c>
      <c r="M316" s="7">
        <f t="shared" si="4"/>
        <v>44.75</v>
      </c>
      <c r="N316" s="4" t="str" cm="1">
        <f t="array" ref="N316">_xlfn.IFS(I316="Rob","Robusta",I316="Exc","Excelsa",I316="Ara","Arabica",I316="Lib","Liberica")</f>
        <v>Robusta</v>
      </c>
      <c r="O316" s="4" t="str" cm="1">
        <f t="array" ref="O316">_xlfn.IFS(J316="M","Medium",J316="L","Light",J316="D","Dark")</f>
        <v>Dark</v>
      </c>
      <c r="P316" s="4" t="str">
        <f>_xlfn.XLOOKUP(CoffeeOrderstable[[#This Row],[Customer ID]],customers!$A$1:$A$1001,customers!$I$1:$I$1001,,0)</f>
        <v>No</v>
      </c>
    </row>
    <row r="317" spans="1:16" x14ac:dyDescent="0.3">
      <c r="A317" s="3" t="s">
        <v>2267</v>
      </c>
      <c r="B317" s="5">
        <v>43826</v>
      </c>
      <c r="C317" s="3" t="s">
        <v>2268</v>
      </c>
      <c r="D317" s="4" t="s">
        <v>6148</v>
      </c>
      <c r="E317" s="3">
        <v>1</v>
      </c>
      <c r="F317" s="3" t="str">
        <f>_xlfn.XLOOKUP(C317,customers!$A$1:$A$1001,customers!$B$1:$B$1001,,0)</f>
        <v>Melli Brockway</v>
      </c>
      <c r="G317" s="3" t="str">
        <f>IF(_xlfn.XLOOKUP(C317,customers!$A$1:$A$1001,customers!$C$1:$C$1001,,0)=0,"", _xlfn.XLOOKUP(C317,customers!$A$1:$A$1001,customers!$C$1:$C$1001,,0))</f>
        <v>mbrockway8r@ibm.com</v>
      </c>
      <c r="H317" s="3" t="str">
        <f>_xlfn.XLOOKUP(C317,customers!$A$1:$A$1001,customers!$G$1:$G$1001,,0)</f>
        <v>United States</v>
      </c>
      <c r="I317" s="4" t="str">
        <f>INDEX(products!$A$1:$G$49,MATCH(orders!$D317,products!$A$1:$A$49,0),MATCH(orders!I$1,products!$A$1:$G$1,0))</f>
        <v>Exc</v>
      </c>
      <c r="J317" s="4" t="str">
        <f>INDEX(products!$A$1:$G$49,MATCH(orders!$D317,products!$A$1:$A$49,0),MATCH(orders!J$1,products!$A$1:$G$1,0))</f>
        <v>L</v>
      </c>
      <c r="K317" s="6">
        <f>INDEX(products!$A$1:$G$49,MATCH(orders!$D317,products!$A$1:$A$49,0),MATCH(orders!K$1,products!$A$1:$G$1,0))</f>
        <v>2.5</v>
      </c>
      <c r="L317" s="7">
        <f>INDEX(products!$A$1:$G$49,MATCH(orders!$D317,products!$A$1:$A$49,0),MATCH(orders!L$1,products!$A$1:$G$1,0))</f>
        <v>34.154999999999994</v>
      </c>
      <c r="M317" s="7">
        <f t="shared" si="4"/>
        <v>34.154999999999994</v>
      </c>
      <c r="N317" s="4" t="str" cm="1">
        <f t="array" ref="N317">_xlfn.IFS(I317="Rob","Robusta",I317="Exc","Excelsa",I317="Ara","Arabica",I317="Lib","Liberica")</f>
        <v>Excelsa</v>
      </c>
      <c r="O317" s="4" t="str" cm="1">
        <f t="array" ref="O317">_xlfn.IFS(J317="M","Medium",J317="L","Light",J317="D","Dark")</f>
        <v>Light</v>
      </c>
      <c r="P317" s="4" t="str">
        <f>_xlfn.XLOOKUP(CoffeeOrderstable[[#This Row],[Customer ID]],customers!$A$1:$A$1001,customers!$I$1:$I$1001,,0)</f>
        <v>Yes</v>
      </c>
    </row>
    <row r="318" spans="1:16" x14ac:dyDescent="0.3">
      <c r="A318" s="3" t="s">
        <v>2273</v>
      </c>
      <c r="B318" s="5">
        <v>43641</v>
      </c>
      <c r="C318" s="3" t="s">
        <v>2274</v>
      </c>
      <c r="D318" s="4" t="s">
        <v>6148</v>
      </c>
      <c r="E318" s="3">
        <v>6</v>
      </c>
      <c r="F318" s="3" t="str">
        <f>_xlfn.XLOOKUP(C318,customers!$A$1:$A$1001,customers!$B$1:$B$1001,,0)</f>
        <v>Nanny Lush</v>
      </c>
      <c r="G318" s="3" t="str">
        <f>IF(_xlfn.XLOOKUP(C318,customers!$A$1:$A$1001,customers!$C$1:$C$1001,,0)=0,"", _xlfn.XLOOKUP(C318,customers!$A$1:$A$1001,customers!$C$1:$C$1001,,0))</f>
        <v>nlush8s@dedecms.com</v>
      </c>
      <c r="H318" s="3" t="str">
        <f>_xlfn.XLOOKUP(C318,customers!$A$1:$A$1001,customers!$G$1:$G$1001,,0)</f>
        <v>Ireland</v>
      </c>
      <c r="I318" s="4" t="str">
        <f>INDEX(products!$A$1:$G$49,MATCH(orders!$D318,products!$A$1:$A$49,0),MATCH(orders!I$1,products!$A$1:$G$1,0))</f>
        <v>Exc</v>
      </c>
      <c r="J318" s="4" t="str">
        <f>INDEX(products!$A$1:$G$49,MATCH(orders!$D318,products!$A$1:$A$49,0),MATCH(orders!J$1,products!$A$1:$G$1,0))</f>
        <v>L</v>
      </c>
      <c r="K318" s="6">
        <f>INDEX(products!$A$1:$G$49,MATCH(orders!$D318,products!$A$1:$A$49,0),MATCH(orders!K$1,products!$A$1:$G$1,0))</f>
        <v>2.5</v>
      </c>
      <c r="L318" s="7">
        <f>INDEX(products!$A$1:$G$49,MATCH(orders!$D318,products!$A$1:$A$49,0),MATCH(orders!L$1,products!$A$1:$G$1,0))</f>
        <v>34.154999999999994</v>
      </c>
      <c r="M318" s="7">
        <f t="shared" si="4"/>
        <v>204.92999999999995</v>
      </c>
      <c r="N318" s="4" t="str" cm="1">
        <f t="array" ref="N318">_xlfn.IFS(I318="Rob","Robusta",I318="Exc","Excelsa",I318="Ara","Arabica",I318="Lib","Liberica")</f>
        <v>Excelsa</v>
      </c>
      <c r="O318" s="4" t="str" cm="1">
        <f t="array" ref="O318">_xlfn.IFS(J318="M","Medium",J318="L","Light",J318="D","Dark")</f>
        <v>Light</v>
      </c>
      <c r="P318" s="4" t="str">
        <f>_xlfn.XLOOKUP(CoffeeOrderstable[[#This Row],[Customer ID]],customers!$A$1:$A$1001,customers!$I$1:$I$1001,,0)</f>
        <v>No</v>
      </c>
    </row>
    <row r="319" spans="1:16" x14ac:dyDescent="0.3">
      <c r="A319" s="3" t="s">
        <v>2279</v>
      </c>
      <c r="B319" s="5">
        <v>43526</v>
      </c>
      <c r="C319" s="3" t="s">
        <v>2280</v>
      </c>
      <c r="D319" s="4" t="s">
        <v>6144</v>
      </c>
      <c r="E319" s="3">
        <v>3</v>
      </c>
      <c r="F319" s="3" t="str">
        <f>_xlfn.XLOOKUP(C319,customers!$A$1:$A$1001,customers!$B$1:$B$1001,,0)</f>
        <v>Selma McMillian</v>
      </c>
      <c r="G319" s="3" t="str">
        <f>IF(_xlfn.XLOOKUP(C319,customers!$A$1:$A$1001,customers!$C$1:$C$1001,,0)=0,"", _xlfn.XLOOKUP(C319,customers!$A$1:$A$1001,customers!$C$1:$C$1001,,0))</f>
        <v>smcmillian8t@csmonitor.com</v>
      </c>
      <c r="H319" s="3" t="str">
        <f>_xlfn.XLOOKUP(C319,customers!$A$1:$A$1001,customers!$G$1:$G$1001,,0)</f>
        <v>United States</v>
      </c>
      <c r="I319" s="4" t="str">
        <f>INDEX(products!$A$1:$G$49,MATCH(orders!$D319,products!$A$1:$A$49,0),MATCH(orders!I$1,products!$A$1:$G$1,0))</f>
        <v>Exc</v>
      </c>
      <c r="J319" s="4" t="str">
        <f>INDEX(products!$A$1:$G$49,MATCH(orders!$D319,products!$A$1:$A$49,0),MATCH(orders!J$1,products!$A$1:$G$1,0))</f>
        <v>D</v>
      </c>
      <c r="K319" s="6">
        <f>INDEX(products!$A$1:$G$49,MATCH(orders!$D319,products!$A$1:$A$49,0),MATCH(orders!K$1,products!$A$1:$G$1,0))</f>
        <v>0.5</v>
      </c>
      <c r="L319" s="7">
        <f>INDEX(products!$A$1:$G$49,MATCH(orders!$D319,products!$A$1:$A$49,0),MATCH(orders!L$1,products!$A$1:$G$1,0))</f>
        <v>7.29</v>
      </c>
      <c r="M319" s="7">
        <f t="shared" si="4"/>
        <v>21.87</v>
      </c>
      <c r="N319" s="4" t="str" cm="1">
        <f t="array" ref="N319">_xlfn.IFS(I319="Rob","Robusta",I319="Exc","Excelsa",I319="Ara","Arabica",I319="Lib","Liberica")</f>
        <v>Excelsa</v>
      </c>
      <c r="O319" s="4" t="str" cm="1">
        <f t="array" ref="O319">_xlfn.IFS(J319="M","Medium",J319="L","Light",J319="D","Dark")</f>
        <v>Dark</v>
      </c>
      <c r="P319" s="4" t="str">
        <f>_xlfn.XLOOKUP(CoffeeOrderstable[[#This Row],[Customer ID]],customers!$A$1:$A$1001,customers!$I$1:$I$1001,,0)</f>
        <v>No</v>
      </c>
    </row>
    <row r="320" spans="1:16" x14ac:dyDescent="0.3">
      <c r="A320" s="3" t="s">
        <v>2285</v>
      </c>
      <c r="B320" s="5">
        <v>44563</v>
      </c>
      <c r="C320" s="3" t="s">
        <v>2286</v>
      </c>
      <c r="D320" s="4" t="s">
        <v>6175</v>
      </c>
      <c r="E320" s="3">
        <v>2</v>
      </c>
      <c r="F320" s="3" t="str">
        <f>_xlfn.XLOOKUP(C320,customers!$A$1:$A$1001,customers!$B$1:$B$1001,,0)</f>
        <v>Tess Bennison</v>
      </c>
      <c r="G320" s="3" t="str">
        <f>IF(_xlfn.XLOOKUP(C320,customers!$A$1:$A$1001,customers!$C$1:$C$1001,,0)=0,"", _xlfn.XLOOKUP(C320,customers!$A$1:$A$1001,customers!$C$1:$C$1001,,0))</f>
        <v>tbennison8u@google.cn</v>
      </c>
      <c r="H320" s="3" t="str">
        <f>_xlfn.XLOOKUP(C320,customers!$A$1:$A$1001,customers!$G$1:$G$1001,,0)</f>
        <v>United States</v>
      </c>
      <c r="I320" s="4" t="str">
        <f>INDEX(products!$A$1:$G$49,MATCH(orders!$D320,products!$A$1:$A$49,0),MATCH(orders!I$1,products!$A$1:$G$1,0))</f>
        <v>Ara</v>
      </c>
      <c r="J320" s="4" t="str">
        <f>INDEX(products!$A$1:$G$49,MATCH(orders!$D320,products!$A$1:$A$49,0),MATCH(orders!J$1,products!$A$1:$G$1,0))</f>
        <v>M</v>
      </c>
      <c r="K320" s="6">
        <f>INDEX(products!$A$1:$G$49,MATCH(orders!$D320,products!$A$1:$A$49,0),MATCH(orders!K$1,products!$A$1:$G$1,0))</f>
        <v>2.5</v>
      </c>
      <c r="L320" s="7">
        <f>INDEX(products!$A$1:$G$49,MATCH(orders!$D320,products!$A$1:$A$49,0),MATCH(orders!L$1,products!$A$1:$G$1,0))</f>
        <v>25.874999999999996</v>
      </c>
      <c r="M320" s="7">
        <f t="shared" si="4"/>
        <v>51.749999999999993</v>
      </c>
      <c r="N320" s="4" t="str" cm="1">
        <f t="array" ref="N320">_xlfn.IFS(I320="Rob","Robusta",I320="Exc","Excelsa",I320="Ara","Arabica",I320="Lib","Liberica")</f>
        <v>Arabica</v>
      </c>
      <c r="O320" s="4" t="str" cm="1">
        <f t="array" ref="O320">_xlfn.IFS(J320="M","Medium",J320="L","Light",J320="D","Dark")</f>
        <v>Medium</v>
      </c>
      <c r="P320" s="4" t="str">
        <f>_xlfn.XLOOKUP(CoffeeOrderstable[[#This Row],[Customer ID]],customers!$A$1:$A$1001,customers!$I$1:$I$1001,,0)</f>
        <v>Yes</v>
      </c>
    </row>
    <row r="321" spans="1:16" x14ac:dyDescent="0.3">
      <c r="A321" s="3" t="s">
        <v>2291</v>
      </c>
      <c r="B321" s="5">
        <v>43676</v>
      </c>
      <c r="C321" s="3" t="s">
        <v>2292</v>
      </c>
      <c r="D321" s="4" t="s">
        <v>6156</v>
      </c>
      <c r="E321" s="3">
        <v>2</v>
      </c>
      <c r="F321" s="3" t="str">
        <f>_xlfn.XLOOKUP(C321,customers!$A$1:$A$1001,customers!$B$1:$B$1001,,0)</f>
        <v>Gabie Tweed</v>
      </c>
      <c r="G321" s="3" t="str">
        <f>IF(_xlfn.XLOOKUP(C321,customers!$A$1:$A$1001,customers!$C$1:$C$1001,,0)=0,"", _xlfn.XLOOKUP(C321,customers!$A$1:$A$1001,customers!$C$1:$C$1001,,0))</f>
        <v>gtweed8v@yolasite.com</v>
      </c>
      <c r="H321" s="3" t="str">
        <f>_xlfn.XLOOKUP(C321,customers!$A$1:$A$1001,customers!$G$1:$G$1001,,0)</f>
        <v>United States</v>
      </c>
      <c r="I321" s="4" t="str">
        <f>INDEX(products!$A$1:$G$49,MATCH(orders!$D321,products!$A$1:$A$49,0),MATCH(orders!I$1,products!$A$1:$G$1,0))</f>
        <v>Exc</v>
      </c>
      <c r="J321" s="4" t="str">
        <f>INDEX(products!$A$1:$G$49,MATCH(orders!$D321,products!$A$1:$A$49,0),MATCH(orders!J$1,products!$A$1:$G$1,0))</f>
        <v>M</v>
      </c>
      <c r="K321" s="6">
        <f>INDEX(products!$A$1:$G$49,MATCH(orders!$D321,products!$A$1:$A$49,0),MATCH(orders!K$1,products!$A$1:$G$1,0))</f>
        <v>0.2</v>
      </c>
      <c r="L321" s="7">
        <f>INDEX(products!$A$1:$G$49,MATCH(orders!$D321,products!$A$1:$A$49,0),MATCH(orders!L$1,products!$A$1:$G$1,0))</f>
        <v>4.125</v>
      </c>
      <c r="M321" s="7">
        <f t="shared" si="4"/>
        <v>8.25</v>
      </c>
      <c r="N321" s="4" t="str" cm="1">
        <f t="array" ref="N321">_xlfn.IFS(I321="Rob","Robusta",I321="Exc","Excelsa",I321="Ara","Arabica",I321="Lib","Liberica")</f>
        <v>Excelsa</v>
      </c>
      <c r="O321" s="4" t="str" cm="1">
        <f t="array" ref="O321">_xlfn.IFS(J321="M","Medium",J321="L","Light",J321="D","Dark")</f>
        <v>Medium</v>
      </c>
      <c r="P321" s="4" t="str">
        <f>_xlfn.XLOOKUP(CoffeeOrderstable[[#This Row],[Customer ID]],customers!$A$1:$A$1001,customers!$I$1:$I$1001,,0)</f>
        <v>Yes</v>
      </c>
    </row>
    <row r="322" spans="1:16" x14ac:dyDescent="0.3">
      <c r="A322" s="3" t="s">
        <v>2291</v>
      </c>
      <c r="B322" s="5">
        <v>43676</v>
      </c>
      <c r="C322" s="3" t="s">
        <v>2292</v>
      </c>
      <c r="D322" s="4" t="s">
        <v>6167</v>
      </c>
      <c r="E322" s="3">
        <v>5</v>
      </c>
      <c r="F322" s="3" t="str">
        <f>_xlfn.XLOOKUP(C322,customers!$A$1:$A$1001,customers!$B$1:$B$1001,,0)</f>
        <v>Gabie Tweed</v>
      </c>
      <c r="G322" s="3" t="str">
        <f>IF(_xlfn.XLOOKUP(C322,customers!$A$1:$A$1001,customers!$C$1:$C$1001,,0)=0,"", _xlfn.XLOOKUP(C322,customers!$A$1:$A$1001,customers!$C$1:$C$1001,,0))</f>
        <v>gtweed8v@yolasite.com</v>
      </c>
      <c r="H322" s="3" t="str">
        <f>_xlfn.XLOOKUP(C322,customers!$A$1:$A$1001,customers!$G$1:$G$1001,,0)</f>
        <v>United States</v>
      </c>
      <c r="I322" s="4" t="str">
        <f>INDEX(products!$A$1:$G$49,MATCH(orders!$D322,products!$A$1:$A$49,0),MATCH(orders!I$1,products!$A$1:$G$1,0))</f>
        <v>Ara</v>
      </c>
      <c r="J322" s="4" t="str">
        <f>INDEX(products!$A$1:$G$49,MATCH(orders!$D322,products!$A$1:$A$49,0),MATCH(orders!J$1,products!$A$1:$G$1,0))</f>
        <v>L</v>
      </c>
      <c r="K322" s="6">
        <f>INDEX(products!$A$1:$G$49,MATCH(orders!$D322,products!$A$1:$A$49,0),MATCH(orders!K$1,products!$A$1:$G$1,0))</f>
        <v>0.2</v>
      </c>
      <c r="L322" s="7">
        <f>INDEX(products!$A$1:$G$49,MATCH(orders!$D322,products!$A$1:$A$49,0),MATCH(orders!L$1,products!$A$1:$G$1,0))</f>
        <v>3.8849999999999998</v>
      </c>
      <c r="M322" s="7">
        <f t="shared" si="4"/>
        <v>19.424999999999997</v>
      </c>
      <c r="N322" s="4" t="str" cm="1">
        <f t="array" ref="N322">_xlfn.IFS(I322="Rob","Robusta",I322="Exc","Excelsa",I322="Ara","Arabica",I322="Lib","Liberica")</f>
        <v>Arabica</v>
      </c>
      <c r="O322" s="4" t="str" cm="1">
        <f t="array" ref="O322">_xlfn.IFS(J322="M","Medium",J322="L","Light",J322="D","Dark")</f>
        <v>Light</v>
      </c>
      <c r="P322" s="4" t="str">
        <f>_xlfn.XLOOKUP(CoffeeOrderstable[[#This Row],[Customer ID]],customers!$A$1:$A$1001,customers!$I$1:$I$1001,,0)</f>
        <v>Yes</v>
      </c>
    </row>
    <row r="323" spans="1:16" x14ac:dyDescent="0.3">
      <c r="A323" s="3" t="s">
        <v>2301</v>
      </c>
      <c r="B323" s="5">
        <v>44170</v>
      </c>
      <c r="C323" s="3" t="s">
        <v>2302</v>
      </c>
      <c r="D323" s="4" t="s">
        <v>6152</v>
      </c>
      <c r="E323" s="3">
        <v>6</v>
      </c>
      <c r="F323" s="3" t="str">
        <f>_xlfn.XLOOKUP(C323,customers!$A$1:$A$1001,customers!$B$1:$B$1001,,0)</f>
        <v>Gaile Goggin</v>
      </c>
      <c r="G323" s="3" t="str">
        <f>IF(_xlfn.XLOOKUP(C323,customers!$A$1:$A$1001,customers!$C$1:$C$1001,,0)=0,"", _xlfn.XLOOKUP(C323,customers!$A$1:$A$1001,customers!$C$1:$C$1001,,0))</f>
        <v>ggoggin8x@wix.com</v>
      </c>
      <c r="H323" s="3" t="str">
        <f>_xlfn.XLOOKUP(C323,customers!$A$1:$A$1001,customers!$G$1:$G$1001,,0)</f>
        <v>Ireland</v>
      </c>
      <c r="I323" s="4" t="str">
        <f>INDEX(products!$A$1:$G$49,MATCH(orders!$D323,products!$A$1:$A$49,0),MATCH(orders!I$1,products!$A$1:$G$1,0))</f>
        <v>Ara</v>
      </c>
      <c r="J323" s="4" t="str">
        <f>INDEX(products!$A$1:$G$49,MATCH(orders!$D323,products!$A$1:$A$49,0),MATCH(orders!J$1,products!$A$1:$G$1,0))</f>
        <v>M</v>
      </c>
      <c r="K323" s="6">
        <f>INDEX(products!$A$1:$G$49,MATCH(orders!$D323,products!$A$1:$A$49,0),MATCH(orders!K$1,products!$A$1:$G$1,0))</f>
        <v>0.2</v>
      </c>
      <c r="L323" s="7">
        <f>INDEX(products!$A$1:$G$49,MATCH(orders!$D323,products!$A$1:$A$49,0),MATCH(orders!L$1,products!$A$1:$G$1,0))</f>
        <v>3.375</v>
      </c>
      <c r="M323" s="7">
        <f t="shared" ref="M323:M386" si="5">L323*E323</f>
        <v>20.25</v>
      </c>
      <c r="N323" s="4" t="str" cm="1">
        <f t="array" ref="N323">_xlfn.IFS(I323="Rob","Robusta",I323="Exc","Excelsa",I323="Ara","Arabica",I323="Lib","Liberica")</f>
        <v>Arabica</v>
      </c>
      <c r="O323" s="4" t="str" cm="1">
        <f t="array" ref="O323">_xlfn.IFS(J323="M","Medium",J323="L","Light",J323="D","Dark")</f>
        <v>Medium</v>
      </c>
      <c r="P323" s="4" t="str">
        <f>_xlfn.XLOOKUP(CoffeeOrderstable[[#This Row],[Customer ID]],customers!$A$1:$A$1001,customers!$I$1:$I$1001,,0)</f>
        <v>Yes</v>
      </c>
    </row>
    <row r="324" spans="1:16" x14ac:dyDescent="0.3">
      <c r="A324" s="3" t="s">
        <v>2307</v>
      </c>
      <c r="B324" s="5">
        <v>44182</v>
      </c>
      <c r="C324" s="3" t="s">
        <v>2308</v>
      </c>
      <c r="D324" s="4" t="s">
        <v>6169</v>
      </c>
      <c r="E324" s="3">
        <v>3</v>
      </c>
      <c r="F324" s="3" t="str">
        <f>_xlfn.XLOOKUP(C324,customers!$A$1:$A$1001,customers!$B$1:$B$1001,,0)</f>
        <v>Skylar Jeyness</v>
      </c>
      <c r="G324" s="3" t="str">
        <f>IF(_xlfn.XLOOKUP(C324,customers!$A$1:$A$1001,customers!$C$1:$C$1001,,0)=0,"", _xlfn.XLOOKUP(C324,customers!$A$1:$A$1001,customers!$C$1:$C$1001,,0))</f>
        <v>sjeyness8y@biglobe.ne.jp</v>
      </c>
      <c r="H324" s="3" t="str">
        <f>_xlfn.XLOOKUP(C324,customers!$A$1:$A$1001,customers!$G$1:$G$1001,,0)</f>
        <v>Ireland</v>
      </c>
      <c r="I324" s="4" t="str">
        <f>INDEX(products!$A$1:$G$49,MATCH(orders!$D324,products!$A$1:$A$49,0),MATCH(orders!I$1,products!$A$1:$G$1,0))</f>
        <v>Lib</v>
      </c>
      <c r="J324" s="4" t="str">
        <f>INDEX(products!$A$1:$G$49,MATCH(orders!$D324,products!$A$1:$A$49,0),MATCH(orders!J$1,products!$A$1:$G$1,0))</f>
        <v>D</v>
      </c>
      <c r="K324" s="6">
        <f>INDEX(products!$A$1:$G$49,MATCH(orders!$D324,products!$A$1:$A$49,0),MATCH(orders!K$1,products!$A$1:$G$1,0))</f>
        <v>0.5</v>
      </c>
      <c r="L324" s="7">
        <f>INDEX(products!$A$1:$G$49,MATCH(orders!$D324,products!$A$1:$A$49,0),MATCH(orders!L$1,products!$A$1:$G$1,0))</f>
        <v>7.77</v>
      </c>
      <c r="M324" s="7">
        <f t="shared" si="5"/>
        <v>23.31</v>
      </c>
      <c r="N324" s="4" t="str" cm="1">
        <f t="array" ref="N324">_xlfn.IFS(I324="Rob","Robusta",I324="Exc","Excelsa",I324="Ara","Arabica",I324="Lib","Liberica")</f>
        <v>Liberica</v>
      </c>
      <c r="O324" s="4" t="str" cm="1">
        <f t="array" ref="O324">_xlfn.IFS(J324="M","Medium",J324="L","Light",J324="D","Dark")</f>
        <v>Dark</v>
      </c>
      <c r="P324" s="4" t="str">
        <f>_xlfn.XLOOKUP(CoffeeOrderstable[[#This Row],[Customer ID]],customers!$A$1:$A$1001,customers!$I$1:$I$1001,,0)</f>
        <v>No</v>
      </c>
    </row>
    <row r="325" spans="1:16" x14ac:dyDescent="0.3">
      <c r="A325" s="3" t="s">
        <v>2313</v>
      </c>
      <c r="B325" s="5">
        <v>44373</v>
      </c>
      <c r="C325" s="3" t="s">
        <v>2314</v>
      </c>
      <c r="D325" s="4" t="s">
        <v>6153</v>
      </c>
      <c r="E325" s="3">
        <v>5</v>
      </c>
      <c r="F325" s="3" t="str">
        <f>_xlfn.XLOOKUP(C325,customers!$A$1:$A$1001,customers!$B$1:$B$1001,,0)</f>
        <v>Donica Bonhome</v>
      </c>
      <c r="G325" s="3" t="str">
        <f>IF(_xlfn.XLOOKUP(C325,customers!$A$1:$A$1001,customers!$C$1:$C$1001,,0)=0,"", _xlfn.XLOOKUP(C325,customers!$A$1:$A$1001,customers!$C$1:$C$1001,,0))</f>
        <v>dbonhome8z@shinystat.com</v>
      </c>
      <c r="H325" s="3" t="str">
        <f>_xlfn.XLOOKUP(C325,customers!$A$1:$A$1001,customers!$G$1:$G$1001,,0)</f>
        <v>United States</v>
      </c>
      <c r="I325" s="4" t="str">
        <f>INDEX(products!$A$1:$G$49,MATCH(orders!$D325,products!$A$1:$A$49,0),MATCH(orders!I$1,products!$A$1:$G$1,0))</f>
        <v>Exc</v>
      </c>
      <c r="J325" s="4" t="str">
        <f>INDEX(products!$A$1:$G$49,MATCH(orders!$D325,products!$A$1:$A$49,0),MATCH(orders!J$1,products!$A$1:$G$1,0))</f>
        <v>D</v>
      </c>
      <c r="K325" s="6">
        <f>INDEX(products!$A$1:$G$49,MATCH(orders!$D325,products!$A$1:$A$49,0),MATCH(orders!K$1,products!$A$1:$G$1,0))</f>
        <v>0.2</v>
      </c>
      <c r="L325" s="7">
        <f>INDEX(products!$A$1:$G$49,MATCH(orders!$D325,products!$A$1:$A$49,0),MATCH(orders!L$1,products!$A$1:$G$1,0))</f>
        <v>3.645</v>
      </c>
      <c r="M325" s="7">
        <f t="shared" si="5"/>
        <v>18.225000000000001</v>
      </c>
      <c r="N325" s="4" t="str" cm="1">
        <f t="array" ref="N325">_xlfn.IFS(I325="Rob","Robusta",I325="Exc","Excelsa",I325="Ara","Arabica",I325="Lib","Liberica")</f>
        <v>Excelsa</v>
      </c>
      <c r="O325" s="4" t="str" cm="1">
        <f t="array" ref="O325">_xlfn.IFS(J325="M","Medium",J325="L","Light",J325="D","Dark")</f>
        <v>Dark</v>
      </c>
      <c r="P325" s="4" t="str">
        <f>_xlfn.XLOOKUP(CoffeeOrderstable[[#This Row],[Customer ID]],customers!$A$1:$A$1001,customers!$I$1:$I$1001,,0)</f>
        <v>Yes</v>
      </c>
    </row>
    <row r="326" spans="1:16" x14ac:dyDescent="0.3">
      <c r="A326" s="3" t="s">
        <v>2319</v>
      </c>
      <c r="B326" s="5">
        <v>43666</v>
      </c>
      <c r="C326" s="3" t="s">
        <v>2320</v>
      </c>
      <c r="D326" s="4" t="s">
        <v>6141</v>
      </c>
      <c r="E326" s="3">
        <v>1</v>
      </c>
      <c r="F326" s="3" t="str">
        <f>_xlfn.XLOOKUP(C326,customers!$A$1:$A$1001,customers!$B$1:$B$1001,,0)</f>
        <v>Diena Peetermann</v>
      </c>
      <c r="G326" s="3" t="str">
        <f>IF(_xlfn.XLOOKUP(C326,customers!$A$1:$A$1001,customers!$C$1:$C$1001,,0)=0,"", _xlfn.XLOOKUP(C326,customers!$A$1:$A$1001,customers!$C$1:$C$1001,,0))</f>
        <v/>
      </c>
      <c r="H326" s="3" t="str">
        <f>_xlfn.XLOOKUP(C326,customers!$A$1:$A$1001,customers!$G$1:$G$1001,,0)</f>
        <v>United States</v>
      </c>
      <c r="I326" s="4" t="str">
        <f>INDEX(products!$A$1:$G$49,MATCH(orders!$D326,products!$A$1:$A$49,0),MATCH(orders!I$1,products!$A$1:$G$1,0))</f>
        <v>Exc</v>
      </c>
      <c r="J326" s="4" t="str">
        <f>INDEX(products!$A$1:$G$49,MATCH(orders!$D326,products!$A$1:$A$49,0),MATCH(orders!J$1,products!$A$1:$G$1,0))</f>
        <v>M</v>
      </c>
      <c r="K326" s="6">
        <f>INDEX(products!$A$1:$G$49,MATCH(orders!$D326,products!$A$1:$A$49,0),MATCH(orders!K$1,products!$A$1:$G$1,0))</f>
        <v>1</v>
      </c>
      <c r="L326" s="7">
        <f>INDEX(products!$A$1:$G$49,MATCH(orders!$D326,products!$A$1:$A$49,0),MATCH(orders!L$1,products!$A$1:$G$1,0))</f>
        <v>13.75</v>
      </c>
      <c r="M326" s="7">
        <f t="shared" si="5"/>
        <v>13.75</v>
      </c>
      <c r="N326" s="4" t="str" cm="1">
        <f t="array" ref="N326">_xlfn.IFS(I326="Rob","Robusta",I326="Exc","Excelsa",I326="Ara","Arabica",I326="Lib","Liberica")</f>
        <v>Excelsa</v>
      </c>
      <c r="O326" s="4" t="str" cm="1">
        <f t="array" ref="O326">_xlfn.IFS(J326="M","Medium",J326="L","Light",J326="D","Dark")</f>
        <v>Medium</v>
      </c>
      <c r="P326" s="4" t="str">
        <f>_xlfn.XLOOKUP(CoffeeOrderstable[[#This Row],[Customer ID]],customers!$A$1:$A$1001,customers!$I$1:$I$1001,,0)</f>
        <v>No</v>
      </c>
    </row>
    <row r="327" spans="1:16" x14ac:dyDescent="0.3">
      <c r="A327" s="3" t="s">
        <v>2324</v>
      </c>
      <c r="B327" s="5">
        <v>44756</v>
      </c>
      <c r="C327" s="3" t="s">
        <v>2325</v>
      </c>
      <c r="D327" s="4" t="s">
        <v>6182</v>
      </c>
      <c r="E327" s="3">
        <v>1</v>
      </c>
      <c r="F327" s="3" t="str">
        <f>_xlfn.XLOOKUP(C327,customers!$A$1:$A$1001,customers!$B$1:$B$1001,,0)</f>
        <v>Trina Le Sarr</v>
      </c>
      <c r="G327" s="3" t="str">
        <f>IF(_xlfn.XLOOKUP(C327,customers!$A$1:$A$1001,customers!$C$1:$C$1001,,0)=0,"", _xlfn.XLOOKUP(C327,customers!$A$1:$A$1001,customers!$C$1:$C$1001,,0))</f>
        <v>tle91@epa.gov</v>
      </c>
      <c r="H327" s="3" t="str">
        <f>_xlfn.XLOOKUP(C327,customers!$A$1:$A$1001,customers!$G$1:$G$1001,,0)</f>
        <v>United States</v>
      </c>
      <c r="I327" s="4" t="str">
        <f>INDEX(products!$A$1:$G$49,MATCH(orders!$D327,products!$A$1:$A$49,0),MATCH(orders!I$1,products!$A$1:$G$1,0))</f>
        <v>Ara</v>
      </c>
      <c r="J327" s="4" t="str">
        <f>INDEX(products!$A$1:$G$49,MATCH(orders!$D327,products!$A$1:$A$49,0),MATCH(orders!J$1,products!$A$1:$G$1,0))</f>
        <v>L</v>
      </c>
      <c r="K327" s="6">
        <f>INDEX(products!$A$1:$G$49,MATCH(orders!$D327,products!$A$1:$A$49,0),MATCH(orders!K$1,products!$A$1:$G$1,0))</f>
        <v>2.5</v>
      </c>
      <c r="L327" s="7">
        <f>INDEX(products!$A$1:$G$49,MATCH(orders!$D327,products!$A$1:$A$49,0),MATCH(orders!L$1,products!$A$1:$G$1,0))</f>
        <v>29.784999999999997</v>
      </c>
      <c r="M327" s="7">
        <f t="shared" si="5"/>
        <v>29.784999999999997</v>
      </c>
      <c r="N327" s="4" t="str" cm="1">
        <f t="array" ref="N327">_xlfn.IFS(I327="Rob","Robusta",I327="Exc","Excelsa",I327="Ara","Arabica",I327="Lib","Liberica")</f>
        <v>Arabica</v>
      </c>
      <c r="O327" s="4" t="str" cm="1">
        <f t="array" ref="O327">_xlfn.IFS(J327="M","Medium",J327="L","Light",J327="D","Dark")</f>
        <v>Light</v>
      </c>
      <c r="P327" s="4" t="str">
        <f>_xlfn.XLOOKUP(CoffeeOrderstable[[#This Row],[Customer ID]],customers!$A$1:$A$1001,customers!$I$1:$I$1001,,0)</f>
        <v>Yes</v>
      </c>
    </row>
    <row r="328" spans="1:16" x14ac:dyDescent="0.3">
      <c r="A328" s="3" t="s">
        <v>2330</v>
      </c>
      <c r="B328" s="5">
        <v>44057</v>
      </c>
      <c r="C328" s="3" t="s">
        <v>2331</v>
      </c>
      <c r="D328" s="4" t="s">
        <v>6177</v>
      </c>
      <c r="E328" s="3">
        <v>5</v>
      </c>
      <c r="F328" s="3" t="str">
        <f>_xlfn.XLOOKUP(C328,customers!$A$1:$A$1001,customers!$B$1:$B$1001,,0)</f>
        <v>Flynn Antony</v>
      </c>
      <c r="G328" s="3" t="str">
        <f>IF(_xlfn.XLOOKUP(C328,customers!$A$1:$A$1001,customers!$C$1:$C$1001,,0)=0,"", _xlfn.XLOOKUP(C328,customers!$A$1:$A$1001,customers!$C$1:$C$1001,,0))</f>
        <v/>
      </c>
      <c r="H328" s="3" t="str">
        <f>_xlfn.XLOOKUP(C328,customers!$A$1:$A$1001,customers!$G$1:$G$1001,,0)</f>
        <v>United States</v>
      </c>
      <c r="I328" s="4" t="str">
        <f>INDEX(products!$A$1:$G$49,MATCH(orders!$D328,products!$A$1:$A$49,0),MATCH(orders!I$1,products!$A$1:$G$1,0))</f>
        <v>Rob</v>
      </c>
      <c r="J328" s="4" t="str">
        <f>INDEX(products!$A$1:$G$49,MATCH(orders!$D328,products!$A$1:$A$49,0),MATCH(orders!J$1,products!$A$1:$G$1,0))</f>
        <v>D</v>
      </c>
      <c r="K328" s="6">
        <f>INDEX(products!$A$1:$G$49,MATCH(orders!$D328,products!$A$1:$A$49,0),MATCH(orders!K$1,products!$A$1:$G$1,0))</f>
        <v>1</v>
      </c>
      <c r="L328" s="7">
        <f>INDEX(products!$A$1:$G$49,MATCH(orders!$D328,products!$A$1:$A$49,0),MATCH(orders!L$1,products!$A$1:$G$1,0))</f>
        <v>8.9499999999999993</v>
      </c>
      <c r="M328" s="7">
        <f t="shared" si="5"/>
        <v>44.75</v>
      </c>
      <c r="N328" s="4" t="str" cm="1">
        <f t="array" ref="N328">_xlfn.IFS(I328="Rob","Robusta",I328="Exc","Excelsa",I328="Ara","Arabica",I328="Lib","Liberica")</f>
        <v>Robusta</v>
      </c>
      <c r="O328" s="4" t="str" cm="1">
        <f t="array" ref="O328">_xlfn.IFS(J328="M","Medium",J328="L","Light",J328="D","Dark")</f>
        <v>Dark</v>
      </c>
      <c r="P328" s="4" t="str">
        <f>_xlfn.XLOOKUP(CoffeeOrderstable[[#This Row],[Customer ID]],customers!$A$1:$A$1001,customers!$I$1:$I$1001,,0)</f>
        <v>No</v>
      </c>
    </row>
    <row r="329" spans="1:16" x14ac:dyDescent="0.3">
      <c r="A329" s="3" t="s">
        <v>2335</v>
      </c>
      <c r="B329" s="5">
        <v>43579</v>
      </c>
      <c r="C329" s="3" t="s">
        <v>2336</v>
      </c>
      <c r="D329" s="4" t="s">
        <v>6177</v>
      </c>
      <c r="E329" s="3">
        <v>5</v>
      </c>
      <c r="F329" s="3" t="str">
        <f>_xlfn.XLOOKUP(C329,customers!$A$1:$A$1001,customers!$B$1:$B$1001,,0)</f>
        <v>Baudoin Alldridge</v>
      </c>
      <c r="G329" s="3" t="str">
        <f>IF(_xlfn.XLOOKUP(C329,customers!$A$1:$A$1001,customers!$C$1:$C$1001,,0)=0,"", _xlfn.XLOOKUP(C329,customers!$A$1:$A$1001,customers!$C$1:$C$1001,,0))</f>
        <v>balldridge93@yandex.ru</v>
      </c>
      <c r="H329" s="3" t="str">
        <f>_xlfn.XLOOKUP(C329,customers!$A$1:$A$1001,customers!$G$1:$G$1001,,0)</f>
        <v>United States</v>
      </c>
      <c r="I329" s="4" t="str">
        <f>INDEX(products!$A$1:$G$49,MATCH(orders!$D329,products!$A$1:$A$49,0),MATCH(orders!I$1,products!$A$1:$G$1,0))</f>
        <v>Rob</v>
      </c>
      <c r="J329" s="4" t="str">
        <f>INDEX(products!$A$1:$G$49,MATCH(orders!$D329,products!$A$1:$A$49,0),MATCH(orders!J$1,products!$A$1:$G$1,0))</f>
        <v>D</v>
      </c>
      <c r="K329" s="6">
        <f>INDEX(products!$A$1:$G$49,MATCH(orders!$D329,products!$A$1:$A$49,0),MATCH(orders!K$1,products!$A$1:$G$1,0))</f>
        <v>1</v>
      </c>
      <c r="L329" s="7">
        <f>INDEX(products!$A$1:$G$49,MATCH(orders!$D329,products!$A$1:$A$49,0),MATCH(orders!L$1,products!$A$1:$G$1,0))</f>
        <v>8.9499999999999993</v>
      </c>
      <c r="M329" s="7">
        <f t="shared" si="5"/>
        <v>44.75</v>
      </c>
      <c r="N329" s="4" t="str" cm="1">
        <f t="array" ref="N329">_xlfn.IFS(I329="Rob","Robusta",I329="Exc","Excelsa",I329="Ara","Arabica",I329="Lib","Liberica")</f>
        <v>Robusta</v>
      </c>
      <c r="O329" s="4" t="str" cm="1">
        <f t="array" ref="O329">_xlfn.IFS(J329="M","Medium",J329="L","Light",J329="D","Dark")</f>
        <v>Dark</v>
      </c>
      <c r="P329" s="4" t="str">
        <f>_xlfn.XLOOKUP(CoffeeOrderstable[[#This Row],[Customer ID]],customers!$A$1:$A$1001,customers!$I$1:$I$1001,,0)</f>
        <v>Yes</v>
      </c>
    </row>
    <row r="330" spans="1:16" x14ac:dyDescent="0.3">
      <c r="A330" s="3" t="s">
        <v>2341</v>
      </c>
      <c r="B330" s="5">
        <v>43620</v>
      </c>
      <c r="C330" s="3" t="s">
        <v>2342</v>
      </c>
      <c r="D330" s="4" t="s">
        <v>6161</v>
      </c>
      <c r="E330" s="3">
        <v>4</v>
      </c>
      <c r="F330" s="3" t="str">
        <f>_xlfn.XLOOKUP(C330,customers!$A$1:$A$1001,customers!$B$1:$B$1001,,0)</f>
        <v>Homer Dulany</v>
      </c>
      <c r="G330" s="3" t="str">
        <f>IF(_xlfn.XLOOKUP(C330,customers!$A$1:$A$1001,customers!$C$1:$C$1001,,0)=0,"", _xlfn.XLOOKUP(C330,customers!$A$1:$A$1001,customers!$C$1:$C$1001,,0))</f>
        <v/>
      </c>
      <c r="H330" s="3" t="str">
        <f>_xlfn.XLOOKUP(C330,customers!$A$1:$A$1001,customers!$G$1:$G$1001,,0)</f>
        <v>United States</v>
      </c>
      <c r="I330" s="4" t="str">
        <f>INDEX(products!$A$1:$G$49,MATCH(orders!$D330,products!$A$1:$A$49,0),MATCH(orders!I$1,products!$A$1:$G$1,0))</f>
        <v>Lib</v>
      </c>
      <c r="J330" s="4" t="str">
        <f>INDEX(products!$A$1:$G$49,MATCH(orders!$D330,products!$A$1:$A$49,0),MATCH(orders!J$1,products!$A$1:$G$1,0))</f>
        <v>L</v>
      </c>
      <c r="K330" s="6">
        <f>INDEX(products!$A$1:$G$49,MATCH(orders!$D330,products!$A$1:$A$49,0),MATCH(orders!K$1,products!$A$1:$G$1,0))</f>
        <v>0.5</v>
      </c>
      <c r="L330" s="7">
        <f>INDEX(products!$A$1:$G$49,MATCH(orders!$D330,products!$A$1:$A$49,0),MATCH(orders!L$1,products!$A$1:$G$1,0))</f>
        <v>9.51</v>
      </c>
      <c r="M330" s="7">
        <f t="shared" si="5"/>
        <v>38.04</v>
      </c>
      <c r="N330" s="4" t="str" cm="1">
        <f t="array" ref="N330">_xlfn.IFS(I330="Rob","Robusta",I330="Exc","Excelsa",I330="Ara","Arabica",I330="Lib","Liberica")</f>
        <v>Liberica</v>
      </c>
      <c r="O330" s="4" t="str" cm="1">
        <f t="array" ref="O330">_xlfn.IFS(J330="M","Medium",J330="L","Light",J330="D","Dark")</f>
        <v>Light</v>
      </c>
      <c r="P330" s="4" t="str">
        <f>_xlfn.XLOOKUP(CoffeeOrderstable[[#This Row],[Customer ID]],customers!$A$1:$A$1001,customers!$I$1:$I$1001,,0)</f>
        <v>Yes</v>
      </c>
    </row>
    <row r="331" spans="1:16" x14ac:dyDescent="0.3">
      <c r="A331" s="3" t="s">
        <v>2346</v>
      </c>
      <c r="B331" s="5">
        <v>44781</v>
      </c>
      <c r="C331" s="3" t="s">
        <v>2347</v>
      </c>
      <c r="D331" s="4" t="s">
        <v>6172</v>
      </c>
      <c r="E331" s="3">
        <v>4</v>
      </c>
      <c r="F331" s="3" t="str">
        <f>_xlfn.XLOOKUP(C331,customers!$A$1:$A$1001,customers!$B$1:$B$1001,,0)</f>
        <v>Lisa Goodger</v>
      </c>
      <c r="G331" s="3" t="str">
        <f>IF(_xlfn.XLOOKUP(C331,customers!$A$1:$A$1001,customers!$C$1:$C$1001,,0)=0,"", _xlfn.XLOOKUP(C331,customers!$A$1:$A$1001,customers!$C$1:$C$1001,,0))</f>
        <v>lgoodger95@guardian.co.uk</v>
      </c>
      <c r="H331" s="3" t="str">
        <f>_xlfn.XLOOKUP(C331,customers!$A$1:$A$1001,customers!$G$1:$G$1001,,0)</f>
        <v>United States</v>
      </c>
      <c r="I331" s="4" t="str">
        <f>INDEX(products!$A$1:$G$49,MATCH(orders!$D331,products!$A$1:$A$49,0),MATCH(orders!I$1,products!$A$1:$G$1,0))</f>
        <v>Rob</v>
      </c>
      <c r="J331" s="4" t="str">
        <f>INDEX(products!$A$1:$G$49,MATCH(orders!$D331,products!$A$1:$A$49,0),MATCH(orders!J$1,products!$A$1:$G$1,0))</f>
        <v>D</v>
      </c>
      <c r="K331" s="6">
        <f>INDEX(products!$A$1:$G$49,MATCH(orders!$D331,products!$A$1:$A$49,0),MATCH(orders!K$1,products!$A$1:$G$1,0))</f>
        <v>0.5</v>
      </c>
      <c r="L331" s="7">
        <f>INDEX(products!$A$1:$G$49,MATCH(orders!$D331,products!$A$1:$A$49,0),MATCH(orders!L$1,products!$A$1:$G$1,0))</f>
        <v>5.3699999999999992</v>
      </c>
      <c r="M331" s="7">
        <f t="shared" si="5"/>
        <v>21.479999999999997</v>
      </c>
      <c r="N331" s="4" t="str" cm="1">
        <f t="array" ref="N331">_xlfn.IFS(I331="Rob","Robusta",I331="Exc","Excelsa",I331="Ara","Arabica",I331="Lib","Liberica")</f>
        <v>Robusta</v>
      </c>
      <c r="O331" s="4" t="str" cm="1">
        <f t="array" ref="O331">_xlfn.IFS(J331="M","Medium",J331="L","Light",J331="D","Dark")</f>
        <v>Dark</v>
      </c>
      <c r="P331" s="4" t="str">
        <f>_xlfn.XLOOKUP(CoffeeOrderstable[[#This Row],[Customer ID]],customers!$A$1:$A$1001,customers!$I$1:$I$1001,,0)</f>
        <v>Yes</v>
      </c>
    </row>
    <row r="332" spans="1:16" x14ac:dyDescent="0.3">
      <c r="A332" s="3" t="s">
        <v>2351</v>
      </c>
      <c r="B332" s="5">
        <v>43782</v>
      </c>
      <c r="C332" s="3" t="s">
        <v>2280</v>
      </c>
      <c r="D332" s="4" t="s">
        <v>6172</v>
      </c>
      <c r="E332" s="3">
        <v>3</v>
      </c>
      <c r="F332" s="3" t="str">
        <f>_xlfn.XLOOKUP(C332,customers!$A$1:$A$1001,customers!$B$1:$B$1001,,0)</f>
        <v>Selma McMillian</v>
      </c>
      <c r="G332" s="3" t="str">
        <f>IF(_xlfn.XLOOKUP(C332,customers!$A$1:$A$1001,customers!$C$1:$C$1001,,0)=0,"", _xlfn.XLOOKUP(C332,customers!$A$1:$A$1001,customers!$C$1:$C$1001,,0))</f>
        <v>smcmillian8t@csmonitor.com</v>
      </c>
      <c r="H332" s="3" t="str">
        <f>_xlfn.XLOOKUP(C332,customers!$A$1:$A$1001,customers!$G$1:$G$1001,,0)</f>
        <v>United States</v>
      </c>
      <c r="I332" s="4" t="str">
        <f>INDEX(products!$A$1:$G$49,MATCH(orders!$D332,products!$A$1:$A$49,0),MATCH(orders!I$1,products!$A$1:$G$1,0))</f>
        <v>Rob</v>
      </c>
      <c r="J332" s="4" t="str">
        <f>INDEX(products!$A$1:$G$49,MATCH(orders!$D332,products!$A$1:$A$49,0),MATCH(orders!J$1,products!$A$1:$G$1,0))</f>
        <v>D</v>
      </c>
      <c r="K332" s="6">
        <f>INDEX(products!$A$1:$G$49,MATCH(orders!$D332,products!$A$1:$A$49,0),MATCH(orders!K$1,products!$A$1:$G$1,0))</f>
        <v>0.5</v>
      </c>
      <c r="L332" s="7">
        <f>INDEX(products!$A$1:$G$49,MATCH(orders!$D332,products!$A$1:$A$49,0),MATCH(orders!L$1,products!$A$1:$G$1,0))</f>
        <v>5.3699999999999992</v>
      </c>
      <c r="M332" s="7">
        <f t="shared" si="5"/>
        <v>16.11</v>
      </c>
      <c r="N332" s="4" t="str" cm="1">
        <f t="array" ref="N332">_xlfn.IFS(I332="Rob","Robusta",I332="Exc","Excelsa",I332="Ara","Arabica",I332="Lib","Liberica")</f>
        <v>Robusta</v>
      </c>
      <c r="O332" s="4" t="str" cm="1">
        <f t="array" ref="O332">_xlfn.IFS(J332="M","Medium",J332="L","Light",J332="D","Dark")</f>
        <v>Dark</v>
      </c>
      <c r="P332" s="4" t="str">
        <f>_xlfn.XLOOKUP(CoffeeOrderstable[[#This Row],[Customer ID]],customers!$A$1:$A$1001,customers!$I$1:$I$1001,,0)</f>
        <v>No</v>
      </c>
    </row>
    <row r="333" spans="1:16" x14ac:dyDescent="0.3">
      <c r="A333" s="3" t="s">
        <v>2357</v>
      </c>
      <c r="B333" s="5">
        <v>43989</v>
      </c>
      <c r="C333" s="3" t="s">
        <v>2358</v>
      </c>
      <c r="D333" s="4" t="s">
        <v>6151</v>
      </c>
      <c r="E333" s="3">
        <v>1</v>
      </c>
      <c r="F333" s="3" t="str">
        <f>_xlfn.XLOOKUP(C333,customers!$A$1:$A$1001,customers!$B$1:$B$1001,,0)</f>
        <v>Corine Drewett</v>
      </c>
      <c r="G333" s="3" t="str">
        <f>IF(_xlfn.XLOOKUP(C333,customers!$A$1:$A$1001,customers!$C$1:$C$1001,,0)=0,"", _xlfn.XLOOKUP(C333,customers!$A$1:$A$1001,customers!$C$1:$C$1001,,0))</f>
        <v>cdrewett97@wikipedia.org</v>
      </c>
      <c r="H333" s="3" t="str">
        <f>_xlfn.XLOOKUP(C333,customers!$A$1:$A$1001,customers!$G$1:$G$1001,,0)</f>
        <v>United States</v>
      </c>
      <c r="I333" s="4" t="str">
        <f>INDEX(products!$A$1:$G$49,MATCH(orders!$D333,products!$A$1:$A$49,0),MATCH(orders!I$1,products!$A$1:$G$1,0))</f>
        <v>Rob</v>
      </c>
      <c r="J333" s="4" t="str">
        <f>INDEX(products!$A$1:$G$49,MATCH(orders!$D333,products!$A$1:$A$49,0),MATCH(orders!J$1,products!$A$1:$G$1,0))</f>
        <v>M</v>
      </c>
      <c r="K333" s="6">
        <f>INDEX(products!$A$1:$G$49,MATCH(orders!$D333,products!$A$1:$A$49,0),MATCH(orders!K$1,products!$A$1:$G$1,0))</f>
        <v>2.5</v>
      </c>
      <c r="L333" s="7">
        <f>INDEX(products!$A$1:$G$49,MATCH(orders!$D333,products!$A$1:$A$49,0),MATCH(orders!L$1,products!$A$1:$G$1,0))</f>
        <v>22.884999999999998</v>
      </c>
      <c r="M333" s="7">
        <f t="shared" si="5"/>
        <v>22.884999999999998</v>
      </c>
      <c r="N333" s="4" t="str" cm="1">
        <f t="array" ref="N333">_xlfn.IFS(I333="Rob","Robusta",I333="Exc","Excelsa",I333="Ara","Arabica",I333="Lib","Liberica")</f>
        <v>Robusta</v>
      </c>
      <c r="O333" s="4" t="str" cm="1">
        <f t="array" ref="O333">_xlfn.IFS(J333="M","Medium",J333="L","Light",J333="D","Dark")</f>
        <v>Medium</v>
      </c>
      <c r="P333" s="4" t="str">
        <f>_xlfn.XLOOKUP(CoffeeOrderstable[[#This Row],[Customer ID]],customers!$A$1:$A$1001,customers!$I$1:$I$1001,,0)</f>
        <v>Yes</v>
      </c>
    </row>
    <row r="334" spans="1:16" x14ac:dyDescent="0.3">
      <c r="A334" s="3" t="s">
        <v>2363</v>
      </c>
      <c r="B334" s="5">
        <v>43689</v>
      </c>
      <c r="C334" s="3" t="s">
        <v>2364</v>
      </c>
      <c r="D334" s="4" t="s">
        <v>6158</v>
      </c>
      <c r="E334" s="3">
        <v>3</v>
      </c>
      <c r="F334" s="3" t="str">
        <f>_xlfn.XLOOKUP(C334,customers!$A$1:$A$1001,customers!$B$1:$B$1001,,0)</f>
        <v>Quinn Parsons</v>
      </c>
      <c r="G334" s="3" t="str">
        <f>IF(_xlfn.XLOOKUP(C334,customers!$A$1:$A$1001,customers!$C$1:$C$1001,,0)=0,"", _xlfn.XLOOKUP(C334,customers!$A$1:$A$1001,customers!$C$1:$C$1001,,0))</f>
        <v>qparsons98@blogtalkradio.com</v>
      </c>
      <c r="H334" s="3" t="str">
        <f>_xlfn.XLOOKUP(C334,customers!$A$1:$A$1001,customers!$G$1:$G$1001,,0)</f>
        <v>United States</v>
      </c>
      <c r="I334" s="4" t="str">
        <f>INDEX(products!$A$1:$G$49,MATCH(orders!$D334,products!$A$1:$A$49,0),MATCH(orders!I$1,products!$A$1:$G$1,0))</f>
        <v>Ara</v>
      </c>
      <c r="J334" s="4" t="str">
        <f>INDEX(products!$A$1:$G$49,MATCH(orders!$D334,products!$A$1:$A$49,0),MATCH(orders!J$1,products!$A$1:$G$1,0))</f>
        <v>D</v>
      </c>
      <c r="K334" s="6">
        <f>INDEX(products!$A$1:$G$49,MATCH(orders!$D334,products!$A$1:$A$49,0),MATCH(orders!K$1,products!$A$1:$G$1,0))</f>
        <v>0.5</v>
      </c>
      <c r="L334" s="7">
        <f>INDEX(products!$A$1:$G$49,MATCH(orders!$D334,products!$A$1:$A$49,0),MATCH(orders!L$1,products!$A$1:$G$1,0))</f>
        <v>5.97</v>
      </c>
      <c r="M334" s="7">
        <f t="shared" si="5"/>
        <v>17.91</v>
      </c>
      <c r="N334" s="4" t="str" cm="1">
        <f t="array" ref="N334">_xlfn.IFS(I334="Rob","Robusta",I334="Exc","Excelsa",I334="Ara","Arabica",I334="Lib","Liberica")</f>
        <v>Arabica</v>
      </c>
      <c r="O334" s="4" t="str" cm="1">
        <f t="array" ref="O334">_xlfn.IFS(J334="M","Medium",J334="L","Light",J334="D","Dark")</f>
        <v>Dark</v>
      </c>
      <c r="P334" s="4" t="str">
        <f>_xlfn.XLOOKUP(CoffeeOrderstable[[#This Row],[Customer ID]],customers!$A$1:$A$1001,customers!$I$1:$I$1001,,0)</f>
        <v>Yes</v>
      </c>
    </row>
    <row r="335" spans="1:16" x14ac:dyDescent="0.3">
      <c r="A335" s="3" t="s">
        <v>2369</v>
      </c>
      <c r="B335" s="5">
        <v>43712</v>
      </c>
      <c r="C335" s="3" t="s">
        <v>2370</v>
      </c>
      <c r="D335" s="4" t="s">
        <v>6146</v>
      </c>
      <c r="E335" s="3">
        <v>4</v>
      </c>
      <c r="F335" s="3" t="str">
        <f>_xlfn.XLOOKUP(C335,customers!$A$1:$A$1001,customers!$B$1:$B$1001,,0)</f>
        <v>Vivyan Ceely</v>
      </c>
      <c r="G335" s="3" t="str">
        <f>IF(_xlfn.XLOOKUP(C335,customers!$A$1:$A$1001,customers!$C$1:$C$1001,,0)=0,"", _xlfn.XLOOKUP(C335,customers!$A$1:$A$1001,customers!$C$1:$C$1001,,0))</f>
        <v>vceely99@auda.org.au</v>
      </c>
      <c r="H335" s="3" t="str">
        <f>_xlfn.XLOOKUP(C335,customers!$A$1:$A$1001,customers!$G$1:$G$1001,,0)</f>
        <v>United States</v>
      </c>
      <c r="I335" s="4" t="str">
        <f>INDEX(products!$A$1:$G$49,MATCH(orders!$D335,products!$A$1:$A$49,0),MATCH(orders!I$1,products!$A$1:$G$1,0))</f>
        <v>Rob</v>
      </c>
      <c r="J335" s="4" t="str">
        <f>INDEX(products!$A$1:$G$49,MATCH(orders!$D335,products!$A$1:$A$49,0),MATCH(orders!J$1,products!$A$1:$G$1,0))</f>
        <v>M</v>
      </c>
      <c r="K335" s="6">
        <f>INDEX(products!$A$1:$G$49,MATCH(orders!$D335,products!$A$1:$A$49,0),MATCH(orders!K$1,products!$A$1:$G$1,0))</f>
        <v>0.5</v>
      </c>
      <c r="L335" s="7">
        <f>INDEX(products!$A$1:$G$49,MATCH(orders!$D335,products!$A$1:$A$49,0),MATCH(orders!L$1,products!$A$1:$G$1,0))</f>
        <v>5.97</v>
      </c>
      <c r="M335" s="7">
        <f t="shared" si="5"/>
        <v>23.88</v>
      </c>
      <c r="N335" s="4" t="str" cm="1">
        <f t="array" ref="N335">_xlfn.IFS(I335="Rob","Robusta",I335="Exc","Excelsa",I335="Ara","Arabica",I335="Lib","Liberica")</f>
        <v>Robusta</v>
      </c>
      <c r="O335" s="4" t="str" cm="1">
        <f t="array" ref="O335">_xlfn.IFS(J335="M","Medium",J335="L","Light",J335="D","Dark")</f>
        <v>Medium</v>
      </c>
      <c r="P335" s="4" t="str">
        <f>_xlfn.XLOOKUP(CoffeeOrderstable[[#This Row],[Customer ID]],customers!$A$1:$A$1001,customers!$I$1:$I$1001,,0)</f>
        <v>Yes</v>
      </c>
    </row>
    <row r="336" spans="1:16" x14ac:dyDescent="0.3">
      <c r="A336" s="3" t="s">
        <v>2375</v>
      </c>
      <c r="B336" s="5">
        <v>43742</v>
      </c>
      <c r="C336" s="3" t="s">
        <v>2376</v>
      </c>
      <c r="D336" s="4" t="s">
        <v>6179</v>
      </c>
      <c r="E336" s="3">
        <v>5</v>
      </c>
      <c r="F336" s="3" t="str">
        <f>_xlfn.XLOOKUP(C336,customers!$A$1:$A$1001,customers!$B$1:$B$1001,,0)</f>
        <v>Elonore Goodings</v>
      </c>
      <c r="G336" s="3" t="str">
        <f>IF(_xlfn.XLOOKUP(C336,customers!$A$1:$A$1001,customers!$C$1:$C$1001,,0)=0,"", _xlfn.XLOOKUP(C336,customers!$A$1:$A$1001,customers!$C$1:$C$1001,,0))</f>
        <v/>
      </c>
      <c r="H336" s="3" t="str">
        <f>_xlfn.XLOOKUP(C336,customers!$A$1:$A$1001,customers!$G$1:$G$1001,,0)</f>
        <v>United States</v>
      </c>
      <c r="I336" s="4" t="str">
        <f>INDEX(products!$A$1:$G$49,MATCH(orders!$D336,products!$A$1:$A$49,0),MATCH(orders!I$1,products!$A$1:$G$1,0))</f>
        <v>Rob</v>
      </c>
      <c r="J336" s="4" t="str">
        <f>INDEX(products!$A$1:$G$49,MATCH(orders!$D336,products!$A$1:$A$49,0),MATCH(orders!J$1,products!$A$1:$G$1,0))</f>
        <v>L</v>
      </c>
      <c r="K336" s="6">
        <f>INDEX(products!$A$1:$G$49,MATCH(orders!$D336,products!$A$1:$A$49,0),MATCH(orders!K$1,products!$A$1:$G$1,0))</f>
        <v>1</v>
      </c>
      <c r="L336" s="7">
        <f>INDEX(products!$A$1:$G$49,MATCH(orders!$D336,products!$A$1:$A$49,0),MATCH(orders!L$1,products!$A$1:$G$1,0))</f>
        <v>11.95</v>
      </c>
      <c r="M336" s="7">
        <f t="shared" si="5"/>
        <v>59.75</v>
      </c>
      <c r="N336" s="4" t="str" cm="1">
        <f t="array" ref="N336">_xlfn.IFS(I336="Rob","Robusta",I336="Exc","Excelsa",I336="Ara","Arabica",I336="Lib","Liberica")</f>
        <v>Robusta</v>
      </c>
      <c r="O336" s="4" t="str" cm="1">
        <f t="array" ref="O336">_xlfn.IFS(J336="M","Medium",J336="L","Light",J336="D","Dark")</f>
        <v>Light</v>
      </c>
      <c r="P336" s="4" t="str">
        <f>_xlfn.XLOOKUP(CoffeeOrderstable[[#This Row],[Customer ID]],customers!$A$1:$A$1001,customers!$I$1:$I$1001,,0)</f>
        <v>No</v>
      </c>
    </row>
    <row r="337" spans="1:16" x14ac:dyDescent="0.3">
      <c r="A337" s="3" t="s">
        <v>2379</v>
      </c>
      <c r="B337" s="5">
        <v>43885</v>
      </c>
      <c r="C337" s="3" t="s">
        <v>2380</v>
      </c>
      <c r="D337" s="4" t="s">
        <v>6145</v>
      </c>
      <c r="E337" s="3">
        <v>6</v>
      </c>
      <c r="F337" s="3" t="str">
        <f>_xlfn.XLOOKUP(C337,customers!$A$1:$A$1001,customers!$B$1:$B$1001,,0)</f>
        <v>Clement Vasiliev</v>
      </c>
      <c r="G337" s="3" t="str">
        <f>IF(_xlfn.XLOOKUP(C337,customers!$A$1:$A$1001,customers!$C$1:$C$1001,,0)=0,"", _xlfn.XLOOKUP(C337,customers!$A$1:$A$1001,customers!$C$1:$C$1001,,0))</f>
        <v>cvasiliev9b@discuz.net</v>
      </c>
      <c r="H337" s="3" t="str">
        <f>_xlfn.XLOOKUP(C337,customers!$A$1:$A$1001,customers!$G$1:$G$1001,,0)</f>
        <v>United States</v>
      </c>
      <c r="I337" s="4" t="str">
        <f>INDEX(products!$A$1:$G$49,MATCH(orders!$D337,products!$A$1:$A$49,0),MATCH(orders!I$1,products!$A$1:$G$1,0))</f>
        <v>Lib</v>
      </c>
      <c r="J337" s="4" t="str">
        <f>INDEX(products!$A$1:$G$49,MATCH(orders!$D337,products!$A$1:$A$49,0),MATCH(orders!J$1,products!$A$1:$G$1,0))</f>
        <v>L</v>
      </c>
      <c r="K337" s="6">
        <f>INDEX(products!$A$1:$G$49,MATCH(orders!$D337,products!$A$1:$A$49,0),MATCH(orders!K$1,products!$A$1:$G$1,0))</f>
        <v>0.2</v>
      </c>
      <c r="L337" s="7">
        <f>INDEX(products!$A$1:$G$49,MATCH(orders!$D337,products!$A$1:$A$49,0),MATCH(orders!L$1,products!$A$1:$G$1,0))</f>
        <v>4.7549999999999999</v>
      </c>
      <c r="M337" s="7">
        <f t="shared" si="5"/>
        <v>28.53</v>
      </c>
      <c r="N337" s="4" t="str" cm="1">
        <f t="array" ref="N337">_xlfn.IFS(I337="Rob","Robusta",I337="Exc","Excelsa",I337="Ara","Arabica",I337="Lib","Liberica")</f>
        <v>Liberica</v>
      </c>
      <c r="O337" s="4" t="str" cm="1">
        <f t="array" ref="O337">_xlfn.IFS(J337="M","Medium",J337="L","Light",J337="D","Dark")</f>
        <v>Light</v>
      </c>
      <c r="P337" s="4" t="str">
        <f>_xlfn.XLOOKUP(CoffeeOrderstable[[#This Row],[Customer ID]],customers!$A$1:$A$1001,customers!$I$1:$I$1001,,0)</f>
        <v>Yes</v>
      </c>
    </row>
    <row r="338" spans="1:16" x14ac:dyDescent="0.3">
      <c r="A338" s="3" t="s">
        <v>2385</v>
      </c>
      <c r="B338" s="5">
        <v>44434</v>
      </c>
      <c r="C338" s="3" t="s">
        <v>2386</v>
      </c>
      <c r="D338" s="4" t="s">
        <v>6155</v>
      </c>
      <c r="E338" s="3">
        <v>4</v>
      </c>
      <c r="F338" s="3" t="str">
        <f>_xlfn.XLOOKUP(C338,customers!$A$1:$A$1001,customers!$B$1:$B$1001,,0)</f>
        <v>Terencio O'Moylan</v>
      </c>
      <c r="G338" s="3" t="str">
        <f>IF(_xlfn.XLOOKUP(C338,customers!$A$1:$A$1001,customers!$C$1:$C$1001,,0)=0,"", _xlfn.XLOOKUP(C338,customers!$A$1:$A$1001,customers!$C$1:$C$1001,,0))</f>
        <v>tomoylan9c@liveinternet.ru</v>
      </c>
      <c r="H338" s="3" t="str">
        <f>_xlfn.XLOOKUP(C338,customers!$A$1:$A$1001,customers!$G$1:$G$1001,,0)</f>
        <v>United Kingdom</v>
      </c>
      <c r="I338" s="4" t="str">
        <f>INDEX(products!$A$1:$G$49,MATCH(orders!$D338,products!$A$1:$A$49,0),MATCH(orders!I$1,products!$A$1:$G$1,0))</f>
        <v>Ara</v>
      </c>
      <c r="J338" s="4" t="str">
        <f>INDEX(products!$A$1:$G$49,MATCH(orders!$D338,products!$A$1:$A$49,0),MATCH(orders!J$1,products!$A$1:$G$1,0))</f>
        <v>M</v>
      </c>
      <c r="K338" s="6">
        <f>INDEX(products!$A$1:$G$49,MATCH(orders!$D338,products!$A$1:$A$49,0),MATCH(orders!K$1,products!$A$1:$G$1,0))</f>
        <v>1</v>
      </c>
      <c r="L338" s="7">
        <f>INDEX(products!$A$1:$G$49,MATCH(orders!$D338,products!$A$1:$A$49,0),MATCH(orders!L$1,products!$A$1:$G$1,0))</f>
        <v>11.25</v>
      </c>
      <c r="M338" s="7">
        <f t="shared" si="5"/>
        <v>45</v>
      </c>
      <c r="N338" s="4" t="str" cm="1">
        <f t="array" ref="N338">_xlfn.IFS(I338="Rob","Robusta",I338="Exc","Excelsa",I338="Ara","Arabica",I338="Lib","Liberica")</f>
        <v>Arabica</v>
      </c>
      <c r="O338" s="4" t="str" cm="1">
        <f t="array" ref="O338">_xlfn.IFS(J338="M","Medium",J338="L","Light",J338="D","Dark")</f>
        <v>Medium</v>
      </c>
      <c r="P338" s="4" t="str">
        <f>_xlfn.XLOOKUP(CoffeeOrderstable[[#This Row],[Customer ID]],customers!$A$1:$A$1001,customers!$I$1:$I$1001,,0)</f>
        <v>No</v>
      </c>
    </row>
    <row r="339" spans="1:16" x14ac:dyDescent="0.3">
      <c r="A339" s="3" t="s">
        <v>2391</v>
      </c>
      <c r="B339" s="5">
        <v>44472</v>
      </c>
      <c r="C339" s="3" t="s">
        <v>2331</v>
      </c>
      <c r="D339" s="4" t="s">
        <v>6185</v>
      </c>
      <c r="E339" s="3">
        <v>2</v>
      </c>
      <c r="F339" s="3" t="str">
        <f>_xlfn.XLOOKUP(C339,customers!$A$1:$A$1001,customers!$B$1:$B$1001,,0)</f>
        <v>Flynn Antony</v>
      </c>
      <c r="G339" s="3" t="str">
        <f>IF(_xlfn.XLOOKUP(C339,customers!$A$1:$A$1001,customers!$C$1:$C$1001,,0)=0,"", _xlfn.XLOOKUP(C339,customers!$A$1:$A$1001,customers!$C$1:$C$1001,,0))</f>
        <v/>
      </c>
      <c r="H339" s="3" t="str">
        <f>_xlfn.XLOOKUP(C339,customers!$A$1:$A$1001,customers!$G$1:$G$1001,,0)</f>
        <v>United States</v>
      </c>
      <c r="I339" s="4" t="str">
        <f>INDEX(products!$A$1:$G$49,MATCH(orders!$D339,products!$A$1:$A$49,0),MATCH(orders!I$1,products!$A$1:$G$1,0))</f>
        <v>Exc</v>
      </c>
      <c r="J339" s="4" t="str">
        <f>INDEX(products!$A$1:$G$49,MATCH(orders!$D339,products!$A$1:$A$49,0),MATCH(orders!J$1,products!$A$1:$G$1,0))</f>
        <v>D</v>
      </c>
      <c r="K339" s="6">
        <f>INDEX(products!$A$1:$G$49,MATCH(orders!$D339,products!$A$1:$A$49,0),MATCH(orders!K$1,products!$A$1:$G$1,0))</f>
        <v>2.5</v>
      </c>
      <c r="L339" s="7">
        <f>INDEX(products!$A$1:$G$49,MATCH(orders!$D339,products!$A$1:$A$49,0),MATCH(orders!L$1,products!$A$1:$G$1,0))</f>
        <v>27.945</v>
      </c>
      <c r="M339" s="7">
        <f t="shared" si="5"/>
        <v>55.89</v>
      </c>
      <c r="N339" s="4" t="str" cm="1">
        <f t="array" ref="N339">_xlfn.IFS(I339="Rob","Robusta",I339="Exc","Excelsa",I339="Ara","Arabica",I339="Lib","Liberica")</f>
        <v>Excelsa</v>
      </c>
      <c r="O339" s="4" t="str" cm="1">
        <f t="array" ref="O339">_xlfn.IFS(J339="M","Medium",J339="L","Light",J339="D","Dark")</f>
        <v>Dark</v>
      </c>
      <c r="P339" s="4" t="str">
        <f>_xlfn.XLOOKUP(CoffeeOrderstable[[#This Row],[Customer ID]],customers!$A$1:$A$1001,customers!$I$1:$I$1001,,0)</f>
        <v>No</v>
      </c>
    </row>
    <row r="340" spans="1:16" x14ac:dyDescent="0.3">
      <c r="A340" s="3" t="s">
        <v>2396</v>
      </c>
      <c r="B340" s="5">
        <v>43995</v>
      </c>
      <c r="C340" s="3" t="s">
        <v>2397</v>
      </c>
      <c r="D340" s="4" t="s">
        <v>6171</v>
      </c>
      <c r="E340" s="3">
        <v>4</v>
      </c>
      <c r="F340" s="3" t="str">
        <f>_xlfn.XLOOKUP(C340,customers!$A$1:$A$1001,customers!$B$1:$B$1001,,0)</f>
        <v>Wyatan Fetherston</v>
      </c>
      <c r="G340" s="3" t="str">
        <f>IF(_xlfn.XLOOKUP(C340,customers!$A$1:$A$1001,customers!$C$1:$C$1001,,0)=0,"", _xlfn.XLOOKUP(C340,customers!$A$1:$A$1001,customers!$C$1:$C$1001,,0))</f>
        <v>wfetherston9e@constantcontact.com</v>
      </c>
      <c r="H340" s="3" t="str">
        <f>_xlfn.XLOOKUP(C340,customers!$A$1:$A$1001,customers!$G$1:$G$1001,,0)</f>
        <v>United States</v>
      </c>
      <c r="I340" s="4" t="str">
        <f>INDEX(products!$A$1:$G$49,MATCH(orders!$D340,products!$A$1:$A$49,0),MATCH(orders!I$1,products!$A$1:$G$1,0))</f>
        <v>Exc</v>
      </c>
      <c r="J340" s="4" t="str">
        <f>INDEX(products!$A$1:$G$49,MATCH(orders!$D340,products!$A$1:$A$49,0),MATCH(orders!J$1,products!$A$1:$G$1,0))</f>
        <v>L</v>
      </c>
      <c r="K340" s="6">
        <f>INDEX(products!$A$1:$G$49,MATCH(orders!$D340,products!$A$1:$A$49,0),MATCH(orders!K$1,products!$A$1:$G$1,0))</f>
        <v>1</v>
      </c>
      <c r="L340" s="7">
        <f>INDEX(products!$A$1:$G$49,MATCH(orders!$D340,products!$A$1:$A$49,0),MATCH(orders!L$1,products!$A$1:$G$1,0))</f>
        <v>14.85</v>
      </c>
      <c r="M340" s="7">
        <f t="shared" si="5"/>
        <v>59.4</v>
      </c>
      <c r="N340" s="4" t="str" cm="1">
        <f t="array" ref="N340">_xlfn.IFS(I340="Rob","Robusta",I340="Exc","Excelsa",I340="Ara","Arabica",I340="Lib","Liberica")</f>
        <v>Excelsa</v>
      </c>
      <c r="O340" s="4" t="str" cm="1">
        <f t="array" ref="O340">_xlfn.IFS(J340="M","Medium",J340="L","Light",J340="D","Dark")</f>
        <v>Light</v>
      </c>
      <c r="P340" s="4" t="str">
        <f>_xlfn.XLOOKUP(CoffeeOrderstable[[#This Row],[Customer ID]],customers!$A$1:$A$1001,customers!$I$1:$I$1001,,0)</f>
        <v>No</v>
      </c>
    </row>
    <row r="341" spans="1:16" x14ac:dyDescent="0.3">
      <c r="A341" s="3" t="s">
        <v>2402</v>
      </c>
      <c r="B341" s="5">
        <v>44256</v>
      </c>
      <c r="C341" s="3" t="s">
        <v>2403</v>
      </c>
      <c r="D341" s="4" t="s">
        <v>6153</v>
      </c>
      <c r="E341" s="3">
        <v>2</v>
      </c>
      <c r="F341" s="3" t="str">
        <f>_xlfn.XLOOKUP(C341,customers!$A$1:$A$1001,customers!$B$1:$B$1001,,0)</f>
        <v>Emmaline Rasmus</v>
      </c>
      <c r="G341" s="3" t="str">
        <f>IF(_xlfn.XLOOKUP(C341,customers!$A$1:$A$1001,customers!$C$1:$C$1001,,0)=0,"", _xlfn.XLOOKUP(C341,customers!$A$1:$A$1001,customers!$C$1:$C$1001,,0))</f>
        <v>erasmus9f@techcrunch.com</v>
      </c>
      <c r="H341" s="3" t="str">
        <f>_xlfn.XLOOKUP(C341,customers!$A$1:$A$1001,customers!$G$1:$G$1001,,0)</f>
        <v>United States</v>
      </c>
      <c r="I341" s="4" t="str">
        <f>INDEX(products!$A$1:$G$49,MATCH(orders!$D341,products!$A$1:$A$49,0),MATCH(orders!I$1,products!$A$1:$G$1,0))</f>
        <v>Exc</v>
      </c>
      <c r="J341" s="4" t="str">
        <f>INDEX(products!$A$1:$G$49,MATCH(orders!$D341,products!$A$1:$A$49,0),MATCH(orders!J$1,products!$A$1:$G$1,0))</f>
        <v>D</v>
      </c>
      <c r="K341" s="6">
        <f>INDEX(products!$A$1:$G$49,MATCH(orders!$D341,products!$A$1:$A$49,0),MATCH(orders!K$1,products!$A$1:$G$1,0))</f>
        <v>0.2</v>
      </c>
      <c r="L341" s="7">
        <f>INDEX(products!$A$1:$G$49,MATCH(orders!$D341,products!$A$1:$A$49,0),MATCH(orders!L$1,products!$A$1:$G$1,0))</f>
        <v>3.645</v>
      </c>
      <c r="M341" s="7">
        <f t="shared" si="5"/>
        <v>7.29</v>
      </c>
      <c r="N341" s="4" t="str" cm="1">
        <f t="array" ref="N341">_xlfn.IFS(I341="Rob","Robusta",I341="Exc","Excelsa",I341="Ara","Arabica",I341="Lib","Liberica")</f>
        <v>Excelsa</v>
      </c>
      <c r="O341" s="4" t="str" cm="1">
        <f t="array" ref="O341">_xlfn.IFS(J341="M","Medium",J341="L","Light",J341="D","Dark")</f>
        <v>Dark</v>
      </c>
      <c r="P341" s="4" t="str">
        <f>_xlfn.XLOOKUP(CoffeeOrderstable[[#This Row],[Customer ID]],customers!$A$1:$A$1001,customers!$I$1:$I$1001,,0)</f>
        <v>Yes</v>
      </c>
    </row>
    <row r="342" spans="1:16" x14ac:dyDescent="0.3">
      <c r="A342" s="3" t="s">
        <v>2408</v>
      </c>
      <c r="B342" s="5">
        <v>43528</v>
      </c>
      <c r="C342" s="3" t="s">
        <v>2409</v>
      </c>
      <c r="D342" s="4" t="s">
        <v>6144</v>
      </c>
      <c r="E342" s="3">
        <v>1</v>
      </c>
      <c r="F342" s="3" t="str">
        <f>_xlfn.XLOOKUP(C342,customers!$A$1:$A$1001,customers!$B$1:$B$1001,,0)</f>
        <v>Wesley Giorgioni</v>
      </c>
      <c r="G342" s="3" t="str">
        <f>IF(_xlfn.XLOOKUP(C342,customers!$A$1:$A$1001,customers!$C$1:$C$1001,,0)=0,"", _xlfn.XLOOKUP(C342,customers!$A$1:$A$1001,customers!$C$1:$C$1001,,0))</f>
        <v>wgiorgioni9g@wikipedia.org</v>
      </c>
      <c r="H342" s="3" t="str">
        <f>_xlfn.XLOOKUP(C342,customers!$A$1:$A$1001,customers!$G$1:$G$1001,,0)</f>
        <v>United States</v>
      </c>
      <c r="I342" s="4" t="str">
        <f>INDEX(products!$A$1:$G$49,MATCH(orders!$D342,products!$A$1:$A$49,0),MATCH(orders!I$1,products!$A$1:$G$1,0))</f>
        <v>Exc</v>
      </c>
      <c r="J342" s="4" t="str">
        <f>INDEX(products!$A$1:$G$49,MATCH(orders!$D342,products!$A$1:$A$49,0),MATCH(orders!J$1,products!$A$1:$G$1,0))</f>
        <v>D</v>
      </c>
      <c r="K342" s="6">
        <f>INDEX(products!$A$1:$G$49,MATCH(orders!$D342,products!$A$1:$A$49,0),MATCH(orders!K$1,products!$A$1:$G$1,0))</f>
        <v>0.5</v>
      </c>
      <c r="L342" s="7">
        <f>INDEX(products!$A$1:$G$49,MATCH(orders!$D342,products!$A$1:$A$49,0),MATCH(orders!L$1,products!$A$1:$G$1,0))</f>
        <v>7.29</v>
      </c>
      <c r="M342" s="7">
        <f t="shared" si="5"/>
        <v>7.29</v>
      </c>
      <c r="N342" s="4" t="str" cm="1">
        <f t="array" ref="N342">_xlfn.IFS(I342="Rob","Robusta",I342="Exc","Excelsa",I342="Ara","Arabica",I342="Lib","Liberica")</f>
        <v>Excelsa</v>
      </c>
      <c r="O342" s="4" t="str" cm="1">
        <f t="array" ref="O342">_xlfn.IFS(J342="M","Medium",J342="L","Light",J342="D","Dark")</f>
        <v>Dark</v>
      </c>
      <c r="P342" s="4" t="str">
        <f>_xlfn.XLOOKUP(CoffeeOrderstable[[#This Row],[Customer ID]],customers!$A$1:$A$1001,customers!$I$1:$I$1001,,0)</f>
        <v>Yes</v>
      </c>
    </row>
    <row r="343" spans="1:16" x14ac:dyDescent="0.3">
      <c r="A343" s="3" t="s">
        <v>2414</v>
      </c>
      <c r="B343" s="5">
        <v>43751</v>
      </c>
      <c r="C343" s="3" t="s">
        <v>2415</v>
      </c>
      <c r="D343" s="4" t="s">
        <v>6176</v>
      </c>
      <c r="E343" s="3">
        <v>2</v>
      </c>
      <c r="F343" s="3" t="str">
        <f>_xlfn.XLOOKUP(C343,customers!$A$1:$A$1001,customers!$B$1:$B$1001,,0)</f>
        <v>Lucienne Scargle</v>
      </c>
      <c r="G343" s="3" t="str">
        <f>IF(_xlfn.XLOOKUP(C343,customers!$A$1:$A$1001,customers!$C$1:$C$1001,,0)=0,"", _xlfn.XLOOKUP(C343,customers!$A$1:$A$1001,customers!$C$1:$C$1001,,0))</f>
        <v>lscargle9h@myspace.com</v>
      </c>
      <c r="H343" s="3" t="str">
        <f>_xlfn.XLOOKUP(C343,customers!$A$1:$A$1001,customers!$G$1:$G$1001,,0)</f>
        <v>United States</v>
      </c>
      <c r="I343" s="4" t="str">
        <f>INDEX(products!$A$1:$G$49,MATCH(orders!$D343,products!$A$1:$A$49,0),MATCH(orders!I$1,products!$A$1:$G$1,0))</f>
        <v>Exc</v>
      </c>
      <c r="J343" s="4" t="str">
        <f>INDEX(products!$A$1:$G$49,MATCH(orders!$D343,products!$A$1:$A$49,0),MATCH(orders!J$1,products!$A$1:$G$1,0))</f>
        <v>L</v>
      </c>
      <c r="K343" s="6">
        <f>INDEX(products!$A$1:$G$49,MATCH(orders!$D343,products!$A$1:$A$49,0),MATCH(orders!K$1,products!$A$1:$G$1,0))</f>
        <v>0.5</v>
      </c>
      <c r="L343" s="7">
        <f>INDEX(products!$A$1:$G$49,MATCH(orders!$D343,products!$A$1:$A$49,0),MATCH(orders!L$1,products!$A$1:$G$1,0))</f>
        <v>8.91</v>
      </c>
      <c r="M343" s="7">
        <f t="shared" si="5"/>
        <v>17.82</v>
      </c>
      <c r="N343" s="4" t="str" cm="1">
        <f t="array" ref="N343">_xlfn.IFS(I343="Rob","Robusta",I343="Exc","Excelsa",I343="Ara","Arabica",I343="Lib","Liberica")</f>
        <v>Excelsa</v>
      </c>
      <c r="O343" s="4" t="str" cm="1">
        <f t="array" ref="O343">_xlfn.IFS(J343="M","Medium",J343="L","Light",J343="D","Dark")</f>
        <v>Light</v>
      </c>
      <c r="P343" s="4" t="str">
        <f>_xlfn.XLOOKUP(CoffeeOrderstable[[#This Row],[Customer ID]],customers!$A$1:$A$1001,customers!$I$1:$I$1001,,0)</f>
        <v>No</v>
      </c>
    </row>
    <row r="344" spans="1:16" x14ac:dyDescent="0.3">
      <c r="A344" s="3" t="s">
        <v>2414</v>
      </c>
      <c r="B344" s="5">
        <v>43751</v>
      </c>
      <c r="C344" s="3" t="s">
        <v>2415</v>
      </c>
      <c r="D344" s="4" t="s">
        <v>6169</v>
      </c>
      <c r="E344" s="3">
        <v>5</v>
      </c>
      <c r="F344" s="3" t="str">
        <f>_xlfn.XLOOKUP(C344,customers!$A$1:$A$1001,customers!$B$1:$B$1001,,0)</f>
        <v>Lucienne Scargle</v>
      </c>
      <c r="G344" s="3" t="str">
        <f>IF(_xlfn.XLOOKUP(C344,customers!$A$1:$A$1001,customers!$C$1:$C$1001,,0)=0,"", _xlfn.XLOOKUP(C344,customers!$A$1:$A$1001,customers!$C$1:$C$1001,,0))</f>
        <v>lscargle9h@myspace.com</v>
      </c>
      <c r="H344" s="3" t="str">
        <f>_xlfn.XLOOKUP(C344,customers!$A$1:$A$1001,customers!$G$1:$G$1001,,0)</f>
        <v>United States</v>
      </c>
      <c r="I344" s="4" t="str">
        <f>INDEX(products!$A$1:$G$49,MATCH(orders!$D344,products!$A$1:$A$49,0),MATCH(orders!I$1,products!$A$1:$G$1,0))</f>
        <v>Lib</v>
      </c>
      <c r="J344" s="4" t="str">
        <f>INDEX(products!$A$1:$G$49,MATCH(orders!$D344,products!$A$1:$A$49,0),MATCH(orders!J$1,products!$A$1:$G$1,0))</f>
        <v>D</v>
      </c>
      <c r="K344" s="6">
        <f>INDEX(products!$A$1:$G$49,MATCH(orders!$D344,products!$A$1:$A$49,0),MATCH(orders!K$1,products!$A$1:$G$1,0))</f>
        <v>0.5</v>
      </c>
      <c r="L344" s="7">
        <f>INDEX(products!$A$1:$G$49,MATCH(orders!$D344,products!$A$1:$A$49,0),MATCH(orders!L$1,products!$A$1:$G$1,0))</f>
        <v>7.77</v>
      </c>
      <c r="M344" s="7">
        <f t="shared" si="5"/>
        <v>38.849999999999994</v>
      </c>
      <c r="N344" s="4" t="str" cm="1">
        <f t="array" ref="N344">_xlfn.IFS(I344="Rob","Robusta",I344="Exc","Excelsa",I344="Ara","Arabica",I344="Lib","Liberica")</f>
        <v>Liberica</v>
      </c>
      <c r="O344" s="4" t="str" cm="1">
        <f t="array" ref="O344">_xlfn.IFS(J344="M","Medium",J344="L","Light",J344="D","Dark")</f>
        <v>Dark</v>
      </c>
      <c r="P344" s="4" t="str">
        <f>_xlfn.XLOOKUP(CoffeeOrderstable[[#This Row],[Customer ID]],customers!$A$1:$A$1001,customers!$I$1:$I$1001,,0)</f>
        <v>No</v>
      </c>
    </row>
    <row r="345" spans="1:16" x14ac:dyDescent="0.3">
      <c r="A345" s="3" t="s">
        <v>2424</v>
      </c>
      <c r="B345" s="5">
        <v>43692</v>
      </c>
      <c r="C345" s="3" t="s">
        <v>2425</v>
      </c>
      <c r="D345" s="4" t="s">
        <v>6172</v>
      </c>
      <c r="E345" s="3">
        <v>6</v>
      </c>
      <c r="F345" s="3" t="str">
        <f>_xlfn.XLOOKUP(C345,customers!$A$1:$A$1001,customers!$B$1:$B$1001,,0)</f>
        <v>Noam Climance</v>
      </c>
      <c r="G345" s="3" t="str">
        <f>IF(_xlfn.XLOOKUP(C345,customers!$A$1:$A$1001,customers!$C$1:$C$1001,,0)=0,"", _xlfn.XLOOKUP(C345,customers!$A$1:$A$1001,customers!$C$1:$C$1001,,0))</f>
        <v>nclimance9j@europa.eu</v>
      </c>
      <c r="H345" s="3" t="str">
        <f>_xlfn.XLOOKUP(C345,customers!$A$1:$A$1001,customers!$G$1:$G$1001,,0)</f>
        <v>United States</v>
      </c>
      <c r="I345" s="4" t="str">
        <f>INDEX(products!$A$1:$G$49,MATCH(orders!$D345,products!$A$1:$A$49,0),MATCH(orders!I$1,products!$A$1:$G$1,0))</f>
        <v>Rob</v>
      </c>
      <c r="J345" s="4" t="str">
        <f>INDEX(products!$A$1:$G$49,MATCH(orders!$D345,products!$A$1:$A$49,0),MATCH(orders!J$1,products!$A$1:$G$1,0))</f>
        <v>D</v>
      </c>
      <c r="K345" s="6">
        <f>INDEX(products!$A$1:$G$49,MATCH(orders!$D345,products!$A$1:$A$49,0),MATCH(orders!K$1,products!$A$1:$G$1,0))</f>
        <v>0.5</v>
      </c>
      <c r="L345" s="7">
        <f>INDEX(products!$A$1:$G$49,MATCH(orders!$D345,products!$A$1:$A$49,0),MATCH(orders!L$1,products!$A$1:$G$1,0))</f>
        <v>5.3699999999999992</v>
      </c>
      <c r="M345" s="7">
        <f t="shared" si="5"/>
        <v>32.22</v>
      </c>
      <c r="N345" s="4" t="str" cm="1">
        <f t="array" ref="N345">_xlfn.IFS(I345="Rob","Robusta",I345="Exc","Excelsa",I345="Ara","Arabica",I345="Lib","Liberica")</f>
        <v>Robusta</v>
      </c>
      <c r="O345" s="4" t="str" cm="1">
        <f t="array" ref="O345">_xlfn.IFS(J345="M","Medium",J345="L","Light",J345="D","Dark")</f>
        <v>Dark</v>
      </c>
      <c r="P345" s="4" t="str">
        <f>_xlfn.XLOOKUP(CoffeeOrderstable[[#This Row],[Customer ID]],customers!$A$1:$A$1001,customers!$I$1:$I$1001,,0)</f>
        <v>No</v>
      </c>
    </row>
    <row r="346" spans="1:16" x14ac:dyDescent="0.3">
      <c r="A346" s="3" t="s">
        <v>2429</v>
      </c>
      <c r="B346" s="5">
        <v>44529</v>
      </c>
      <c r="C346" s="3" t="s">
        <v>2430</v>
      </c>
      <c r="D346" s="4" t="s">
        <v>6138</v>
      </c>
      <c r="E346" s="3">
        <v>2</v>
      </c>
      <c r="F346" s="3" t="str">
        <f>_xlfn.XLOOKUP(C346,customers!$A$1:$A$1001,customers!$B$1:$B$1001,,0)</f>
        <v>Catarina Donn</v>
      </c>
      <c r="G346" s="3" t="str">
        <f>IF(_xlfn.XLOOKUP(C346,customers!$A$1:$A$1001,customers!$C$1:$C$1001,,0)=0,"", _xlfn.XLOOKUP(C346,customers!$A$1:$A$1001,customers!$C$1:$C$1001,,0))</f>
        <v/>
      </c>
      <c r="H346" s="3" t="str">
        <f>_xlfn.XLOOKUP(C346,customers!$A$1:$A$1001,customers!$G$1:$G$1001,,0)</f>
        <v>Ireland</v>
      </c>
      <c r="I346" s="4" t="str">
        <f>INDEX(products!$A$1:$G$49,MATCH(orders!$D346,products!$A$1:$A$49,0),MATCH(orders!I$1,products!$A$1:$G$1,0))</f>
        <v>Rob</v>
      </c>
      <c r="J346" s="4" t="str">
        <f>INDEX(products!$A$1:$G$49,MATCH(orders!$D346,products!$A$1:$A$49,0),MATCH(orders!J$1,products!$A$1:$G$1,0))</f>
        <v>M</v>
      </c>
      <c r="K346" s="6">
        <f>INDEX(products!$A$1:$G$49,MATCH(orders!$D346,products!$A$1:$A$49,0),MATCH(orders!K$1,products!$A$1:$G$1,0))</f>
        <v>1</v>
      </c>
      <c r="L346" s="7">
        <f>INDEX(products!$A$1:$G$49,MATCH(orders!$D346,products!$A$1:$A$49,0),MATCH(orders!L$1,products!$A$1:$G$1,0))</f>
        <v>9.9499999999999993</v>
      </c>
      <c r="M346" s="7">
        <f t="shared" si="5"/>
        <v>19.899999999999999</v>
      </c>
      <c r="N346" s="4" t="str" cm="1">
        <f t="array" ref="N346">_xlfn.IFS(I346="Rob","Robusta",I346="Exc","Excelsa",I346="Ara","Arabica",I346="Lib","Liberica")</f>
        <v>Robusta</v>
      </c>
      <c r="O346" s="4" t="str" cm="1">
        <f t="array" ref="O346">_xlfn.IFS(J346="M","Medium",J346="L","Light",J346="D","Dark")</f>
        <v>Medium</v>
      </c>
      <c r="P346" s="4" t="str">
        <f>_xlfn.XLOOKUP(CoffeeOrderstable[[#This Row],[Customer ID]],customers!$A$1:$A$1001,customers!$I$1:$I$1001,,0)</f>
        <v>Yes</v>
      </c>
    </row>
    <row r="347" spans="1:16" x14ac:dyDescent="0.3">
      <c r="A347" s="3" t="s">
        <v>2434</v>
      </c>
      <c r="B347" s="5">
        <v>43849</v>
      </c>
      <c r="C347" s="3" t="s">
        <v>2435</v>
      </c>
      <c r="D347" s="4" t="s">
        <v>6179</v>
      </c>
      <c r="E347" s="3">
        <v>5</v>
      </c>
      <c r="F347" s="3" t="str">
        <f>_xlfn.XLOOKUP(C347,customers!$A$1:$A$1001,customers!$B$1:$B$1001,,0)</f>
        <v>Ameline Snazle</v>
      </c>
      <c r="G347" s="3" t="str">
        <f>IF(_xlfn.XLOOKUP(C347,customers!$A$1:$A$1001,customers!$C$1:$C$1001,,0)=0,"", _xlfn.XLOOKUP(C347,customers!$A$1:$A$1001,customers!$C$1:$C$1001,,0))</f>
        <v>asnazle9l@oracle.com</v>
      </c>
      <c r="H347" s="3" t="str">
        <f>_xlfn.XLOOKUP(C347,customers!$A$1:$A$1001,customers!$G$1:$G$1001,,0)</f>
        <v>United States</v>
      </c>
      <c r="I347" s="4" t="str">
        <f>INDEX(products!$A$1:$G$49,MATCH(orders!$D347,products!$A$1:$A$49,0),MATCH(orders!I$1,products!$A$1:$G$1,0))</f>
        <v>Rob</v>
      </c>
      <c r="J347" s="4" t="str">
        <f>INDEX(products!$A$1:$G$49,MATCH(orders!$D347,products!$A$1:$A$49,0),MATCH(orders!J$1,products!$A$1:$G$1,0))</f>
        <v>L</v>
      </c>
      <c r="K347" s="6">
        <f>INDEX(products!$A$1:$G$49,MATCH(orders!$D347,products!$A$1:$A$49,0),MATCH(orders!K$1,products!$A$1:$G$1,0))</f>
        <v>1</v>
      </c>
      <c r="L347" s="7">
        <f>INDEX(products!$A$1:$G$49,MATCH(orders!$D347,products!$A$1:$A$49,0),MATCH(orders!L$1,products!$A$1:$G$1,0))</f>
        <v>11.95</v>
      </c>
      <c r="M347" s="7">
        <f t="shared" si="5"/>
        <v>59.75</v>
      </c>
      <c r="N347" s="4" t="str" cm="1">
        <f t="array" ref="N347">_xlfn.IFS(I347="Rob","Robusta",I347="Exc","Excelsa",I347="Ara","Arabica",I347="Lib","Liberica")</f>
        <v>Robusta</v>
      </c>
      <c r="O347" s="4" t="str" cm="1">
        <f t="array" ref="O347">_xlfn.IFS(J347="M","Medium",J347="L","Light",J347="D","Dark")</f>
        <v>Light</v>
      </c>
      <c r="P347" s="4" t="str">
        <f>_xlfn.XLOOKUP(CoffeeOrderstable[[#This Row],[Customer ID]],customers!$A$1:$A$1001,customers!$I$1:$I$1001,,0)</f>
        <v>No</v>
      </c>
    </row>
    <row r="348" spans="1:16" x14ac:dyDescent="0.3">
      <c r="A348" s="3" t="s">
        <v>2440</v>
      </c>
      <c r="B348" s="5">
        <v>44344</v>
      </c>
      <c r="C348" s="3" t="s">
        <v>2441</v>
      </c>
      <c r="D348" s="4" t="s">
        <v>6180</v>
      </c>
      <c r="E348" s="3">
        <v>3</v>
      </c>
      <c r="F348" s="3" t="str">
        <f>_xlfn.XLOOKUP(C348,customers!$A$1:$A$1001,customers!$B$1:$B$1001,,0)</f>
        <v>Rebeka Worg</v>
      </c>
      <c r="G348" s="3" t="str">
        <f>IF(_xlfn.XLOOKUP(C348,customers!$A$1:$A$1001,customers!$C$1:$C$1001,,0)=0,"", _xlfn.XLOOKUP(C348,customers!$A$1:$A$1001,customers!$C$1:$C$1001,,0))</f>
        <v>rworg9m@arstechnica.com</v>
      </c>
      <c r="H348" s="3" t="str">
        <f>_xlfn.XLOOKUP(C348,customers!$A$1:$A$1001,customers!$G$1:$G$1001,,0)</f>
        <v>United States</v>
      </c>
      <c r="I348" s="4" t="str">
        <f>INDEX(products!$A$1:$G$49,MATCH(orders!$D348,products!$A$1:$A$49,0),MATCH(orders!I$1,products!$A$1:$G$1,0))</f>
        <v>Ara</v>
      </c>
      <c r="J348" s="4" t="str">
        <f>INDEX(products!$A$1:$G$49,MATCH(orders!$D348,products!$A$1:$A$49,0),MATCH(orders!J$1,products!$A$1:$G$1,0))</f>
        <v>L</v>
      </c>
      <c r="K348" s="6">
        <f>INDEX(products!$A$1:$G$49,MATCH(orders!$D348,products!$A$1:$A$49,0),MATCH(orders!K$1,products!$A$1:$G$1,0))</f>
        <v>0.5</v>
      </c>
      <c r="L348" s="7">
        <f>INDEX(products!$A$1:$G$49,MATCH(orders!$D348,products!$A$1:$A$49,0),MATCH(orders!L$1,products!$A$1:$G$1,0))</f>
        <v>7.77</v>
      </c>
      <c r="M348" s="7">
        <f t="shared" si="5"/>
        <v>23.31</v>
      </c>
      <c r="N348" s="4" t="str" cm="1">
        <f t="array" ref="N348">_xlfn.IFS(I348="Rob","Robusta",I348="Exc","Excelsa",I348="Ara","Arabica",I348="Lib","Liberica")</f>
        <v>Arabica</v>
      </c>
      <c r="O348" s="4" t="str" cm="1">
        <f t="array" ref="O348">_xlfn.IFS(J348="M","Medium",J348="L","Light",J348="D","Dark")</f>
        <v>Light</v>
      </c>
      <c r="P348" s="4" t="str">
        <f>_xlfn.XLOOKUP(CoffeeOrderstable[[#This Row],[Customer ID]],customers!$A$1:$A$1001,customers!$I$1:$I$1001,,0)</f>
        <v>Yes</v>
      </c>
    </row>
    <row r="349" spans="1:16" x14ac:dyDescent="0.3">
      <c r="A349" s="3" t="s">
        <v>2446</v>
      </c>
      <c r="B349" s="5">
        <v>44576</v>
      </c>
      <c r="C349" s="3" t="s">
        <v>2447</v>
      </c>
      <c r="D349" s="4" t="s">
        <v>6162</v>
      </c>
      <c r="E349" s="3">
        <v>3</v>
      </c>
      <c r="F349" s="3" t="str">
        <f>_xlfn.XLOOKUP(C349,customers!$A$1:$A$1001,customers!$B$1:$B$1001,,0)</f>
        <v>Lewes Danes</v>
      </c>
      <c r="G349" s="3" t="str">
        <f>IF(_xlfn.XLOOKUP(C349,customers!$A$1:$A$1001,customers!$C$1:$C$1001,,0)=0,"", _xlfn.XLOOKUP(C349,customers!$A$1:$A$1001,customers!$C$1:$C$1001,,0))</f>
        <v>ldanes9n@umn.edu</v>
      </c>
      <c r="H349" s="3" t="str">
        <f>_xlfn.XLOOKUP(C349,customers!$A$1:$A$1001,customers!$G$1:$G$1001,,0)</f>
        <v>United States</v>
      </c>
      <c r="I349" s="4" t="str">
        <f>INDEX(products!$A$1:$G$49,MATCH(orders!$D349,products!$A$1:$A$49,0),MATCH(orders!I$1,products!$A$1:$G$1,0))</f>
        <v>Lib</v>
      </c>
      <c r="J349" s="4" t="str">
        <f>INDEX(products!$A$1:$G$49,MATCH(orders!$D349,products!$A$1:$A$49,0),MATCH(orders!J$1,products!$A$1:$G$1,0))</f>
        <v>M</v>
      </c>
      <c r="K349" s="6">
        <f>INDEX(products!$A$1:$G$49,MATCH(orders!$D349,products!$A$1:$A$49,0),MATCH(orders!K$1,products!$A$1:$G$1,0))</f>
        <v>1</v>
      </c>
      <c r="L349" s="7">
        <f>INDEX(products!$A$1:$G$49,MATCH(orders!$D349,products!$A$1:$A$49,0),MATCH(orders!L$1,products!$A$1:$G$1,0))</f>
        <v>14.55</v>
      </c>
      <c r="M349" s="7">
        <f t="shared" si="5"/>
        <v>43.650000000000006</v>
      </c>
      <c r="N349" s="4" t="str" cm="1">
        <f t="array" ref="N349">_xlfn.IFS(I349="Rob","Robusta",I349="Exc","Excelsa",I349="Ara","Arabica",I349="Lib","Liberica")</f>
        <v>Liberica</v>
      </c>
      <c r="O349" s="4" t="str" cm="1">
        <f t="array" ref="O349">_xlfn.IFS(J349="M","Medium",J349="L","Light",J349="D","Dark")</f>
        <v>Medium</v>
      </c>
      <c r="P349" s="4" t="str">
        <f>_xlfn.XLOOKUP(CoffeeOrderstable[[#This Row],[Customer ID]],customers!$A$1:$A$1001,customers!$I$1:$I$1001,,0)</f>
        <v>No</v>
      </c>
    </row>
    <row r="350" spans="1:16" x14ac:dyDescent="0.3">
      <c r="A350" s="3" t="s">
        <v>2452</v>
      </c>
      <c r="B350" s="5">
        <v>43803</v>
      </c>
      <c r="C350" s="3" t="s">
        <v>2453</v>
      </c>
      <c r="D350" s="4" t="s">
        <v>6148</v>
      </c>
      <c r="E350" s="3">
        <v>6</v>
      </c>
      <c r="F350" s="3" t="str">
        <f>_xlfn.XLOOKUP(C350,customers!$A$1:$A$1001,customers!$B$1:$B$1001,,0)</f>
        <v>Shelli Keynd</v>
      </c>
      <c r="G350" s="3" t="str">
        <f>IF(_xlfn.XLOOKUP(C350,customers!$A$1:$A$1001,customers!$C$1:$C$1001,,0)=0,"", _xlfn.XLOOKUP(C350,customers!$A$1:$A$1001,customers!$C$1:$C$1001,,0))</f>
        <v>skeynd9o@narod.ru</v>
      </c>
      <c r="H350" s="3" t="str">
        <f>_xlfn.XLOOKUP(C350,customers!$A$1:$A$1001,customers!$G$1:$G$1001,,0)</f>
        <v>United States</v>
      </c>
      <c r="I350" s="4" t="str">
        <f>INDEX(products!$A$1:$G$49,MATCH(orders!$D350,products!$A$1:$A$49,0),MATCH(orders!I$1,products!$A$1:$G$1,0))</f>
        <v>Exc</v>
      </c>
      <c r="J350" s="4" t="str">
        <f>INDEX(products!$A$1:$G$49,MATCH(orders!$D350,products!$A$1:$A$49,0),MATCH(orders!J$1,products!$A$1:$G$1,0))</f>
        <v>L</v>
      </c>
      <c r="K350" s="6">
        <f>INDEX(products!$A$1:$G$49,MATCH(orders!$D350,products!$A$1:$A$49,0),MATCH(orders!K$1,products!$A$1:$G$1,0))</f>
        <v>2.5</v>
      </c>
      <c r="L350" s="7">
        <f>INDEX(products!$A$1:$G$49,MATCH(orders!$D350,products!$A$1:$A$49,0),MATCH(orders!L$1,products!$A$1:$G$1,0))</f>
        <v>34.154999999999994</v>
      </c>
      <c r="M350" s="7">
        <f t="shared" si="5"/>
        <v>204.92999999999995</v>
      </c>
      <c r="N350" s="4" t="str" cm="1">
        <f t="array" ref="N350">_xlfn.IFS(I350="Rob","Robusta",I350="Exc","Excelsa",I350="Ara","Arabica",I350="Lib","Liberica")</f>
        <v>Excelsa</v>
      </c>
      <c r="O350" s="4" t="str" cm="1">
        <f t="array" ref="O350">_xlfn.IFS(J350="M","Medium",J350="L","Light",J350="D","Dark")</f>
        <v>Light</v>
      </c>
      <c r="P350" s="4" t="str">
        <f>_xlfn.XLOOKUP(CoffeeOrderstable[[#This Row],[Customer ID]],customers!$A$1:$A$1001,customers!$I$1:$I$1001,,0)</f>
        <v>No</v>
      </c>
    </row>
    <row r="351" spans="1:16" x14ac:dyDescent="0.3">
      <c r="A351" s="3" t="s">
        <v>2458</v>
      </c>
      <c r="B351" s="5">
        <v>44743</v>
      </c>
      <c r="C351" s="3" t="s">
        <v>2459</v>
      </c>
      <c r="D351" s="4" t="s">
        <v>6178</v>
      </c>
      <c r="E351" s="3">
        <v>4</v>
      </c>
      <c r="F351" s="3" t="str">
        <f>_xlfn.XLOOKUP(C351,customers!$A$1:$A$1001,customers!$B$1:$B$1001,,0)</f>
        <v>Dell Daveridge</v>
      </c>
      <c r="G351" s="3" t="str">
        <f>IF(_xlfn.XLOOKUP(C351,customers!$A$1:$A$1001,customers!$C$1:$C$1001,,0)=0,"", _xlfn.XLOOKUP(C351,customers!$A$1:$A$1001,customers!$C$1:$C$1001,,0))</f>
        <v>ddaveridge9p@arstechnica.com</v>
      </c>
      <c r="H351" s="3" t="str">
        <f>_xlfn.XLOOKUP(C351,customers!$A$1:$A$1001,customers!$G$1:$G$1001,,0)</f>
        <v>United States</v>
      </c>
      <c r="I351" s="4" t="str">
        <f>INDEX(products!$A$1:$G$49,MATCH(orders!$D351,products!$A$1:$A$49,0),MATCH(orders!I$1,products!$A$1:$G$1,0))</f>
        <v>Rob</v>
      </c>
      <c r="J351" s="4" t="str">
        <f>INDEX(products!$A$1:$G$49,MATCH(orders!$D351,products!$A$1:$A$49,0),MATCH(orders!J$1,products!$A$1:$G$1,0))</f>
        <v>L</v>
      </c>
      <c r="K351" s="6">
        <f>INDEX(products!$A$1:$G$49,MATCH(orders!$D351,products!$A$1:$A$49,0),MATCH(orders!K$1,products!$A$1:$G$1,0))</f>
        <v>0.2</v>
      </c>
      <c r="L351" s="7">
        <f>INDEX(products!$A$1:$G$49,MATCH(orders!$D351,products!$A$1:$A$49,0),MATCH(orders!L$1,products!$A$1:$G$1,0))</f>
        <v>3.5849999999999995</v>
      </c>
      <c r="M351" s="7">
        <f t="shared" si="5"/>
        <v>14.339999999999998</v>
      </c>
      <c r="N351" s="4" t="str" cm="1">
        <f t="array" ref="N351">_xlfn.IFS(I351="Rob","Robusta",I351="Exc","Excelsa",I351="Ara","Arabica",I351="Lib","Liberica")</f>
        <v>Robusta</v>
      </c>
      <c r="O351" s="4" t="str" cm="1">
        <f t="array" ref="O351">_xlfn.IFS(J351="M","Medium",J351="L","Light",J351="D","Dark")</f>
        <v>Light</v>
      </c>
      <c r="P351" s="4" t="str">
        <f>_xlfn.XLOOKUP(CoffeeOrderstable[[#This Row],[Customer ID]],customers!$A$1:$A$1001,customers!$I$1:$I$1001,,0)</f>
        <v>No</v>
      </c>
    </row>
    <row r="352" spans="1:16" x14ac:dyDescent="0.3">
      <c r="A352" s="3" t="s">
        <v>2464</v>
      </c>
      <c r="B352" s="5">
        <v>43592</v>
      </c>
      <c r="C352" s="3" t="s">
        <v>2465</v>
      </c>
      <c r="D352" s="4" t="s">
        <v>6158</v>
      </c>
      <c r="E352" s="3">
        <v>4</v>
      </c>
      <c r="F352" s="3" t="str">
        <f>_xlfn.XLOOKUP(C352,customers!$A$1:$A$1001,customers!$B$1:$B$1001,,0)</f>
        <v>Joshuah Awdry</v>
      </c>
      <c r="G352" s="3" t="str">
        <f>IF(_xlfn.XLOOKUP(C352,customers!$A$1:$A$1001,customers!$C$1:$C$1001,,0)=0,"", _xlfn.XLOOKUP(C352,customers!$A$1:$A$1001,customers!$C$1:$C$1001,,0))</f>
        <v>jawdry9q@utexas.edu</v>
      </c>
      <c r="H352" s="3" t="str">
        <f>_xlfn.XLOOKUP(C352,customers!$A$1:$A$1001,customers!$G$1:$G$1001,,0)</f>
        <v>United States</v>
      </c>
      <c r="I352" s="4" t="str">
        <f>INDEX(products!$A$1:$G$49,MATCH(orders!$D352,products!$A$1:$A$49,0),MATCH(orders!I$1,products!$A$1:$G$1,0))</f>
        <v>Ara</v>
      </c>
      <c r="J352" s="4" t="str">
        <f>INDEX(products!$A$1:$G$49,MATCH(orders!$D352,products!$A$1:$A$49,0),MATCH(orders!J$1,products!$A$1:$G$1,0))</f>
        <v>D</v>
      </c>
      <c r="K352" s="6">
        <f>INDEX(products!$A$1:$G$49,MATCH(orders!$D352,products!$A$1:$A$49,0),MATCH(orders!K$1,products!$A$1:$G$1,0))</f>
        <v>0.5</v>
      </c>
      <c r="L352" s="7">
        <f>INDEX(products!$A$1:$G$49,MATCH(orders!$D352,products!$A$1:$A$49,0),MATCH(orders!L$1,products!$A$1:$G$1,0))</f>
        <v>5.97</v>
      </c>
      <c r="M352" s="7">
        <f t="shared" si="5"/>
        <v>23.88</v>
      </c>
      <c r="N352" s="4" t="str" cm="1">
        <f t="array" ref="N352">_xlfn.IFS(I352="Rob","Robusta",I352="Exc","Excelsa",I352="Ara","Arabica",I352="Lib","Liberica")</f>
        <v>Arabica</v>
      </c>
      <c r="O352" s="4" t="str" cm="1">
        <f t="array" ref="O352">_xlfn.IFS(J352="M","Medium",J352="L","Light",J352="D","Dark")</f>
        <v>Dark</v>
      </c>
      <c r="P352" s="4" t="str">
        <f>_xlfn.XLOOKUP(CoffeeOrderstable[[#This Row],[Customer ID]],customers!$A$1:$A$1001,customers!$I$1:$I$1001,,0)</f>
        <v>No</v>
      </c>
    </row>
    <row r="353" spans="1:16" x14ac:dyDescent="0.3">
      <c r="A353" s="3" t="s">
        <v>2470</v>
      </c>
      <c r="B353" s="5">
        <v>44066</v>
      </c>
      <c r="C353" s="3" t="s">
        <v>2471</v>
      </c>
      <c r="D353" s="4" t="s">
        <v>6155</v>
      </c>
      <c r="E353" s="3">
        <v>2</v>
      </c>
      <c r="F353" s="3" t="str">
        <f>_xlfn.XLOOKUP(C353,customers!$A$1:$A$1001,customers!$B$1:$B$1001,,0)</f>
        <v>Ethel Ryles</v>
      </c>
      <c r="G353" s="3" t="str">
        <f>IF(_xlfn.XLOOKUP(C353,customers!$A$1:$A$1001,customers!$C$1:$C$1001,,0)=0,"", _xlfn.XLOOKUP(C353,customers!$A$1:$A$1001,customers!$C$1:$C$1001,,0))</f>
        <v>eryles9r@fastcompany.com</v>
      </c>
      <c r="H353" s="3" t="str">
        <f>_xlfn.XLOOKUP(C353,customers!$A$1:$A$1001,customers!$G$1:$G$1001,,0)</f>
        <v>United States</v>
      </c>
      <c r="I353" s="4" t="str">
        <f>INDEX(products!$A$1:$G$49,MATCH(orders!$D353,products!$A$1:$A$49,0),MATCH(orders!I$1,products!$A$1:$G$1,0))</f>
        <v>Ara</v>
      </c>
      <c r="J353" s="4" t="str">
        <f>INDEX(products!$A$1:$G$49,MATCH(orders!$D353,products!$A$1:$A$49,0),MATCH(orders!J$1,products!$A$1:$G$1,0))</f>
        <v>M</v>
      </c>
      <c r="K353" s="6">
        <f>INDEX(products!$A$1:$G$49,MATCH(orders!$D353,products!$A$1:$A$49,0),MATCH(orders!K$1,products!$A$1:$G$1,0))</f>
        <v>1</v>
      </c>
      <c r="L353" s="7">
        <f>INDEX(products!$A$1:$G$49,MATCH(orders!$D353,products!$A$1:$A$49,0),MATCH(orders!L$1,products!$A$1:$G$1,0))</f>
        <v>11.25</v>
      </c>
      <c r="M353" s="7">
        <f t="shared" si="5"/>
        <v>22.5</v>
      </c>
      <c r="N353" s="4" t="str" cm="1">
        <f t="array" ref="N353">_xlfn.IFS(I353="Rob","Robusta",I353="Exc","Excelsa",I353="Ara","Arabica",I353="Lib","Liberica")</f>
        <v>Arabica</v>
      </c>
      <c r="O353" s="4" t="str" cm="1">
        <f t="array" ref="O353">_xlfn.IFS(J353="M","Medium",J353="L","Light",J353="D","Dark")</f>
        <v>Medium</v>
      </c>
      <c r="P353" s="4" t="str">
        <f>_xlfn.XLOOKUP(CoffeeOrderstable[[#This Row],[Customer ID]],customers!$A$1:$A$1001,customers!$I$1:$I$1001,,0)</f>
        <v>No</v>
      </c>
    </row>
    <row r="354" spans="1:16" x14ac:dyDescent="0.3">
      <c r="A354" s="3" t="s">
        <v>2476</v>
      </c>
      <c r="B354" s="5">
        <v>43984</v>
      </c>
      <c r="C354" s="3" t="s">
        <v>2331</v>
      </c>
      <c r="D354" s="4" t="s">
        <v>6144</v>
      </c>
      <c r="E354" s="3">
        <v>5</v>
      </c>
      <c r="F354" s="3" t="str">
        <f>_xlfn.XLOOKUP(C354,customers!$A$1:$A$1001,customers!$B$1:$B$1001,,0)</f>
        <v>Flynn Antony</v>
      </c>
      <c r="G354" s="3" t="str">
        <f>IF(_xlfn.XLOOKUP(C354,customers!$A$1:$A$1001,customers!$C$1:$C$1001,,0)=0,"", _xlfn.XLOOKUP(C354,customers!$A$1:$A$1001,customers!$C$1:$C$1001,,0))</f>
        <v/>
      </c>
      <c r="H354" s="3" t="str">
        <f>_xlfn.XLOOKUP(C354,customers!$A$1:$A$1001,customers!$G$1:$G$1001,,0)</f>
        <v>United States</v>
      </c>
      <c r="I354" s="4" t="str">
        <f>INDEX(products!$A$1:$G$49,MATCH(orders!$D354,products!$A$1:$A$49,0),MATCH(orders!I$1,products!$A$1:$G$1,0))</f>
        <v>Exc</v>
      </c>
      <c r="J354" s="4" t="str">
        <f>INDEX(products!$A$1:$G$49,MATCH(orders!$D354,products!$A$1:$A$49,0),MATCH(orders!J$1,products!$A$1:$G$1,0))</f>
        <v>D</v>
      </c>
      <c r="K354" s="6">
        <f>INDEX(products!$A$1:$G$49,MATCH(orders!$D354,products!$A$1:$A$49,0),MATCH(orders!K$1,products!$A$1:$G$1,0))</f>
        <v>0.5</v>
      </c>
      <c r="L354" s="7">
        <f>INDEX(products!$A$1:$G$49,MATCH(orders!$D354,products!$A$1:$A$49,0),MATCH(orders!L$1,products!$A$1:$G$1,0))</f>
        <v>7.29</v>
      </c>
      <c r="M354" s="7">
        <f t="shared" si="5"/>
        <v>36.450000000000003</v>
      </c>
      <c r="N354" s="4" t="str" cm="1">
        <f t="array" ref="N354">_xlfn.IFS(I354="Rob","Robusta",I354="Exc","Excelsa",I354="Ara","Arabica",I354="Lib","Liberica")</f>
        <v>Excelsa</v>
      </c>
      <c r="O354" s="4" t="str" cm="1">
        <f t="array" ref="O354">_xlfn.IFS(J354="M","Medium",J354="L","Light",J354="D","Dark")</f>
        <v>Dark</v>
      </c>
      <c r="P354" s="4" t="str">
        <f>_xlfn.XLOOKUP(CoffeeOrderstable[[#This Row],[Customer ID]],customers!$A$1:$A$1001,customers!$I$1:$I$1001,,0)</f>
        <v>No</v>
      </c>
    </row>
    <row r="355" spans="1:16" x14ac:dyDescent="0.3">
      <c r="A355" s="3" t="s">
        <v>2482</v>
      </c>
      <c r="B355" s="5">
        <v>43860</v>
      </c>
      <c r="C355" s="3" t="s">
        <v>2483</v>
      </c>
      <c r="D355" s="4" t="s">
        <v>6157</v>
      </c>
      <c r="E355" s="3">
        <v>4</v>
      </c>
      <c r="F355" s="3" t="str">
        <f>_xlfn.XLOOKUP(C355,customers!$A$1:$A$1001,customers!$B$1:$B$1001,,0)</f>
        <v>Maitilde Boxill</v>
      </c>
      <c r="G355" s="3" t="str">
        <f>IF(_xlfn.XLOOKUP(C355,customers!$A$1:$A$1001,customers!$C$1:$C$1001,,0)=0,"", _xlfn.XLOOKUP(C355,customers!$A$1:$A$1001,customers!$C$1:$C$1001,,0))</f>
        <v/>
      </c>
      <c r="H355" s="3" t="str">
        <f>_xlfn.XLOOKUP(C355,customers!$A$1:$A$1001,customers!$G$1:$G$1001,,0)</f>
        <v>United States</v>
      </c>
      <c r="I355" s="4" t="str">
        <f>INDEX(products!$A$1:$G$49,MATCH(orders!$D355,products!$A$1:$A$49,0),MATCH(orders!I$1,products!$A$1:$G$1,0))</f>
        <v>Ara</v>
      </c>
      <c r="J355" s="4" t="str">
        <f>INDEX(products!$A$1:$G$49,MATCH(orders!$D355,products!$A$1:$A$49,0),MATCH(orders!J$1,products!$A$1:$G$1,0))</f>
        <v>M</v>
      </c>
      <c r="K355" s="6">
        <f>INDEX(products!$A$1:$G$49,MATCH(orders!$D355,products!$A$1:$A$49,0),MATCH(orders!K$1,products!$A$1:$G$1,0))</f>
        <v>0.5</v>
      </c>
      <c r="L355" s="7">
        <f>INDEX(products!$A$1:$G$49,MATCH(orders!$D355,products!$A$1:$A$49,0),MATCH(orders!L$1,products!$A$1:$G$1,0))</f>
        <v>6.75</v>
      </c>
      <c r="M355" s="7">
        <f t="shared" si="5"/>
        <v>27</v>
      </c>
      <c r="N355" s="4" t="str" cm="1">
        <f t="array" ref="N355">_xlfn.IFS(I355="Rob","Robusta",I355="Exc","Excelsa",I355="Ara","Arabica",I355="Lib","Liberica")</f>
        <v>Arabica</v>
      </c>
      <c r="O355" s="4" t="str" cm="1">
        <f t="array" ref="O355">_xlfn.IFS(J355="M","Medium",J355="L","Light",J355="D","Dark")</f>
        <v>Medium</v>
      </c>
      <c r="P355" s="4" t="str">
        <f>_xlfn.XLOOKUP(CoffeeOrderstable[[#This Row],[Customer ID]],customers!$A$1:$A$1001,customers!$I$1:$I$1001,,0)</f>
        <v>Yes</v>
      </c>
    </row>
    <row r="356" spans="1:16" x14ac:dyDescent="0.3">
      <c r="A356" s="3" t="s">
        <v>2487</v>
      </c>
      <c r="B356" s="5">
        <v>43876</v>
      </c>
      <c r="C356" s="3" t="s">
        <v>2488</v>
      </c>
      <c r="D356" s="4" t="s">
        <v>6175</v>
      </c>
      <c r="E356" s="3">
        <v>6</v>
      </c>
      <c r="F356" s="3" t="str">
        <f>_xlfn.XLOOKUP(C356,customers!$A$1:$A$1001,customers!$B$1:$B$1001,,0)</f>
        <v>Jodee Caldicott</v>
      </c>
      <c r="G356" s="3" t="str">
        <f>IF(_xlfn.XLOOKUP(C356,customers!$A$1:$A$1001,customers!$C$1:$C$1001,,0)=0,"", _xlfn.XLOOKUP(C356,customers!$A$1:$A$1001,customers!$C$1:$C$1001,,0))</f>
        <v>jcaldicott9u@usda.gov</v>
      </c>
      <c r="H356" s="3" t="str">
        <f>_xlfn.XLOOKUP(C356,customers!$A$1:$A$1001,customers!$G$1:$G$1001,,0)</f>
        <v>United States</v>
      </c>
      <c r="I356" s="4" t="str">
        <f>INDEX(products!$A$1:$G$49,MATCH(orders!$D356,products!$A$1:$A$49,0),MATCH(orders!I$1,products!$A$1:$G$1,0))</f>
        <v>Ara</v>
      </c>
      <c r="J356" s="4" t="str">
        <f>INDEX(products!$A$1:$G$49,MATCH(orders!$D356,products!$A$1:$A$49,0),MATCH(orders!J$1,products!$A$1:$G$1,0))</f>
        <v>M</v>
      </c>
      <c r="K356" s="6">
        <f>INDEX(products!$A$1:$G$49,MATCH(orders!$D356,products!$A$1:$A$49,0),MATCH(orders!K$1,products!$A$1:$G$1,0))</f>
        <v>2.5</v>
      </c>
      <c r="L356" s="7">
        <f>INDEX(products!$A$1:$G$49,MATCH(orders!$D356,products!$A$1:$A$49,0),MATCH(orders!L$1,products!$A$1:$G$1,0))</f>
        <v>25.874999999999996</v>
      </c>
      <c r="M356" s="7">
        <f t="shared" si="5"/>
        <v>155.24999999999997</v>
      </c>
      <c r="N356" s="4" t="str" cm="1">
        <f t="array" ref="N356">_xlfn.IFS(I356="Rob","Robusta",I356="Exc","Excelsa",I356="Ara","Arabica",I356="Lib","Liberica")</f>
        <v>Arabica</v>
      </c>
      <c r="O356" s="4" t="str" cm="1">
        <f t="array" ref="O356">_xlfn.IFS(J356="M","Medium",J356="L","Light",J356="D","Dark")</f>
        <v>Medium</v>
      </c>
      <c r="P356" s="4" t="str">
        <f>_xlfn.XLOOKUP(CoffeeOrderstable[[#This Row],[Customer ID]],customers!$A$1:$A$1001,customers!$I$1:$I$1001,,0)</f>
        <v>No</v>
      </c>
    </row>
    <row r="357" spans="1:16" x14ac:dyDescent="0.3">
      <c r="A357" s="3" t="s">
        <v>2492</v>
      </c>
      <c r="B357" s="5">
        <v>44358</v>
      </c>
      <c r="C357" s="3" t="s">
        <v>2493</v>
      </c>
      <c r="D357" s="4" t="s">
        <v>6168</v>
      </c>
      <c r="E357" s="3">
        <v>5</v>
      </c>
      <c r="F357" s="3" t="str">
        <f>_xlfn.XLOOKUP(C357,customers!$A$1:$A$1001,customers!$B$1:$B$1001,,0)</f>
        <v>Marianna Vedmore</v>
      </c>
      <c r="G357" s="3" t="str">
        <f>IF(_xlfn.XLOOKUP(C357,customers!$A$1:$A$1001,customers!$C$1:$C$1001,,0)=0,"", _xlfn.XLOOKUP(C357,customers!$A$1:$A$1001,customers!$C$1:$C$1001,,0))</f>
        <v>mvedmore9v@a8.net</v>
      </c>
      <c r="H357" s="3" t="str">
        <f>_xlfn.XLOOKUP(C357,customers!$A$1:$A$1001,customers!$G$1:$G$1001,,0)</f>
        <v>United States</v>
      </c>
      <c r="I357" s="4" t="str">
        <f>INDEX(products!$A$1:$G$49,MATCH(orders!$D357,products!$A$1:$A$49,0),MATCH(orders!I$1,products!$A$1:$G$1,0))</f>
        <v>Ara</v>
      </c>
      <c r="J357" s="4" t="str">
        <f>INDEX(products!$A$1:$G$49,MATCH(orders!$D357,products!$A$1:$A$49,0),MATCH(orders!J$1,products!$A$1:$G$1,0))</f>
        <v>D</v>
      </c>
      <c r="K357" s="6">
        <f>INDEX(products!$A$1:$G$49,MATCH(orders!$D357,products!$A$1:$A$49,0),MATCH(orders!K$1,products!$A$1:$G$1,0))</f>
        <v>2.5</v>
      </c>
      <c r="L357" s="7">
        <f>INDEX(products!$A$1:$G$49,MATCH(orders!$D357,products!$A$1:$A$49,0),MATCH(orders!L$1,products!$A$1:$G$1,0))</f>
        <v>22.884999999999998</v>
      </c>
      <c r="M357" s="7">
        <f t="shared" si="5"/>
        <v>114.42499999999998</v>
      </c>
      <c r="N357" s="4" t="str" cm="1">
        <f t="array" ref="N357">_xlfn.IFS(I357="Rob","Robusta",I357="Exc","Excelsa",I357="Ara","Arabica",I357="Lib","Liberica")</f>
        <v>Arabica</v>
      </c>
      <c r="O357" s="4" t="str" cm="1">
        <f t="array" ref="O357">_xlfn.IFS(J357="M","Medium",J357="L","Light",J357="D","Dark")</f>
        <v>Dark</v>
      </c>
      <c r="P357" s="4" t="str">
        <f>_xlfn.XLOOKUP(CoffeeOrderstable[[#This Row],[Customer ID]],customers!$A$1:$A$1001,customers!$I$1:$I$1001,,0)</f>
        <v>Yes</v>
      </c>
    </row>
    <row r="358" spans="1:16" x14ac:dyDescent="0.3">
      <c r="A358" s="3" t="s">
        <v>2498</v>
      </c>
      <c r="B358" s="5">
        <v>44631</v>
      </c>
      <c r="C358" s="3" t="s">
        <v>2499</v>
      </c>
      <c r="D358" s="4" t="s">
        <v>6143</v>
      </c>
      <c r="E358" s="3">
        <v>4</v>
      </c>
      <c r="F358" s="3" t="str">
        <f>_xlfn.XLOOKUP(C358,customers!$A$1:$A$1001,customers!$B$1:$B$1001,,0)</f>
        <v>Willey Romao</v>
      </c>
      <c r="G358" s="3" t="str">
        <f>IF(_xlfn.XLOOKUP(C358,customers!$A$1:$A$1001,customers!$C$1:$C$1001,,0)=0,"", _xlfn.XLOOKUP(C358,customers!$A$1:$A$1001,customers!$C$1:$C$1001,,0))</f>
        <v>wromao9w@chronoengine.com</v>
      </c>
      <c r="H358" s="3" t="str">
        <f>_xlfn.XLOOKUP(C358,customers!$A$1:$A$1001,customers!$G$1:$G$1001,,0)</f>
        <v>United States</v>
      </c>
      <c r="I358" s="4" t="str">
        <f>INDEX(products!$A$1:$G$49,MATCH(orders!$D358,products!$A$1:$A$49,0),MATCH(orders!I$1,products!$A$1:$G$1,0))</f>
        <v>Lib</v>
      </c>
      <c r="J358" s="4" t="str">
        <f>INDEX(products!$A$1:$G$49,MATCH(orders!$D358,products!$A$1:$A$49,0),MATCH(orders!J$1,products!$A$1:$G$1,0))</f>
        <v>D</v>
      </c>
      <c r="K358" s="6">
        <f>INDEX(products!$A$1:$G$49,MATCH(orders!$D358,products!$A$1:$A$49,0),MATCH(orders!K$1,products!$A$1:$G$1,0))</f>
        <v>1</v>
      </c>
      <c r="L358" s="7">
        <f>INDEX(products!$A$1:$G$49,MATCH(orders!$D358,products!$A$1:$A$49,0),MATCH(orders!L$1,products!$A$1:$G$1,0))</f>
        <v>12.95</v>
      </c>
      <c r="M358" s="7">
        <f t="shared" si="5"/>
        <v>51.8</v>
      </c>
      <c r="N358" s="4" t="str" cm="1">
        <f t="array" ref="N358">_xlfn.IFS(I358="Rob","Robusta",I358="Exc","Excelsa",I358="Ara","Arabica",I358="Lib","Liberica")</f>
        <v>Liberica</v>
      </c>
      <c r="O358" s="4" t="str" cm="1">
        <f t="array" ref="O358">_xlfn.IFS(J358="M","Medium",J358="L","Light",J358="D","Dark")</f>
        <v>Dark</v>
      </c>
      <c r="P358" s="4" t="str">
        <f>_xlfn.XLOOKUP(CoffeeOrderstable[[#This Row],[Customer ID]],customers!$A$1:$A$1001,customers!$I$1:$I$1001,,0)</f>
        <v>Yes</v>
      </c>
    </row>
    <row r="359" spans="1:16" x14ac:dyDescent="0.3">
      <c r="A359" s="3" t="s">
        <v>2504</v>
      </c>
      <c r="B359" s="5">
        <v>44448</v>
      </c>
      <c r="C359" s="3" t="s">
        <v>2505</v>
      </c>
      <c r="D359" s="4" t="s">
        <v>6175</v>
      </c>
      <c r="E359" s="3">
        <v>6</v>
      </c>
      <c r="F359" s="3" t="str">
        <f>_xlfn.XLOOKUP(C359,customers!$A$1:$A$1001,customers!$B$1:$B$1001,,0)</f>
        <v>Enriqueta Ixor</v>
      </c>
      <c r="G359" s="3" t="str">
        <f>IF(_xlfn.XLOOKUP(C359,customers!$A$1:$A$1001,customers!$C$1:$C$1001,,0)=0,"", _xlfn.XLOOKUP(C359,customers!$A$1:$A$1001,customers!$C$1:$C$1001,,0))</f>
        <v/>
      </c>
      <c r="H359" s="3" t="str">
        <f>_xlfn.XLOOKUP(C359,customers!$A$1:$A$1001,customers!$G$1:$G$1001,,0)</f>
        <v>United States</v>
      </c>
      <c r="I359" s="4" t="str">
        <f>INDEX(products!$A$1:$G$49,MATCH(orders!$D359,products!$A$1:$A$49,0),MATCH(orders!I$1,products!$A$1:$G$1,0))</f>
        <v>Ara</v>
      </c>
      <c r="J359" s="4" t="str">
        <f>INDEX(products!$A$1:$G$49,MATCH(orders!$D359,products!$A$1:$A$49,0),MATCH(orders!J$1,products!$A$1:$G$1,0))</f>
        <v>M</v>
      </c>
      <c r="K359" s="6">
        <f>INDEX(products!$A$1:$G$49,MATCH(orders!$D359,products!$A$1:$A$49,0),MATCH(orders!K$1,products!$A$1:$G$1,0))</f>
        <v>2.5</v>
      </c>
      <c r="L359" s="7">
        <f>INDEX(products!$A$1:$G$49,MATCH(orders!$D359,products!$A$1:$A$49,0),MATCH(orders!L$1,products!$A$1:$G$1,0))</f>
        <v>25.874999999999996</v>
      </c>
      <c r="M359" s="7">
        <f t="shared" si="5"/>
        <v>155.24999999999997</v>
      </c>
      <c r="N359" s="4" t="str" cm="1">
        <f t="array" ref="N359">_xlfn.IFS(I359="Rob","Robusta",I359="Exc","Excelsa",I359="Ara","Arabica",I359="Lib","Liberica")</f>
        <v>Arabica</v>
      </c>
      <c r="O359" s="4" t="str" cm="1">
        <f t="array" ref="O359">_xlfn.IFS(J359="M","Medium",J359="L","Light",J359="D","Dark")</f>
        <v>Medium</v>
      </c>
      <c r="P359" s="4" t="str">
        <f>_xlfn.XLOOKUP(CoffeeOrderstable[[#This Row],[Customer ID]],customers!$A$1:$A$1001,customers!$I$1:$I$1001,,0)</f>
        <v>No</v>
      </c>
    </row>
    <row r="360" spans="1:16" x14ac:dyDescent="0.3">
      <c r="A360" s="3" t="s">
        <v>2509</v>
      </c>
      <c r="B360" s="5">
        <v>43599</v>
      </c>
      <c r="C360" s="3" t="s">
        <v>2510</v>
      </c>
      <c r="D360" s="4" t="s">
        <v>6182</v>
      </c>
      <c r="E360" s="3">
        <v>1</v>
      </c>
      <c r="F360" s="3" t="str">
        <f>_xlfn.XLOOKUP(C360,customers!$A$1:$A$1001,customers!$B$1:$B$1001,,0)</f>
        <v>Tomasina Cotmore</v>
      </c>
      <c r="G360" s="3" t="str">
        <f>IF(_xlfn.XLOOKUP(C360,customers!$A$1:$A$1001,customers!$C$1:$C$1001,,0)=0,"", _xlfn.XLOOKUP(C360,customers!$A$1:$A$1001,customers!$C$1:$C$1001,,0))</f>
        <v>tcotmore9y@amazonaws.com</v>
      </c>
      <c r="H360" s="3" t="str">
        <f>_xlfn.XLOOKUP(C360,customers!$A$1:$A$1001,customers!$G$1:$G$1001,,0)</f>
        <v>United States</v>
      </c>
      <c r="I360" s="4" t="str">
        <f>INDEX(products!$A$1:$G$49,MATCH(orders!$D360,products!$A$1:$A$49,0),MATCH(orders!I$1,products!$A$1:$G$1,0))</f>
        <v>Ara</v>
      </c>
      <c r="J360" s="4" t="str">
        <f>INDEX(products!$A$1:$G$49,MATCH(orders!$D360,products!$A$1:$A$49,0),MATCH(orders!J$1,products!$A$1:$G$1,0))</f>
        <v>L</v>
      </c>
      <c r="K360" s="6">
        <f>INDEX(products!$A$1:$G$49,MATCH(orders!$D360,products!$A$1:$A$49,0),MATCH(orders!K$1,products!$A$1:$G$1,0))</f>
        <v>2.5</v>
      </c>
      <c r="L360" s="7">
        <f>INDEX(products!$A$1:$G$49,MATCH(orders!$D360,products!$A$1:$A$49,0),MATCH(orders!L$1,products!$A$1:$G$1,0))</f>
        <v>29.784999999999997</v>
      </c>
      <c r="M360" s="7">
        <f t="shared" si="5"/>
        <v>29.784999999999997</v>
      </c>
      <c r="N360" s="4" t="str" cm="1">
        <f t="array" ref="N360">_xlfn.IFS(I360="Rob","Robusta",I360="Exc","Excelsa",I360="Ara","Arabica",I360="Lib","Liberica")</f>
        <v>Arabica</v>
      </c>
      <c r="O360" s="4" t="str" cm="1">
        <f t="array" ref="O360">_xlfn.IFS(J360="M","Medium",J360="L","Light",J360="D","Dark")</f>
        <v>Light</v>
      </c>
      <c r="P360" s="4" t="str">
        <f>_xlfn.XLOOKUP(CoffeeOrderstable[[#This Row],[Customer ID]],customers!$A$1:$A$1001,customers!$I$1:$I$1001,,0)</f>
        <v>No</v>
      </c>
    </row>
    <row r="361" spans="1:16" x14ac:dyDescent="0.3">
      <c r="A361" s="3" t="s">
        <v>2515</v>
      </c>
      <c r="B361" s="5">
        <v>43563</v>
      </c>
      <c r="C361" s="3" t="s">
        <v>2516</v>
      </c>
      <c r="D361" s="4" t="s">
        <v>6178</v>
      </c>
      <c r="E361" s="3">
        <v>6</v>
      </c>
      <c r="F361" s="3" t="str">
        <f>_xlfn.XLOOKUP(C361,customers!$A$1:$A$1001,customers!$B$1:$B$1001,,0)</f>
        <v>Yuma Skipsey</v>
      </c>
      <c r="G361" s="3" t="str">
        <f>IF(_xlfn.XLOOKUP(C361,customers!$A$1:$A$1001,customers!$C$1:$C$1001,,0)=0,"", _xlfn.XLOOKUP(C361,customers!$A$1:$A$1001,customers!$C$1:$C$1001,,0))</f>
        <v>yskipsey9z@spotify.com</v>
      </c>
      <c r="H361" s="3" t="str">
        <f>_xlfn.XLOOKUP(C361,customers!$A$1:$A$1001,customers!$G$1:$G$1001,,0)</f>
        <v>United Kingdom</v>
      </c>
      <c r="I361" s="4" t="str">
        <f>INDEX(products!$A$1:$G$49,MATCH(orders!$D361,products!$A$1:$A$49,0),MATCH(orders!I$1,products!$A$1:$G$1,0))</f>
        <v>Rob</v>
      </c>
      <c r="J361" s="4" t="str">
        <f>INDEX(products!$A$1:$G$49,MATCH(orders!$D361,products!$A$1:$A$49,0),MATCH(orders!J$1,products!$A$1:$G$1,0))</f>
        <v>L</v>
      </c>
      <c r="K361" s="6">
        <f>INDEX(products!$A$1:$G$49,MATCH(orders!$D361,products!$A$1:$A$49,0),MATCH(orders!K$1,products!$A$1:$G$1,0))</f>
        <v>0.2</v>
      </c>
      <c r="L361" s="7">
        <f>INDEX(products!$A$1:$G$49,MATCH(orders!$D361,products!$A$1:$A$49,0),MATCH(orders!L$1,products!$A$1:$G$1,0))</f>
        <v>3.5849999999999995</v>
      </c>
      <c r="M361" s="7">
        <f t="shared" si="5"/>
        <v>21.509999999999998</v>
      </c>
      <c r="N361" s="4" t="str" cm="1">
        <f t="array" ref="N361">_xlfn.IFS(I361="Rob","Robusta",I361="Exc","Excelsa",I361="Ara","Arabica",I361="Lib","Liberica")</f>
        <v>Robusta</v>
      </c>
      <c r="O361" s="4" t="str" cm="1">
        <f t="array" ref="O361">_xlfn.IFS(J361="M","Medium",J361="L","Light",J361="D","Dark")</f>
        <v>Light</v>
      </c>
      <c r="P361" s="4" t="str">
        <f>_xlfn.XLOOKUP(CoffeeOrderstable[[#This Row],[Customer ID]],customers!$A$1:$A$1001,customers!$I$1:$I$1001,,0)</f>
        <v>No</v>
      </c>
    </row>
    <row r="362" spans="1:16" x14ac:dyDescent="0.3">
      <c r="A362" s="3" t="s">
        <v>2521</v>
      </c>
      <c r="B362" s="5">
        <v>44058</v>
      </c>
      <c r="C362" s="3" t="s">
        <v>2522</v>
      </c>
      <c r="D362" s="4" t="s">
        <v>6149</v>
      </c>
      <c r="E362" s="3">
        <v>2</v>
      </c>
      <c r="F362" s="3" t="str">
        <f>_xlfn.XLOOKUP(C362,customers!$A$1:$A$1001,customers!$B$1:$B$1001,,0)</f>
        <v>Nicko Corps</v>
      </c>
      <c r="G362" s="3" t="str">
        <f>IF(_xlfn.XLOOKUP(C362,customers!$A$1:$A$1001,customers!$C$1:$C$1001,,0)=0,"", _xlfn.XLOOKUP(C362,customers!$A$1:$A$1001,customers!$C$1:$C$1001,,0))</f>
        <v>ncorpsa0@gmpg.org</v>
      </c>
      <c r="H362" s="3" t="str">
        <f>_xlfn.XLOOKUP(C362,customers!$A$1:$A$1001,customers!$G$1:$G$1001,,0)</f>
        <v>United States</v>
      </c>
      <c r="I362" s="4" t="str">
        <f>INDEX(products!$A$1:$G$49,MATCH(orders!$D362,products!$A$1:$A$49,0),MATCH(orders!I$1,products!$A$1:$G$1,0))</f>
        <v>Rob</v>
      </c>
      <c r="J362" s="4" t="str">
        <f>INDEX(products!$A$1:$G$49,MATCH(orders!$D362,products!$A$1:$A$49,0),MATCH(orders!J$1,products!$A$1:$G$1,0))</f>
        <v>D</v>
      </c>
      <c r="K362" s="6">
        <f>INDEX(products!$A$1:$G$49,MATCH(orders!$D362,products!$A$1:$A$49,0),MATCH(orders!K$1,products!$A$1:$G$1,0))</f>
        <v>2.5</v>
      </c>
      <c r="L362" s="7">
        <f>INDEX(products!$A$1:$G$49,MATCH(orders!$D362,products!$A$1:$A$49,0),MATCH(orders!L$1,products!$A$1:$G$1,0))</f>
        <v>20.584999999999997</v>
      </c>
      <c r="M362" s="7">
        <f t="shared" si="5"/>
        <v>41.169999999999995</v>
      </c>
      <c r="N362" s="4" t="str" cm="1">
        <f t="array" ref="N362">_xlfn.IFS(I362="Rob","Robusta",I362="Exc","Excelsa",I362="Ara","Arabica",I362="Lib","Liberica")</f>
        <v>Robusta</v>
      </c>
      <c r="O362" s="4" t="str" cm="1">
        <f t="array" ref="O362">_xlfn.IFS(J362="M","Medium",J362="L","Light",J362="D","Dark")</f>
        <v>Dark</v>
      </c>
      <c r="P362" s="4" t="str">
        <f>_xlfn.XLOOKUP(CoffeeOrderstable[[#This Row],[Customer ID]],customers!$A$1:$A$1001,customers!$I$1:$I$1001,,0)</f>
        <v>No</v>
      </c>
    </row>
    <row r="363" spans="1:16" x14ac:dyDescent="0.3">
      <c r="A363" s="3" t="s">
        <v>2521</v>
      </c>
      <c r="B363" s="5">
        <v>44058</v>
      </c>
      <c r="C363" s="3" t="s">
        <v>2522</v>
      </c>
      <c r="D363" s="4" t="s">
        <v>6146</v>
      </c>
      <c r="E363" s="3">
        <v>1</v>
      </c>
      <c r="F363" s="3" t="str">
        <f>_xlfn.XLOOKUP(C363,customers!$A$1:$A$1001,customers!$B$1:$B$1001,,0)</f>
        <v>Nicko Corps</v>
      </c>
      <c r="G363" s="3" t="str">
        <f>IF(_xlfn.XLOOKUP(C363,customers!$A$1:$A$1001,customers!$C$1:$C$1001,,0)=0,"", _xlfn.XLOOKUP(C363,customers!$A$1:$A$1001,customers!$C$1:$C$1001,,0))</f>
        <v>ncorpsa0@gmpg.org</v>
      </c>
      <c r="H363" s="3" t="str">
        <f>_xlfn.XLOOKUP(C363,customers!$A$1:$A$1001,customers!$G$1:$G$1001,,0)</f>
        <v>United States</v>
      </c>
      <c r="I363" s="4" t="str">
        <f>INDEX(products!$A$1:$G$49,MATCH(orders!$D363,products!$A$1:$A$49,0),MATCH(orders!I$1,products!$A$1:$G$1,0))</f>
        <v>Rob</v>
      </c>
      <c r="J363" s="4" t="str">
        <f>INDEX(products!$A$1:$G$49,MATCH(orders!$D363,products!$A$1:$A$49,0),MATCH(orders!J$1,products!$A$1:$G$1,0))</f>
        <v>M</v>
      </c>
      <c r="K363" s="6">
        <f>INDEX(products!$A$1:$G$49,MATCH(orders!$D363,products!$A$1:$A$49,0),MATCH(orders!K$1,products!$A$1:$G$1,0))</f>
        <v>0.5</v>
      </c>
      <c r="L363" s="7">
        <f>INDEX(products!$A$1:$G$49,MATCH(orders!$D363,products!$A$1:$A$49,0),MATCH(orders!L$1,products!$A$1:$G$1,0))</f>
        <v>5.97</v>
      </c>
      <c r="M363" s="7">
        <f t="shared" si="5"/>
        <v>5.97</v>
      </c>
      <c r="N363" s="4" t="str" cm="1">
        <f t="array" ref="N363">_xlfn.IFS(I363="Rob","Robusta",I363="Exc","Excelsa",I363="Ara","Arabica",I363="Lib","Liberica")</f>
        <v>Robusta</v>
      </c>
      <c r="O363" s="4" t="str" cm="1">
        <f t="array" ref="O363">_xlfn.IFS(J363="M","Medium",J363="L","Light",J363="D","Dark")</f>
        <v>Medium</v>
      </c>
      <c r="P363" s="4" t="str">
        <f>_xlfn.XLOOKUP(CoffeeOrderstable[[#This Row],[Customer ID]],customers!$A$1:$A$1001,customers!$I$1:$I$1001,,0)</f>
        <v>No</v>
      </c>
    </row>
    <row r="364" spans="1:16" x14ac:dyDescent="0.3">
      <c r="A364" s="3" t="s">
        <v>2532</v>
      </c>
      <c r="B364" s="5">
        <v>44686</v>
      </c>
      <c r="C364" s="3" t="s">
        <v>2533</v>
      </c>
      <c r="D364" s="4" t="s">
        <v>6171</v>
      </c>
      <c r="E364" s="3">
        <v>5</v>
      </c>
      <c r="F364" s="3" t="str">
        <f>_xlfn.XLOOKUP(C364,customers!$A$1:$A$1001,customers!$B$1:$B$1001,,0)</f>
        <v>Feliks Babber</v>
      </c>
      <c r="G364" s="3" t="str">
        <f>IF(_xlfn.XLOOKUP(C364,customers!$A$1:$A$1001,customers!$C$1:$C$1001,,0)=0,"", _xlfn.XLOOKUP(C364,customers!$A$1:$A$1001,customers!$C$1:$C$1001,,0))</f>
        <v>fbabbera2@stanford.edu</v>
      </c>
      <c r="H364" s="3" t="str">
        <f>_xlfn.XLOOKUP(C364,customers!$A$1:$A$1001,customers!$G$1:$G$1001,,0)</f>
        <v>United States</v>
      </c>
      <c r="I364" s="4" t="str">
        <f>INDEX(products!$A$1:$G$49,MATCH(orders!$D364,products!$A$1:$A$49,0),MATCH(orders!I$1,products!$A$1:$G$1,0))</f>
        <v>Exc</v>
      </c>
      <c r="J364" s="4" t="str">
        <f>INDEX(products!$A$1:$G$49,MATCH(orders!$D364,products!$A$1:$A$49,0),MATCH(orders!J$1,products!$A$1:$G$1,0))</f>
        <v>L</v>
      </c>
      <c r="K364" s="6">
        <f>INDEX(products!$A$1:$G$49,MATCH(orders!$D364,products!$A$1:$A$49,0),MATCH(orders!K$1,products!$A$1:$G$1,0))</f>
        <v>1</v>
      </c>
      <c r="L364" s="7">
        <f>INDEX(products!$A$1:$G$49,MATCH(orders!$D364,products!$A$1:$A$49,0),MATCH(orders!L$1,products!$A$1:$G$1,0))</f>
        <v>14.85</v>
      </c>
      <c r="M364" s="7">
        <f t="shared" si="5"/>
        <v>74.25</v>
      </c>
      <c r="N364" s="4" t="str" cm="1">
        <f t="array" ref="N364">_xlfn.IFS(I364="Rob","Robusta",I364="Exc","Excelsa",I364="Ara","Arabica",I364="Lib","Liberica")</f>
        <v>Excelsa</v>
      </c>
      <c r="O364" s="4" t="str" cm="1">
        <f t="array" ref="O364">_xlfn.IFS(J364="M","Medium",J364="L","Light",J364="D","Dark")</f>
        <v>Light</v>
      </c>
      <c r="P364" s="4" t="str">
        <f>_xlfn.XLOOKUP(CoffeeOrderstable[[#This Row],[Customer ID]],customers!$A$1:$A$1001,customers!$I$1:$I$1001,,0)</f>
        <v>Yes</v>
      </c>
    </row>
    <row r="365" spans="1:16" x14ac:dyDescent="0.3">
      <c r="A365" s="3" t="s">
        <v>2538</v>
      </c>
      <c r="B365" s="5">
        <v>44282</v>
      </c>
      <c r="C365" s="3" t="s">
        <v>2539</v>
      </c>
      <c r="D365" s="4" t="s">
        <v>6162</v>
      </c>
      <c r="E365" s="3">
        <v>6</v>
      </c>
      <c r="F365" s="3" t="str">
        <f>_xlfn.XLOOKUP(C365,customers!$A$1:$A$1001,customers!$B$1:$B$1001,,0)</f>
        <v>Kaja Loxton</v>
      </c>
      <c r="G365" s="3" t="str">
        <f>IF(_xlfn.XLOOKUP(C365,customers!$A$1:$A$1001,customers!$C$1:$C$1001,,0)=0,"", _xlfn.XLOOKUP(C365,customers!$A$1:$A$1001,customers!$C$1:$C$1001,,0))</f>
        <v>kloxtona3@opensource.org</v>
      </c>
      <c r="H365" s="3" t="str">
        <f>_xlfn.XLOOKUP(C365,customers!$A$1:$A$1001,customers!$G$1:$G$1001,,0)</f>
        <v>United States</v>
      </c>
      <c r="I365" s="4" t="str">
        <f>INDEX(products!$A$1:$G$49,MATCH(orders!$D365,products!$A$1:$A$49,0),MATCH(orders!I$1,products!$A$1:$G$1,0))</f>
        <v>Lib</v>
      </c>
      <c r="J365" s="4" t="str">
        <f>INDEX(products!$A$1:$G$49,MATCH(orders!$D365,products!$A$1:$A$49,0),MATCH(orders!J$1,products!$A$1:$G$1,0))</f>
        <v>M</v>
      </c>
      <c r="K365" s="6">
        <f>INDEX(products!$A$1:$G$49,MATCH(orders!$D365,products!$A$1:$A$49,0),MATCH(orders!K$1,products!$A$1:$G$1,0))</f>
        <v>1</v>
      </c>
      <c r="L365" s="7">
        <f>INDEX(products!$A$1:$G$49,MATCH(orders!$D365,products!$A$1:$A$49,0),MATCH(orders!L$1,products!$A$1:$G$1,0))</f>
        <v>14.55</v>
      </c>
      <c r="M365" s="7">
        <f t="shared" si="5"/>
        <v>87.300000000000011</v>
      </c>
      <c r="N365" s="4" t="str" cm="1">
        <f t="array" ref="N365">_xlfn.IFS(I365="Rob","Robusta",I365="Exc","Excelsa",I365="Ara","Arabica",I365="Lib","Liberica")</f>
        <v>Liberica</v>
      </c>
      <c r="O365" s="4" t="str" cm="1">
        <f t="array" ref="O365">_xlfn.IFS(J365="M","Medium",J365="L","Light",J365="D","Dark")</f>
        <v>Medium</v>
      </c>
      <c r="P365" s="4" t="str">
        <f>_xlfn.XLOOKUP(CoffeeOrderstable[[#This Row],[Customer ID]],customers!$A$1:$A$1001,customers!$I$1:$I$1001,,0)</f>
        <v>No</v>
      </c>
    </row>
    <row r="366" spans="1:16" x14ac:dyDescent="0.3">
      <c r="A366" s="3" t="s">
        <v>2543</v>
      </c>
      <c r="B366" s="5">
        <v>43582</v>
      </c>
      <c r="C366" s="3" t="s">
        <v>2544</v>
      </c>
      <c r="D366" s="4" t="s">
        <v>6183</v>
      </c>
      <c r="E366" s="3">
        <v>6</v>
      </c>
      <c r="F366" s="3" t="str">
        <f>_xlfn.XLOOKUP(C366,customers!$A$1:$A$1001,customers!$B$1:$B$1001,,0)</f>
        <v>Parker Tofful</v>
      </c>
      <c r="G366" s="3" t="str">
        <f>IF(_xlfn.XLOOKUP(C366,customers!$A$1:$A$1001,customers!$C$1:$C$1001,,0)=0,"", _xlfn.XLOOKUP(C366,customers!$A$1:$A$1001,customers!$C$1:$C$1001,,0))</f>
        <v>ptoffula4@posterous.com</v>
      </c>
      <c r="H366" s="3" t="str">
        <f>_xlfn.XLOOKUP(C366,customers!$A$1:$A$1001,customers!$G$1:$G$1001,,0)</f>
        <v>United States</v>
      </c>
      <c r="I366" s="4" t="str">
        <f>INDEX(products!$A$1:$G$49,MATCH(orders!$D366,products!$A$1:$A$49,0),MATCH(orders!I$1,products!$A$1:$G$1,0))</f>
        <v>Exc</v>
      </c>
      <c r="J366" s="4" t="str">
        <f>INDEX(products!$A$1:$G$49,MATCH(orders!$D366,products!$A$1:$A$49,0),MATCH(orders!J$1,products!$A$1:$G$1,0))</f>
        <v>D</v>
      </c>
      <c r="K366" s="6">
        <f>INDEX(products!$A$1:$G$49,MATCH(orders!$D366,products!$A$1:$A$49,0),MATCH(orders!K$1,products!$A$1:$G$1,0))</f>
        <v>1</v>
      </c>
      <c r="L366" s="7">
        <f>INDEX(products!$A$1:$G$49,MATCH(orders!$D366,products!$A$1:$A$49,0),MATCH(orders!L$1,products!$A$1:$G$1,0))</f>
        <v>12.15</v>
      </c>
      <c r="M366" s="7">
        <f t="shared" si="5"/>
        <v>72.900000000000006</v>
      </c>
      <c r="N366" s="4" t="str" cm="1">
        <f t="array" ref="N366">_xlfn.IFS(I366="Rob","Robusta",I366="Exc","Excelsa",I366="Ara","Arabica",I366="Lib","Liberica")</f>
        <v>Excelsa</v>
      </c>
      <c r="O366" s="4" t="str" cm="1">
        <f t="array" ref="O366">_xlfn.IFS(J366="M","Medium",J366="L","Light",J366="D","Dark")</f>
        <v>Dark</v>
      </c>
      <c r="P366" s="4" t="str">
        <f>_xlfn.XLOOKUP(CoffeeOrderstable[[#This Row],[Customer ID]],customers!$A$1:$A$1001,customers!$I$1:$I$1001,,0)</f>
        <v>Yes</v>
      </c>
    </row>
    <row r="367" spans="1:16" x14ac:dyDescent="0.3">
      <c r="A367" s="3" t="s">
        <v>2549</v>
      </c>
      <c r="B367" s="5">
        <v>44464</v>
      </c>
      <c r="C367" s="3" t="s">
        <v>2550</v>
      </c>
      <c r="D367" s="4" t="s">
        <v>6169</v>
      </c>
      <c r="E367" s="3">
        <v>1</v>
      </c>
      <c r="F367" s="3" t="str">
        <f>_xlfn.XLOOKUP(C367,customers!$A$1:$A$1001,customers!$B$1:$B$1001,,0)</f>
        <v>Casi Gwinnett</v>
      </c>
      <c r="G367" s="3" t="str">
        <f>IF(_xlfn.XLOOKUP(C367,customers!$A$1:$A$1001,customers!$C$1:$C$1001,,0)=0,"", _xlfn.XLOOKUP(C367,customers!$A$1:$A$1001,customers!$C$1:$C$1001,,0))</f>
        <v>cgwinnetta5@behance.net</v>
      </c>
      <c r="H367" s="3" t="str">
        <f>_xlfn.XLOOKUP(C367,customers!$A$1:$A$1001,customers!$G$1:$G$1001,,0)</f>
        <v>United States</v>
      </c>
      <c r="I367" s="4" t="str">
        <f>INDEX(products!$A$1:$G$49,MATCH(orders!$D367,products!$A$1:$A$49,0),MATCH(orders!I$1,products!$A$1:$G$1,0))</f>
        <v>Lib</v>
      </c>
      <c r="J367" s="4" t="str">
        <f>INDEX(products!$A$1:$G$49,MATCH(orders!$D367,products!$A$1:$A$49,0),MATCH(orders!J$1,products!$A$1:$G$1,0))</f>
        <v>D</v>
      </c>
      <c r="K367" s="6">
        <f>INDEX(products!$A$1:$G$49,MATCH(orders!$D367,products!$A$1:$A$49,0),MATCH(orders!K$1,products!$A$1:$G$1,0))</f>
        <v>0.5</v>
      </c>
      <c r="L367" s="7">
        <f>INDEX(products!$A$1:$G$49,MATCH(orders!$D367,products!$A$1:$A$49,0),MATCH(orders!L$1,products!$A$1:$G$1,0))</f>
        <v>7.77</v>
      </c>
      <c r="M367" s="7">
        <f t="shared" si="5"/>
        <v>7.77</v>
      </c>
      <c r="N367" s="4" t="str" cm="1">
        <f t="array" ref="N367">_xlfn.IFS(I367="Rob","Robusta",I367="Exc","Excelsa",I367="Ara","Arabica",I367="Lib","Liberica")</f>
        <v>Liberica</v>
      </c>
      <c r="O367" s="4" t="str" cm="1">
        <f t="array" ref="O367">_xlfn.IFS(J367="M","Medium",J367="L","Light",J367="D","Dark")</f>
        <v>Dark</v>
      </c>
      <c r="P367" s="4" t="str">
        <f>_xlfn.XLOOKUP(CoffeeOrderstable[[#This Row],[Customer ID]],customers!$A$1:$A$1001,customers!$I$1:$I$1001,,0)</f>
        <v>No</v>
      </c>
    </row>
    <row r="368" spans="1:16" x14ac:dyDescent="0.3">
      <c r="A368" s="3" t="s">
        <v>2554</v>
      </c>
      <c r="B368" s="5">
        <v>43874</v>
      </c>
      <c r="C368" s="3" t="s">
        <v>2555</v>
      </c>
      <c r="D368" s="4" t="s">
        <v>6144</v>
      </c>
      <c r="E368" s="3">
        <v>6</v>
      </c>
      <c r="F368" s="3" t="str">
        <f>_xlfn.XLOOKUP(C368,customers!$A$1:$A$1001,customers!$B$1:$B$1001,,0)</f>
        <v>Saree Ellesworth</v>
      </c>
      <c r="G368" s="3" t="str">
        <f>IF(_xlfn.XLOOKUP(C368,customers!$A$1:$A$1001,customers!$C$1:$C$1001,,0)=0,"", _xlfn.XLOOKUP(C368,customers!$A$1:$A$1001,customers!$C$1:$C$1001,,0))</f>
        <v/>
      </c>
      <c r="H368" s="3" t="str">
        <f>_xlfn.XLOOKUP(C368,customers!$A$1:$A$1001,customers!$G$1:$G$1001,,0)</f>
        <v>United States</v>
      </c>
      <c r="I368" s="4" t="str">
        <f>INDEX(products!$A$1:$G$49,MATCH(orders!$D368,products!$A$1:$A$49,0),MATCH(orders!I$1,products!$A$1:$G$1,0))</f>
        <v>Exc</v>
      </c>
      <c r="J368" s="4" t="str">
        <f>INDEX(products!$A$1:$G$49,MATCH(orders!$D368,products!$A$1:$A$49,0),MATCH(orders!J$1,products!$A$1:$G$1,0))</f>
        <v>D</v>
      </c>
      <c r="K368" s="6">
        <f>INDEX(products!$A$1:$G$49,MATCH(orders!$D368,products!$A$1:$A$49,0),MATCH(orders!K$1,products!$A$1:$G$1,0))</f>
        <v>0.5</v>
      </c>
      <c r="L368" s="7">
        <f>INDEX(products!$A$1:$G$49,MATCH(orders!$D368,products!$A$1:$A$49,0),MATCH(orders!L$1,products!$A$1:$G$1,0))</f>
        <v>7.29</v>
      </c>
      <c r="M368" s="7">
        <f t="shared" si="5"/>
        <v>43.74</v>
      </c>
      <c r="N368" s="4" t="str" cm="1">
        <f t="array" ref="N368">_xlfn.IFS(I368="Rob","Robusta",I368="Exc","Excelsa",I368="Ara","Arabica",I368="Lib","Liberica")</f>
        <v>Excelsa</v>
      </c>
      <c r="O368" s="4" t="str" cm="1">
        <f t="array" ref="O368">_xlfn.IFS(J368="M","Medium",J368="L","Light",J368="D","Dark")</f>
        <v>Dark</v>
      </c>
      <c r="P368" s="4" t="str">
        <f>_xlfn.XLOOKUP(CoffeeOrderstable[[#This Row],[Customer ID]],customers!$A$1:$A$1001,customers!$I$1:$I$1001,,0)</f>
        <v>No</v>
      </c>
    </row>
    <row r="369" spans="1:16" x14ac:dyDescent="0.3">
      <c r="A369" s="3" t="s">
        <v>2559</v>
      </c>
      <c r="B369" s="5">
        <v>44393</v>
      </c>
      <c r="C369" s="3" t="s">
        <v>2560</v>
      </c>
      <c r="D369" s="4" t="s">
        <v>6159</v>
      </c>
      <c r="E369" s="3">
        <v>2</v>
      </c>
      <c r="F369" s="3" t="str">
        <f>_xlfn.XLOOKUP(C369,customers!$A$1:$A$1001,customers!$B$1:$B$1001,,0)</f>
        <v>Silvio Iorizzi</v>
      </c>
      <c r="G369" s="3" t="str">
        <f>IF(_xlfn.XLOOKUP(C369,customers!$A$1:$A$1001,customers!$C$1:$C$1001,,0)=0,"", _xlfn.XLOOKUP(C369,customers!$A$1:$A$1001,customers!$C$1:$C$1001,,0))</f>
        <v/>
      </c>
      <c r="H369" s="3" t="str">
        <f>_xlfn.XLOOKUP(C369,customers!$A$1:$A$1001,customers!$G$1:$G$1001,,0)</f>
        <v>United States</v>
      </c>
      <c r="I369" s="4" t="str">
        <f>INDEX(products!$A$1:$G$49,MATCH(orders!$D369,products!$A$1:$A$49,0),MATCH(orders!I$1,products!$A$1:$G$1,0))</f>
        <v>Lib</v>
      </c>
      <c r="J369" s="4" t="str">
        <f>INDEX(products!$A$1:$G$49,MATCH(orders!$D369,products!$A$1:$A$49,0),MATCH(orders!J$1,products!$A$1:$G$1,0))</f>
        <v>M</v>
      </c>
      <c r="K369" s="6">
        <f>INDEX(products!$A$1:$G$49,MATCH(orders!$D369,products!$A$1:$A$49,0),MATCH(orders!K$1,products!$A$1:$G$1,0))</f>
        <v>0.2</v>
      </c>
      <c r="L369" s="7">
        <f>INDEX(products!$A$1:$G$49,MATCH(orders!$D369,products!$A$1:$A$49,0),MATCH(orders!L$1,products!$A$1:$G$1,0))</f>
        <v>4.3650000000000002</v>
      </c>
      <c r="M369" s="7">
        <f t="shared" si="5"/>
        <v>8.73</v>
      </c>
      <c r="N369" s="4" t="str" cm="1">
        <f t="array" ref="N369">_xlfn.IFS(I369="Rob","Robusta",I369="Exc","Excelsa",I369="Ara","Arabica",I369="Lib","Liberica")</f>
        <v>Liberica</v>
      </c>
      <c r="O369" s="4" t="str" cm="1">
        <f t="array" ref="O369">_xlfn.IFS(J369="M","Medium",J369="L","Light",J369="D","Dark")</f>
        <v>Medium</v>
      </c>
      <c r="P369" s="4" t="str">
        <f>_xlfn.XLOOKUP(CoffeeOrderstable[[#This Row],[Customer ID]],customers!$A$1:$A$1001,customers!$I$1:$I$1001,,0)</f>
        <v>Yes</v>
      </c>
    </row>
    <row r="370" spans="1:16" x14ac:dyDescent="0.3">
      <c r="A370" s="3" t="s">
        <v>2563</v>
      </c>
      <c r="B370" s="5">
        <v>44692</v>
      </c>
      <c r="C370" s="3" t="s">
        <v>2564</v>
      </c>
      <c r="D370" s="4" t="s">
        <v>6166</v>
      </c>
      <c r="E370" s="3">
        <v>2</v>
      </c>
      <c r="F370" s="3" t="str">
        <f>_xlfn.XLOOKUP(C370,customers!$A$1:$A$1001,customers!$B$1:$B$1001,,0)</f>
        <v>Leesa Flaonier</v>
      </c>
      <c r="G370" s="3" t="str">
        <f>IF(_xlfn.XLOOKUP(C370,customers!$A$1:$A$1001,customers!$C$1:$C$1001,,0)=0,"", _xlfn.XLOOKUP(C370,customers!$A$1:$A$1001,customers!$C$1:$C$1001,,0))</f>
        <v>lflaoniera8@wordpress.org</v>
      </c>
      <c r="H370" s="3" t="str">
        <f>_xlfn.XLOOKUP(C370,customers!$A$1:$A$1001,customers!$G$1:$G$1001,,0)</f>
        <v>United States</v>
      </c>
      <c r="I370" s="4" t="str">
        <f>INDEX(products!$A$1:$G$49,MATCH(orders!$D370,products!$A$1:$A$49,0),MATCH(orders!I$1,products!$A$1:$G$1,0))</f>
        <v>Exc</v>
      </c>
      <c r="J370" s="4" t="str">
        <f>INDEX(products!$A$1:$G$49,MATCH(orders!$D370,products!$A$1:$A$49,0),MATCH(orders!J$1,products!$A$1:$G$1,0))</f>
        <v>M</v>
      </c>
      <c r="K370" s="6">
        <f>INDEX(products!$A$1:$G$49,MATCH(orders!$D370,products!$A$1:$A$49,0),MATCH(orders!K$1,products!$A$1:$G$1,0))</f>
        <v>2.5</v>
      </c>
      <c r="L370" s="7">
        <f>INDEX(products!$A$1:$G$49,MATCH(orders!$D370,products!$A$1:$A$49,0),MATCH(orders!L$1,products!$A$1:$G$1,0))</f>
        <v>31.624999999999996</v>
      </c>
      <c r="M370" s="7">
        <f t="shared" si="5"/>
        <v>63.249999999999993</v>
      </c>
      <c r="N370" s="4" t="str" cm="1">
        <f t="array" ref="N370">_xlfn.IFS(I370="Rob","Robusta",I370="Exc","Excelsa",I370="Ara","Arabica",I370="Lib","Liberica")</f>
        <v>Excelsa</v>
      </c>
      <c r="O370" s="4" t="str" cm="1">
        <f t="array" ref="O370">_xlfn.IFS(J370="M","Medium",J370="L","Light",J370="D","Dark")</f>
        <v>Medium</v>
      </c>
      <c r="P370" s="4" t="str">
        <f>_xlfn.XLOOKUP(CoffeeOrderstable[[#This Row],[Customer ID]],customers!$A$1:$A$1001,customers!$I$1:$I$1001,,0)</f>
        <v>No</v>
      </c>
    </row>
    <row r="371" spans="1:16" x14ac:dyDescent="0.3">
      <c r="A371" s="3" t="s">
        <v>2569</v>
      </c>
      <c r="B371" s="5">
        <v>43500</v>
      </c>
      <c r="C371" s="3" t="s">
        <v>2570</v>
      </c>
      <c r="D371" s="4" t="s">
        <v>6176</v>
      </c>
      <c r="E371" s="3">
        <v>1</v>
      </c>
      <c r="F371" s="3" t="str">
        <f>_xlfn.XLOOKUP(C371,customers!$A$1:$A$1001,customers!$B$1:$B$1001,,0)</f>
        <v>Abba Pummell</v>
      </c>
      <c r="G371" s="3" t="str">
        <f>IF(_xlfn.XLOOKUP(C371,customers!$A$1:$A$1001,customers!$C$1:$C$1001,,0)=0,"", _xlfn.XLOOKUP(C371,customers!$A$1:$A$1001,customers!$C$1:$C$1001,,0))</f>
        <v/>
      </c>
      <c r="H371" s="3" t="str">
        <f>_xlfn.XLOOKUP(C371,customers!$A$1:$A$1001,customers!$G$1:$G$1001,,0)</f>
        <v>United States</v>
      </c>
      <c r="I371" s="4" t="str">
        <f>INDEX(products!$A$1:$G$49,MATCH(orders!$D371,products!$A$1:$A$49,0),MATCH(orders!I$1,products!$A$1:$G$1,0))</f>
        <v>Exc</v>
      </c>
      <c r="J371" s="4" t="str">
        <f>INDEX(products!$A$1:$G$49,MATCH(orders!$D371,products!$A$1:$A$49,0),MATCH(orders!J$1,products!$A$1:$G$1,0))</f>
        <v>L</v>
      </c>
      <c r="K371" s="6">
        <f>INDEX(products!$A$1:$G$49,MATCH(orders!$D371,products!$A$1:$A$49,0),MATCH(orders!K$1,products!$A$1:$G$1,0))</f>
        <v>0.5</v>
      </c>
      <c r="L371" s="7">
        <f>INDEX(products!$A$1:$G$49,MATCH(orders!$D371,products!$A$1:$A$49,0),MATCH(orders!L$1,products!$A$1:$G$1,0))</f>
        <v>8.91</v>
      </c>
      <c r="M371" s="7">
        <f t="shared" si="5"/>
        <v>8.91</v>
      </c>
      <c r="N371" s="4" t="str" cm="1">
        <f t="array" ref="N371">_xlfn.IFS(I371="Rob","Robusta",I371="Exc","Excelsa",I371="Ara","Arabica",I371="Lib","Liberica")</f>
        <v>Excelsa</v>
      </c>
      <c r="O371" s="4" t="str" cm="1">
        <f t="array" ref="O371">_xlfn.IFS(J371="M","Medium",J371="L","Light",J371="D","Dark")</f>
        <v>Light</v>
      </c>
      <c r="P371" s="4" t="str">
        <f>_xlfn.XLOOKUP(CoffeeOrderstable[[#This Row],[Customer ID]],customers!$A$1:$A$1001,customers!$I$1:$I$1001,,0)</f>
        <v>Yes</v>
      </c>
    </row>
    <row r="372" spans="1:16" x14ac:dyDescent="0.3">
      <c r="A372" s="3" t="s">
        <v>2573</v>
      </c>
      <c r="B372" s="5">
        <v>43501</v>
      </c>
      <c r="C372" s="3" t="s">
        <v>2574</v>
      </c>
      <c r="D372" s="4" t="s">
        <v>6183</v>
      </c>
      <c r="E372" s="3">
        <v>2</v>
      </c>
      <c r="F372" s="3" t="str">
        <f>_xlfn.XLOOKUP(C372,customers!$A$1:$A$1001,customers!$B$1:$B$1001,,0)</f>
        <v>Corinna Catcheside</v>
      </c>
      <c r="G372" s="3" t="str">
        <f>IF(_xlfn.XLOOKUP(C372,customers!$A$1:$A$1001,customers!$C$1:$C$1001,,0)=0,"", _xlfn.XLOOKUP(C372,customers!$A$1:$A$1001,customers!$C$1:$C$1001,,0))</f>
        <v>ccatchesideaa@macromedia.com</v>
      </c>
      <c r="H372" s="3" t="str">
        <f>_xlfn.XLOOKUP(C372,customers!$A$1:$A$1001,customers!$G$1:$G$1001,,0)</f>
        <v>United States</v>
      </c>
      <c r="I372" s="4" t="str">
        <f>INDEX(products!$A$1:$G$49,MATCH(orders!$D372,products!$A$1:$A$49,0),MATCH(orders!I$1,products!$A$1:$G$1,0))</f>
        <v>Exc</v>
      </c>
      <c r="J372" s="4" t="str">
        <f>INDEX(products!$A$1:$G$49,MATCH(orders!$D372,products!$A$1:$A$49,0),MATCH(orders!J$1,products!$A$1:$G$1,0))</f>
        <v>D</v>
      </c>
      <c r="K372" s="6">
        <f>INDEX(products!$A$1:$G$49,MATCH(orders!$D372,products!$A$1:$A$49,0),MATCH(orders!K$1,products!$A$1:$G$1,0))</f>
        <v>1</v>
      </c>
      <c r="L372" s="7">
        <f>INDEX(products!$A$1:$G$49,MATCH(orders!$D372,products!$A$1:$A$49,0),MATCH(orders!L$1,products!$A$1:$G$1,0))</f>
        <v>12.15</v>
      </c>
      <c r="M372" s="7">
        <f t="shared" si="5"/>
        <v>24.3</v>
      </c>
      <c r="N372" s="4" t="str" cm="1">
        <f t="array" ref="N372">_xlfn.IFS(I372="Rob","Robusta",I372="Exc","Excelsa",I372="Ara","Arabica",I372="Lib","Liberica")</f>
        <v>Excelsa</v>
      </c>
      <c r="O372" s="4" t="str" cm="1">
        <f t="array" ref="O372">_xlfn.IFS(J372="M","Medium",J372="L","Light",J372="D","Dark")</f>
        <v>Dark</v>
      </c>
      <c r="P372" s="4" t="str">
        <f>_xlfn.XLOOKUP(CoffeeOrderstable[[#This Row],[Customer ID]],customers!$A$1:$A$1001,customers!$I$1:$I$1001,,0)</f>
        <v>Yes</v>
      </c>
    </row>
    <row r="373" spans="1:16" x14ac:dyDescent="0.3">
      <c r="A373" s="3" t="s">
        <v>2579</v>
      </c>
      <c r="B373" s="5">
        <v>44705</v>
      </c>
      <c r="C373" s="3" t="s">
        <v>2580</v>
      </c>
      <c r="D373" s="4" t="s">
        <v>6180</v>
      </c>
      <c r="E373" s="3">
        <v>6</v>
      </c>
      <c r="F373" s="3" t="str">
        <f>_xlfn.XLOOKUP(C373,customers!$A$1:$A$1001,customers!$B$1:$B$1001,,0)</f>
        <v>Cortney Gibbonson</v>
      </c>
      <c r="G373" s="3" t="str">
        <f>IF(_xlfn.XLOOKUP(C373,customers!$A$1:$A$1001,customers!$C$1:$C$1001,,0)=0,"", _xlfn.XLOOKUP(C373,customers!$A$1:$A$1001,customers!$C$1:$C$1001,,0))</f>
        <v>cgibbonsonab@accuweather.com</v>
      </c>
      <c r="H373" s="3" t="str">
        <f>_xlfn.XLOOKUP(C373,customers!$A$1:$A$1001,customers!$G$1:$G$1001,,0)</f>
        <v>United States</v>
      </c>
      <c r="I373" s="4" t="str">
        <f>INDEX(products!$A$1:$G$49,MATCH(orders!$D373,products!$A$1:$A$49,0),MATCH(orders!I$1,products!$A$1:$G$1,0))</f>
        <v>Ara</v>
      </c>
      <c r="J373" s="4" t="str">
        <f>INDEX(products!$A$1:$G$49,MATCH(orders!$D373,products!$A$1:$A$49,0),MATCH(orders!J$1,products!$A$1:$G$1,0))</f>
        <v>L</v>
      </c>
      <c r="K373" s="6">
        <f>INDEX(products!$A$1:$G$49,MATCH(orders!$D373,products!$A$1:$A$49,0),MATCH(orders!K$1,products!$A$1:$G$1,0))</f>
        <v>0.5</v>
      </c>
      <c r="L373" s="7">
        <f>INDEX(products!$A$1:$G$49,MATCH(orders!$D373,products!$A$1:$A$49,0),MATCH(orders!L$1,products!$A$1:$G$1,0))</f>
        <v>7.77</v>
      </c>
      <c r="M373" s="7">
        <f t="shared" si="5"/>
        <v>46.62</v>
      </c>
      <c r="N373" s="4" t="str" cm="1">
        <f t="array" ref="N373">_xlfn.IFS(I373="Rob","Robusta",I373="Exc","Excelsa",I373="Ara","Arabica",I373="Lib","Liberica")</f>
        <v>Arabica</v>
      </c>
      <c r="O373" s="4" t="str" cm="1">
        <f t="array" ref="O373">_xlfn.IFS(J373="M","Medium",J373="L","Light",J373="D","Dark")</f>
        <v>Light</v>
      </c>
      <c r="P373" s="4" t="str">
        <f>_xlfn.XLOOKUP(CoffeeOrderstable[[#This Row],[Customer ID]],customers!$A$1:$A$1001,customers!$I$1:$I$1001,,0)</f>
        <v>Yes</v>
      </c>
    </row>
    <row r="374" spans="1:16" x14ac:dyDescent="0.3">
      <c r="A374" s="3" t="s">
        <v>2585</v>
      </c>
      <c r="B374" s="5">
        <v>44108</v>
      </c>
      <c r="C374" s="3" t="s">
        <v>2586</v>
      </c>
      <c r="D374" s="4" t="s">
        <v>6173</v>
      </c>
      <c r="E374" s="3">
        <v>6</v>
      </c>
      <c r="F374" s="3" t="str">
        <f>_xlfn.XLOOKUP(C374,customers!$A$1:$A$1001,customers!$B$1:$B$1001,,0)</f>
        <v>Terri Farra</v>
      </c>
      <c r="G374" s="3" t="str">
        <f>IF(_xlfn.XLOOKUP(C374,customers!$A$1:$A$1001,customers!$C$1:$C$1001,,0)=0,"", _xlfn.XLOOKUP(C374,customers!$A$1:$A$1001,customers!$C$1:$C$1001,,0))</f>
        <v>tfarraac@behance.net</v>
      </c>
      <c r="H374" s="3" t="str">
        <f>_xlfn.XLOOKUP(C374,customers!$A$1:$A$1001,customers!$G$1:$G$1001,,0)</f>
        <v>United States</v>
      </c>
      <c r="I374" s="4" t="str">
        <f>INDEX(products!$A$1:$G$49,MATCH(orders!$D374,products!$A$1:$A$49,0),MATCH(orders!I$1,products!$A$1:$G$1,0))</f>
        <v>Rob</v>
      </c>
      <c r="J374" s="4" t="str">
        <f>INDEX(products!$A$1:$G$49,MATCH(orders!$D374,products!$A$1:$A$49,0),MATCH(orders!J$1,products!$A$1:$G$1,0))</f>
        <v>L</v>
      </c>
      <c r="K374" s="6">
        <f>INDEX(products!$A$1:$G$49,MATCH(orders!$D374,products!$A$1:$A$49,0),MATCH(orders!K$1,products!$A$1:$G$1,0))</f>
        <v>0.5</v>
      </c>
      <c r="L374" s="7">
        <f>INDEX(products!$A$1:$G$49,MATCH(orders!$D374,products!$A$1:$A$49,0),MATCH(orders!L$1,products!$A$1:$G$1,0))</f>
        <v>7.169999999999999</v>
      </c>
      <c r="M374" s="7">
        <f t="shared" si="5"/>
        <v>43.019999999999996</v>
      </c>
      <c r="N374" s="4" t="str" cm="1">
        <f t="array" ref="N374">_xlfn.IFS(I374="Rob","Robusta",I374="Exc","Excelsa",I374="Ara","Arabica",I374="Lib","Liberica")</f>
        <v>Robusta</v>
      </c>
      <c r="O374" s="4" t="str" cm="1">
        <f t="array" ref="O374">_xlfn.IFS(J374="M","Medium",J374="L","Light",J374="D","Dark")</f>
        <v>Light</v>
      </c>
      <c r="P374" s="4" t="str">
        <f>_xlfn.XLOOKUP(CoffeeOrderstable[[#This Row],[Customer ID]],customers!$A$1:$A$1001,customers!$I$1:$I$1001,,0)</f>
        <v>No</v>
      </c>
    </row>
    <row r="375" spans="1:16" x14ac:dyDescent="0.3">
      <c r="A375" s="3" t="s">
        <v>2591</v>
      </c>
      <c r="B375" s="5">
        <v>44742</v>
      </c>
      <c r="C375" s="3" t="s">
        <v>2592</v>
      </c>
      <c r="D375" s="4" t="s">
        <v>6158</v>
      </c>
      <c r="E375" s="3">
        <v>3</v>
      </c>
      <c r="F375" s="3" t="str">
        <f>_xlfn.XLOOKUP(C375,customers!$A$1:$A$1001,customers!$B$1:$B$1001,,0)</f>
        <v>Corney Curme</v>
      </c>
      <c r="G375" s="3" t="str">
        <f>IF(_xlfn.XLOOKUP(C375,customers!$A$1:$A$1001,customers!$C$1:$C$1001,,0)=0,"", _xlfn.XLOOKUP(C375,customers!$A$1:$A$1001,customers!$C$1:$C$1001,,0))</f>
        <v/>
      </c>
      <c r="H375" s="3" t="str">
        <f>_xlfn.XLOOKUP(C375,customers!$A$1:$A$1001,customers!$G$1:$G$1001,,0)</f>
        <v>Ireland</v>
      </c>
      <c r="I375" s="4" t="str">
        <f>INDEX(products!$A$1:$G$49,MATCH(orders!$D375,products!$A$1:$A$49,0),MATCH(orders!I$1,products!$A$1:$G$1,0))</f>
        <v>Ara</v>
      </c>
      <c r="J375" s="4" t="str">
        <f>INDEX(products!$A$1:$G$49,MATCH(orders!$D375,products!$A$1:$A$49,0),MATCH(orders!J$1,products!$A$1:$G$1,0))</f>
        <v>D</v>
      </c>
      <c r="K375" s="6">
        <f>INDEX(products!$A$1:$G$49,MATCH(orders!$D375,products!$A$1:$A$49,0),MATCH(orders!K$1,products!$A$1:$G$1,0))</f>
        <v>0.5</v>
      </c>
      <c r="L375" s="7">
        <f>INDEX(products!$A$1:$G$49,MATCH(orders!$D375,products!$A$1:$A$49,0),MATCH(orders!L$1,products!$A$1:$G$1,0))</f>
        <v>5.97</v>
      </c>
      <c r="M375" s="7">
        <f t="shared" si="5"/>
        <v>17.91</v>
      </c>
      <c r="N375" s="4" t="str" cm="1">
        <f t="array" ref="N375">_xlfn.IFS(I375="Rob","Robusta",I375="Exc","Excelsa",I375="Ara","Arabica",I375="Lib","Liberica")</f>
        <v>Arabica</v>
      </c>
      <c r="O375" s="4" t="str" cm="1">
        <f t="array" ref="O375">_xlfn.IFS(J375="M","Medium",J375="L","Light",J375="D","Dark")</f>
        <v>Dark</v>
      </c>
      <c r="P375" s="4" t="str">
        <f>_xlfn.XLOOKUP(CoffeeOrderstable[[#This Row],[Customer ID]],customers!$A$1:$A$1001,customers!$I$1:$I$1001,,0)</f>
        <v>Yes</v>
      </c>
    </row>
    <row r="376" spans="1:16" x14ac:dyDescent="0.3">
      <c r="A376" s="3" t="s">
        <v>2597</v>
      </c>
      <c r="B376" s="5">
        <v>44125</v>
      </c>
      <c r="C376" s="3" t="s">
        <v>2598</v>
      </c>
      <c r="D376" s="4" t="s">
        <v>6161</v>
      </c>
      <c r="E376" s="3">
        <v>4</v>
      </c>
      <c r="F376" s="3" t="str">
        <f>_xlfn.XLOOKUP(C376,customers!$A$1:$A$1001,customers!$B$1:$B$1001,,0)</f>
        <v>Gothart Bamfield</v>
      </c>
      <c r="G376" s="3" t="str">
        <f>IF(_xlfn.XLOOKUP(C376,customers!$A$1:$A$1001,customers!$C$1:$C$1001,,0)=0,"", _xlfn.XLOOKUP(C376,customers!$A$1:$A$1001,customers!$C$1:$C$1001,,0))</f>
        <v>gbamfieldae@yellowpages.com</v>
      </c>
      <c r="H376" s="3" t="str">
        <f>_xlfn.XLOOKUP(C376,customers!$A$1:$A$1001,customers!$G$1:$G$1001,,0)</f>
        <v>United States</v>
      </c>
      <c r="I376" s="4" t="str">
        <f>INDEX(products!$A$1:$G$49,MATCH(orders!$D376,products!$A$1:$A$49,0),MATCH(orders!I$1,products!$A$1:$G$1,0))</f>
        <v>Lib</v>
      </c>
      <c r="J376" s="4" t="str">
        <f>INDEX(products!$A$1:$G$49,MATCH(orders!$D376,products!$A$1:$A$49,0),MATCH(orders!J$1,products!$A$1:$G$1,0))</f>
        <v>L</v>
      </c>
      <c r="K376" s="6">
        <f>INDEX(products!$A$1:$G$49,MATCH(orders!$D376,products!$A$1:$A$49,0),MATCH(orders!K$1,products!$A$1:$G$1,0))</f>
        <v>0.5</v>
      </c>
      <c r="L376" s="7">
        <f>INDEX(products!$A$1:$G$49,MATCH(orders!$D376,products!$A$1:$A$49,0),MATCH(orders!L$1,products!$A$1:$G$1,0))</f>
        <v>9.51</v>
      </c>
      <c r="M376" s="7">
        <f t="shared" si="5"/>
        <v>38.04</v>
      </c>
      <c r="N376" s="4" t="str" cm="1">
        <f t="array" ref="N376">_xlfn.IFS(I376="Rob","Robusta",I376="Exc","Excelsa",I376="Ara","Arabica",I376="Lib","Liberica")</f>
        <v>Liberica</v>
      </c>
      <c r="O376" s="4" t="str" cm="1">
        <f t="array" ref="O376">_xlfn.IFS(J376="M","Medium",J376="L","Light",J376="D","Dark")</f>
        <v>Light</v>
      </c>
      <c r="P376" s="4" t="str">
        <f>_xlfn.XLOOKUP(CoffeeOrderstable[[#This Row],[Customer ID]],customers!$A$1:$A$1001,customers!$I$1:$I$1001,,0)</f>
        <v>Yes</v>
      </c>
    </row>
    <row r="377" spans="1:16" x14ac:dyDescent="0.3">
      <c r="A377" s="3" t="s">
        <v>2603</v>
      </c>
      <c r="B377" s="5">
        <v>44120</v>
      </c>
      <c r="C377" s="3" t="s">
        <v>2604</v>
      </c>
      <c r="D377" s="4" t="s">
        <v>6152</v>
      </c>
      <c r="E377" s="3">
        <v>2</v>
      </c>
      <c r="F377" s="3" t="str">
        <f>_xlfn.XLOOKUP(C377,customers!$A$1:$A$1001,customers!$B$1:$B$1001,,0)</f>
        <v>Waylin Hollingdale</v>
      </c>
      <c r="G377" s="3" t="str">
        <f>IF(_xlfn.XLOOKUP(C377,customers!$A$1:$A$1001,customers!$C$1:$C$1001,,0)=0,"", _xlfn.XLOOKUP(C377,customers!$A$1:$A$1001,customers!$C$1:$C$1001,,0))</f>
        <v>whollingdaleaf@about.me</v>
      </c>
      <c r="H377" s="3" t="str">
        <f>_xlfn.XLOOKUP(C377,customers!$A$1:$A$1001,customers!$G$1:$G$1001,,0)</f>
        <v>United States</v>
      </c>
      <c r="I377" s="4" t="str">
        <f>INDEX(products!$A$1:$G$49,MATCH(orders!$D377,products!$A$1:$A$49,0),MATCH(orders!I$1,products!$A$1:$G$1,0))</f>
        <v>Ara</v>
      </c>
      <c r="J377" s="4" t="str">
        <f>INDEX(products!$A$1:$G$49,MATCH(orders!$D377,products!$A$1:$A$49,0),MATCH(orders!J$1,products!$A$1:$G$1,0))</f>
        <v>M</v>
      </c>
      <c r="K377" s="6">
        <f>INDEX(products!$A$1:$G$49,MATCH(orders!$D377,products!$A$1:$A$49,0),MATCH(orders!K$1,products!$A$1:$G$1,0))</f>
        <v>0.2</v>
      </c>
      <c r="L377" s="7">
        <f>INDEX(products!$A$1:$G$49,MATCH(orders!$D377,products!$A$1:$A$49,0),MATCH(orders!L$1,products!$A$1:$G$1,0))</f>
        <v>3.375</v>
      </c>
      <c r="M377" s="7">
        <f t="shared" si="5"/>
        <v>6.75</v>
      </c>
      <c r="N377" s="4" t="str" cm="1">
        <f t="array" ref="N377">_xlfn.IFS(I377="Rob","Robusta",I377="Exc","Excelsa",I377="Ara","Arabica",I377="Lib","Liberica")</f>
        <v>Arabica</v>
      </c>
      <c r="O377" s="4" t="str" cm="1">
        <f t="array" ref="O377">_xlfn.IFS(J377="M","Medium",J377="L","Light",J377="D","Dark")</f>
        <v>Medium</v>
      </c>
      <c r="P377" s="4" t="str">
        <f>_xlfn.XLOOKUP(CoffeeOrderstable[[#This Row],[Customer ID]],customers!$A$1:$A$1001,customers!$I$1:$I$1001,,0)</f>
        <v>Yes</v>
      </c>
    </row>
    <row r="378" spans="1:16" x14ac:dyDescent="0.3">
      <c r="A378" s="3" t="s">
        <v>2609</v>
      </c>
      <c r="B378" s="5">
        <v>44097</v>
      </c>
      <c r="C378" s="3" t="s">
        <v>2610</v>
      </c>
      <c r="D378" s="4" t="s">
        <v>6146</v>
      </c>
      <c r="E378" s="3">
        <v>1</v>
      </c>
      <c r="F378" s="3" t="str">
        <f>_xlfn.XLOOKUP(C378,customers!$A$1:$A$1001,customers!$B$1:$B$1001,,0)</f>
        <v>Judd De Leek</v>
      </c>
      <c r="G378" s="3" t="str">
        <f>IF(_xlfn.XLOOKUP(C378,customers!$A$1:$A$1001,customers!$C$1:$C$1001,,0)=0,"", _xlfn.XLOOKUP(C378,customers!$A$1:$A$1001,customers!$C$1:$C$1001,,0))</f>
        <v>jdeag@xrea.com</v>
      </c>
      <c r="H378" s="3" t="str">
        <f>_xlfn.XLOOKUP(C378,customers!$A$1:$A$1001,customers!$G$1:$G$1001,,0)</f>
        <v>United States</v>
      </c>
      <c r="I378" s="4" t="str">
        <f>INDEX(products!$A$1:$G$49,MATCH(orders!$D378,products!$A$1:$A$49,0),MATCH(orders!I$1,products!$A$1:$G$1,0))</f>
        <v>Rob</v>
      </c>
      <c r="J378" s="4" t="str">
        <f>INDEX(products!$A$1:$G$49,MATCH(orders!$D378,products!$A$1:$A$49,0),MATCH(orders!J$1,products!$A$1:$G$1,0))</f>
        <v>M</v>
      </c>
      <c r="K378" s="6">
        <f>INDEX(products!$A$1:$G$49,MATCH(orders!$D378,products!$A$1:$A$49,0),MATCH(orders!K$1,products!$A$1:$G$1,0))</f>
        <v>0.5</v>
      </c>
      <c r="L378" s="7">
        <f>INDEX(products!$A$1:$G$49,MATCH(orders!$D378,products!$A$1:$A$49,0),MATCH(orders!L$1,products!$A$1:$G$1,0))</f>
        <v>5.97</v>
      </c>
      <c r="M378" s="7">
        <f t="shared" si="5"/>
        <v>5.97</v>
      </c>
      <c r="N378" s="4" t="str" cm="1">
        <f t="array" ref="N378">_xlfn.IFS(I378="Rob","Robusta",I378="Exc","Excelsa",I378="Ara","Arabica",I378="Lib","Liberica")</f>
        <v>Robusta</v>
      </c>
      <c r="O378" s="4" t="str" cm="1">
        <f t="array" ref="O378">_xlfn.IFS(J378="M","Medium",J378="L","Light",J378="D","Dark")</f>
        <v>Medium</v>
      </c>
      <c r="P378" s="4" t="str">
        <f>_xlfn.XLOOKUP(CoffeeOrderstable[[#This Row],[Customer ID]],customers!$A$1:$A$1001,customers!$I$1:$I$1001,,0)</f>
        <v>Yes</v>
      </c>
    </row>
    <row r="379" spans="1:16" x14ac:dyDescent="0.3">
      <c r="A379" s="3" t="s">
        <v>2615</v>
      </c>
      <c r="B379" s="5">
        <v>43532</v>
      </c>
      <c r="C379" s="3" t="s">
        <v>2616</v>
      </c>
      <c r="D379" s="4" t="s">
        <v>6163</v>
      </c>
      <c r="E379" s="3">
        <v>3</v>
      </c>
      <c r="F379" s="3" t="str">
        <f>_xlfn.XLOOKUP(C379,customers!$A$1:$A$1001,customers!$B$1:$B$1001,,0)</f>
        <v>Vanya Skullet</v>
      </c>
      <c r="G379" s="3" t="str">
        <f>IF(_xlfn.XLOOKUP(C379,customers!$A$1:$A$1001,customers!$C$1:$C$1001,,0)=0,"", _xlfn.XLOOKUP(C379,customers!$A$1:$A$1001,customers!$C$1:$C$1001,,0))</f>
        <v>vskulletah@tinyurl.com</v>
      </c>
      <c r="H379" s="3" t="str">
        <f>_xlfn.XLOOKUP(C379,customers!$A$1:$A$1001,customers!$G$1:$G$1001,,0)</f>
        <v>Ireland</v>
      </c>
      <c r="I379" s="4" t="str">
        <f>INDEX(products!$A$1:$G$49,MATCH(orders!$D379,products!$A$1:$A$49,0),MATCH(orders!I$1,products!$A$1:$G$1,0))</f>
        <v>Rob</v>
      </c>
      <c r="J379" s="4" t="str">
        <f>INDEX(products!$A$1:$G$49,MATCH(orders!$D379,products!$A$1:$A$49,0),MATCH(orders!J$1,products!$A$1:$G$1,0))</f>
        <v>D</v>
      </c>
      <c r="K379" s="6">
        <f>INDEX(products!$A$1:$G$49,MATCH(orders!$D379,products!$A$1:$A$49,0),MATCH(orders!K$1,products!$A$1:$G$1,0))</f>
        <v>0.2</v>
      </c>
      <c r="L379" s="7">
        <f>INDEX(products!$A$1:$G$49,MATCH(orders!$D379,products!$A$1:$A$49,0),MATCH(orders!L$1,products!$A$1:$G$1,0))</f>
        <v>2.6849999999999996</v>
      </c>
      <c r="M379" s="7">
        <f t="shared" si="5"/>
        <v>8.0549999999999997</v>
      </c>
      <c r="N379" s="4" t="str" cm="1">
        <f t="array" ref="N379">_xlfn.IFS(I379="Rob","Robusta",I379="Exc","Excelsa",I379="Ara","Arabica",I379="Lib","Liberica")</f>
        <v>Robusta</v>
      </c>
      <c r="O379" s="4" t="str" cm="1">
        <f t="array" ref="O379">_xlfn.IFS(J379="M","Medium",J379="L","Light",J379="D","Dark")</f>
        <v>Dark</v>
      </c>
      <c r="P379" s="4" t="str">
        <f>_xlfn.XLOOKUP(CoffeeOrderstable[[#This Row],[Customer ID]],customers!$A$1:$A$1001,customers!$I$1:$I$1001,,0)</f>
        <v>No</v>
      </c>
    </row>
    <row r="380" spans="1:16" x14ac:dyDescent="0.3">
      <c r="A380" s="3" t="s">
        <v>2621</v>
      </c>
      <c r="B380" s="5">
        <v>44377</v>
      </c>
      <c r="C380" s="3" t="s">
        <v>2622</v>
      </c>
      <c r="D380" s="4" t="s">
        <v>6180</v>
      </c>
      <c r="E380" s="3">
        <v>3</v>
      </c>
      <c r="F380" s="3" t="str">
        <f>_xlfn.XLOOKUP(C380,customers!$A$1:$A$1001,customers!$B$1:$B$1001,,0)</f>
        <v>Jany Rudeforth</v>
      </c>
      <c r="G380" s="3" t="str">
        <f>IF(_xlfn.XLOOKUP(C380,customers!$A$1:$A$1001,customers!$C$1:$C$1001,,0)=0,"", _xlfn.XLOOKUP(C380,customers!$A$1:$A$1001,customers!$C$1:$C$1001,,0))</f>
        <v>jrudeforthai@wunderground.com</v>
      </c>
      <c r="H380" s="3" t="str">
        <f>_xlfn.XLOOKUP(C380,customers!$A$1:$A$1001,customers!$G$1:$G$1001,,0)</f>
        <v>Ireland</v>
      </c>
      <c r="I380" s="4" t="str">
        <f>INDEX(products!$A$1:$G$49,MATCH(orders!$D380,products!$A$1:$A$49,0),MATCH(orders!I$1,products!$A$1:$G$1,0))</f>
        <v>Ara</v>
      </c>
      <c r="J380" s="4" t="str">
        <f>INDEX(products!$A$1:$G$49,MATCH(orders!$D380,products!$A$1:$A$49,0),MATCH(orders!J$1,products!$A$1:$G$1,0))</f>
        <v>L</v>
      </c>
      <c r="K380" s="6">
        <f>INDEX(products!$A$1:$G$49,MATCH(orders!$D380,products!$A$1:$A$49,0),MATCH(orders!K$1,products!$A$1:$G$1,0))</f>
        <v>0.5</v>
      </c>
      <c r="L380" s="7">
        <f>INDEX(products!$A$1:$G$49,MATCH(orders!$D380,products!$A$1:$A$49,0),MATCH(orders!L$1,products!$A$1:$G$1,0))</f>
        <v>7.77</v>
      </c>
      <c r="M380" s="7">
        <f t="shared" si="5"/>
        <v>23.31</v>
      </c>
      <c r="N380" s="4" t="str" cm="1">
        <f t="array" ref="N380">_xlfn.IFS(I380="Rob","Robusta",I380="Exc","Excelsa",I380="Ara","Arabica",I380="Lib","Liberica")</f>
        <v>Arabica</v>
      </c>
      <c r="O380" s="4" t="str" cm="1">
        <f t="array" ref="O380">_xlfn.IFS(J380="M","Medium",J380="L","Light",J380="D","Dark")</f>
        <v>Light</v>
      </c>
      <c r="P380" s="4" t="str">
        <f>_xlfn.XLOOKUP(CoffeeOrderstable[[#This Row],[Customer ID]],customers!$A$1:$A$1001,customers!$I$1:$I$1001,,0)</f>
        <v>Yes</v>
      </c>
    </row>
    <row r="381" spans="1:16" x14ac:dyDescent="0.3">
      <c r="A381" s="3" t="s">
        <v>2627</v>
      </c>
      <c r="B381" s="5">
        <v>43690</v>
      </c>
      <c r="C381" s="3" t="s">
        <v>2628</v>
      </c>
      <c r="D381" s="4" t="s">
        <v>6173</v>
      </c>
      <c r="E381" s="3">
        <v>6</v>
      </c>
      <c r="F381" s="3" t="str">
        <f>_xlfn.XLOOKUP(C381,customers!$A$1:$A$1001,customers!$B$1:$B$1001,,0)</f>
        <v>Ashbey Tomaszewski</v>
      </c>
      <c r="G381" s="3" t="str">
        <f>IF(_xlfn.XLOOKUP(C381,customers!$A$1:$A$1001,customers!$C$1:$C$1001,,0)=0,"", _xlfn.XLOOKUP(C381,customers!$A$1:$A$1001,customers!$C$1:$C$1001,,0))</f>
        <v>atomaszewskiaj@answers.com</v>
      </c>
      <c r="H381" s="3" t="str">
        <f>_xlfn.XLOOKUP(C381,customers!$A$1:$A$1001,customers!$G$1:$G$1001,,0)</f>
        <v>United Kingdom</v>
      </c>
      <c r="I381" s="4" t="str">
        <f>INDEX(products!$A$1:$G$49,MATCH(orders!$D381,products!$A$1:$A$49,0),MATCH(orders!I$1,products!$A$1:$G$1,0))</f>
        <v>Rob</v>
      </c>
      <c r="J381" s="4" t="str">
        <f>INDEX(products!$A$1:$G$49,MATCH(orders!$D381,products!$A$1:$A$49,0),MATCH(orders!J$1,products!$A$1:$G$1,0))</f>
        <v>L</v>
      </c>
      <c r="K381" s="6">
        <f>INDEX(products!$A$1:$G$49,MATCH(orders!$D381,products!$A$1:$A$49,0),MATCH(orders!K$1,products!$A$1:$G$1,0))</f>
        <v>0.5</v>
      </c>
      <c r="L381" s="7">
        <f>INDEX(products!$A$1:$G$49,MATCH(orders!$D381,products!$A$1:$A$49,0),MATCH(orders!L$1,products!$A$1:$G$1,0))</f>
        <v>7.169999999999999</v>
      </c>
      <c r="M381" s="7">
        <f t="shared" si="5"/>
        <v>43.019999999999996</v>
      </c>
      <c r="N381" s="4" t="str" cm="1">
        <f t="array" ref="N381">_xlfn.IFS(I381="Rob","Robusta",I381="Exc","Excelsa",I381="Ara","Arabica",I381="Lib","Liberica")</f>
        <v>Robusta</v>
      </c>
      <c r="O381" s="4" t="str" cm="1">
        <f t="array" ref="O381">_xlfn.IFS(J381="M","Medium",J381="L","Light",J381="D","Dark")</f>
        <v>Light</v>
      </c>
      <c r="P381" s="4" t="str">
        <f>_xlfn.XLOOKUP(CoffeeOrderstable[[#This Row],[Customer ID]],customers!$A$1:$A$1001,customers!$I$1:$I$1001,,0)</f>
        <v>Yes</v>
      </c>
    </row>
    <row r="382" spans="1:16" x14ac:dyDescent="0.3">
      <c r="A382" s="3" t="s">
        <v>2632</v>
      </c>
      <c r="B382" s="5">
        <v>44249</v>
      </c>
      <c r="C382" s="3" t="s">
        <v>2331</v>
      </c>
      <c r="D382" s="4" t="s">
        <v>6169</v>
      </c>
      <c r="E382" s="3">
        <v>3</v>
      </c>
      <c r="F382" s="3" t="str">
        <f>_xlfn.XLOOKUP(C382,customers!$A$1:$A$1001,customers!$B$1:$B$1001,,0)</f>
        <v>Flynn Antony</v>
      </c>
      <c r="G382" s="3" t="str">
        <f>IF(_xlfn.XLOOKUP(C382,customers!$A$1:$A$1001,customers!$C$1:$C$1001,,0)=0,"", _xlfn.XLOOKUP(C382,customers!$A$1:$A$1001,customers!$C$1:$C$1001,,0))</f>
        <v/>
      </c>
      <c r="H382" s="3" t="str">
        <f>_xlfn.XLOOKUP(C382,customers!$A$1:$A$1001,customers!$G$1:$G$1001,,0)</f>
        <v>United States</v>
      </c>
      <c r="I382" s="4" t="str">
        <f>INDEX(products!$A$1:$G$49,MATCH(orders!$D382,products!$A$1:$A$49,0),MATCH(orders!I$1,products!$A$1:$G$1,0))</f>
        <v>Lib</v>
      </c>
      <c r="J382" s="4" t="str">
        <f>INDEX(products!$A$1:$G$49,MATCH(orders!$D382,products!$A$1:$A$49,0),MATCH(orders!J$1,products!$A$1:$G$1,0))</f>
        <v>D</v>
      </c>
      <c r="K382" s="6">
        <f>INDEX(products!$A$1:$G$49,MATCH(orders!$D382,products!$A$1:$A$49,0),MATCH(orders!K$1,products!$A$1:$G$1,0))</f>
        <v>0.5</v>
      </c>
      <c r="L382" s="7">
        <f>INDEX(products!$A$1:$G$49,MATCH(orders!$D382,products!$A$1:$A$49,0),MATCH(orders!L$1,products!$A$1:$G$1,0))</f>
        <v>7.77</v>
      </c>
      <c r="M382" s="7">
        <f t="shared" si="5"/>
        <v>23.31</v>
      </c>
      <c r="N382" s="4" t="str" cm="1">
        <f t="array" ref="N382">_xlfn.IFS(I382="Rob","Robusta",I382="Exc","Excelsa",I382="Ara","Arabica",I382="Lib","Liberica")</f>
        <v>Liberica</v>
      </c>
      <c r="O382" s="4" t="str" cm="1">
        <f t="array" ref="O382">_xlfn.IFS(J382="M","Medium",J382="L","Light",J382="D","Dark")</f>
        <v>Dark</v>
      </c>
      <c r="P382" s="4" t="str">
        <f>_xlfn.XLOOKUP(CoffeeOrderstable[[#This Row],[Customer ID]],customers!$A$1:$A$1001,customers!$I$1:$I$1001,,0)</f>
        <v>No</v>
      </c>
    </row>
    <row r="383" spans="1:16" x14ac:dyDescent="0.3">
      <c r="A383" s="3" t="s">
        <v>2638</v>
      </c>
      <c r="B383" s="5">
        <v>44646</v>
      </c>
      <c r="C383" s="3" t="s">
        <v>2639</v>
      </c>
      <c r="D383" s="4" t="s">
        <v>6154</v>
      </c>
      <c r="E383" s="3">
        <v>5</v>
      </c>
      <c r="F383" s="3" t="str">
        <f>_xlfn.XLOOKUP(C383,customers!$A$1:$A$1001,customers!$B$1:$B$1001,,0)</f>
        <v>Pren Bess</v>
      </c>
      <c r="G383" s="3" t="str">
        <f>IF(_xlfn.XLOOKUP(C383,customers!$A$1:$A$1001,customers!$C$1:$C$1001,,0)=0,"", _xlfn.XLOOKUP(C383,customers!$A$1:$A$1001,customers!$C$1:$C$1001,,0))</f>
        <v>pbessal@qq.com</v>
      </c>
      <c r="H383" s="3" t="str">
        <f>_xlfn.XLOOKUP(C383,customers!$A$1:$A$1001,customers!$G$1:$G$1001,,0)</f>
        <v>United States</v>
      </c>
      <c r="I383" s="4" t="str">
        <f>INDEX(products!$A$1:$G$49,MATCH(orders!$D383,products!$A$1:$A$49,0),MATCH(orders!I$1,products!$A$1:$G$1,0))</f>
        <v>Ara</v>
      </c>
      <c r="J383" s="4" t="str">
        <f>INDEX(products!$A$1:$G$49,MATCH(orders!$D383,products!$A$1:$A$49,0),MATCH(orders!J$1,products!$A$1:$G$1,0))</f>
        <v>D</v>
      </c>
      <c r="K383" s="6">
        <f>INDEX(products!$A$1:$G$49,MATCH(orders!$D383,products!$A$1:$A$49,0),MATCH(orders!K$1,products!$A$1:$G$1,0))</f>
        <v>0.2</v>
      </c>
      <c r="L383" s="7">
        <f>INDEX(products!$A$1:$G$49,MATCH(orders!$D383,products!$A$1:$A$49,0),MATCH(orders!L$1,products!$A$1:$G$1,0))</f>
        <v>2.9849999999999999</v>
      </c>
      <c r="M383" s="7">
        <f t="shared" si="5"/>
        <v>14.924999999999999</v>
      </c>
      <c r="N383" s="4" t="str" cm="1">
        <f t="array" ref="N383">_xlfn.IFS(I383="Rob","Robusta",I383="Exc","Excelsa",I383="Ara","Arabica",I383="Lib","Liberica")</f>
        <v>Arabica</v>
      </c>
      <c r="O383" s="4" t="str" cm="1">
        <f t="array" ref="O383">_xlfn.IFS(J383="M","Medium",J383="L","Light",J383="D","Dark")</f>
        <v>Dark</v>
      </c>
      <c r="P383" s="4" t="str">
        <f>_xlfn.XLOOKUP(CoffeeOrderstable[[#This Row],[Customer ID]],customers!$A$1:$A$1001,customers!$I$1:$I$1001,,0)</f>
        <v>Yes</v>
      </c>
    </row>
    <row r="384" spans="1:16" x14ac:dyDescent="0.3">
      <c r="A384" s="3" t="s">
        <v>2644</v>
      </c>
      <c r="B384" s="5">
        <v>43840</v>
      </c>
      <c r="C384" s="3" t="s">
        <v>2645</v>
      </c>
      <c r="D384" s="4" t="s">
        <v>6144</v>
      </c>
      <c r="E384" s="3">
        <v>3</v>
      </c>
      <c r="F384" s="3" t="str">
        <f>_xlfn.XLOOKUP(C384,customers!$A$1:$A$1001,customers!$B$1:$B$1001,,0)</f>
        <v>Elka Windress</v>
      </c>
      <c r="G384" s="3" t="str">
        <f>IF(_xlfn.XLOOKUP(C384,customers!$A$1:$A$1001,customers!$C$1:$C$1001,,0)=0,"", _xlfn.XLOOKUP(C384,customers!$A$1:$A$1001,customers!$C$1:$C$1001,,0))</f>
        <v>ewindressam@marketwatch.com</v>
      </c>
      <c r="H384" s="3" t="str">
        <f>_xlfn.XLOOKUP(C384,customers!$A$1:$A$1001,customers!$G$1:$G$1001,,0)</f>
        <v>United States</v>
      </c>
      <c r="I384" s="4" t="str">
        <f>INDEX(products!$A$1:$G$49,MATCH(orders!$D384,products!$A$1:$A$49,0),MATCH(orders!I$1,products!$A$1:$G$1,0))</f>
        <v>Exc</v>
      </c>
      <c r="J384" s="4" t="str">
        <f>INDEX(products!$A$1:$G$49,MATCH(orders!$D384,products!$A$1:$A$49,0),MATCH(orders!J$1,products!$A$1:$G$1,0))</f>
        <v>D</v>
      </c>
      <c r="K384" s="6">
        <f>INDEX(products!$A$1:$G$49,MATCH(orders!$D384,products!$A$1:$A$49,0),MATCH(orders!K$1,products!$A$1:$G$1,0))</f>
        <v>0.5</v>
      </c>
      <c r="L384" s="7">
        <f>INDEX(products!$A$1:$G$49,MATCH(orders!$D384,products!$A$1:$A$49,0),MATCH(orders!L$1,products!$A$1:$G$1,0))</f>
        <v>7.29</v>
      </c>
      <c r="M384" s="7">
        <f t="shared" si="5"/>
        <v>21.87</v>
      </c>
      <c r="N384" s="4" t="str" cm="1">
        <f t="array" ref="N384">_xlfn.IFS(I384="Rob","Robusta",I384="Exc","Excelsa",I384="Ara","Arabica",I384="Lib","Liberica")</f>
        <v>Excelsa</v>
      </c>
      <c r="O384" s="4" t="str" cm="1">
        <f t="array" ref="O384">_xlfn.IFS(J384="M","Medium",J384="L","Light",J384="D","Dark")</f>
        <v>Dark</v>
      </c>
      <c r="P384" s="4" t="str">
        <f>_xlfn.XLOOKUP(CoffeeOrderstable[[#This Row],[Customer ID]],customers!$A$1:$A$1001,customers!$I$1:$I$1001,,0)</f>
        <v>No</v>
      </c>
    </row>
    <row r="385" spans="1:16" x14ac:dyDescent="0.3">
      <c r="A385" s="3" t="s">
        <v>2650</v>
      </c>
      <c r="B385" s="5">
        <v>43586</v>
      </c>
      <c r="C385" s="3" t="s">
        <v>2651</v>
      </c>
      <c r="D385" s="4" t="s">
        <v>6176</v>
      </c>
      <c r="E385" s="3">
        <v>6</v>
      </c>
      <c r="F385" s="3" t="str">
        <f>_xlfn.XLOOKUP(C385,customers!$A$1:$A$1001,customers!$B$1:$B$1001,,0)</f>
        <v>Marty Kidstoun</v>
      </c>
      <c r="G385" s="3" t="str">
        <f>IF(_xlfn.XLOOKUP(C385,customers!$A$1:$A$1001,customers!$C$1:$C$1001,,0)=0,"", _xlfn.XLOOKUP(C385,customers!$A$1:$A$1001,customers!$C$1:$C$1001,,0))</f>
        <v/>
      </c>
      <c r="H385" s="3" t="str">
        <f>_xlfn.XLOOKUP(C385,customers!$A$1:$A$1001,customers!$G$1:$G$1001,,0)</f>
        <v>United States</v>
      </c>
      <c r="I385" s="4" t="str">
        <f>INDEX(products!$A$1:$G$49,MATCH(orders!$D385,products!$A$1:$A$49,0),MATCH(orders!I$1,products!$A$1:$G$1,0))</f>
        <v>Exc</v>
      </c>
      <c r="J385" s="4" t="str">
        <f>INDEX(products!$A$1:$G$49,MATCH(orders!$D385,products!$A$1:$A$49,0),MATCH(orders!J$1,products!$A$1:$G$1,0))</f>
        <v>L</v>
      </c>
      <c r="K385" s="6">
        <f>INDEX(products!$A$1:$G$49,MATCH(orders!$D385,products!$A$1:$A$49,0),MATCH(orders!K$1,products!$A$1:$G$1,0))</f>
        <v>0.5</v>
      </c>
      <c r="L385" s="7">
        <f>INDEX(products!$A$1:$G$49,MATCH(orders!$D385,products!$A$1:$A$49,0),MATCH(orders!L$1,products!$A$1:$G$1,0))</f>
        <v>8.91</v>
      </c>
      <c r="M385" s="7">
        <f t="shared" si="5"/>
        <v>53.46</v>
      </c>
      <c r="N385" s="4" t="str" cm="1">
        <f t="array" ref="N385">_xlfn.IFS(I385="Rob","Robusta",I385="Exc","Excelsa",I385="Ara","Arabica",I385="Lib","Liberica")</f>
        <v>Excelsa</v>
      </c>
      <c r="O385" s="4" t="str" cm="1">
        <f t="array" ref="O385">_xlfn.IFS(J385="M","Medium",J385="L","Light",J385="D","Dark")</f>
        <v>Light</v>
      </c>
      <c r="P385" s="4" t="str">
        <f>_xlfn.XLOOKUP(CoffeeOrderstable[[#This Row],[Customer ID]],customers!$A$1:$A$1001,customers!$I$1:$I$1001,,0)</f>
        <v>Yes</v>
      </c>
    </row>
    <row r="386" spans="1:16" x14ac:dyDescent="0.3">
      <c r="A386" s="3" t="s">
        <v>2655</v>
      </c>
      <c r="B386" s="5">
        <v>43870</v>
      </c>
      <c r="C386" s="3" t="s">
        <v>2656</v>
      </c>
      <c r="D386" s="4" t="s">
        <v>6182</v>
      </c>
      <c r="E386" s="3">
        <v>4</v>
      </c>
      <c r="F386" s="3" t="str">
        <f>_xlfn.XLOOKUP(C386,customers!$A$1:$A$1001,customers!$B$1:$B$1001,,0)</f>
        <v>Nickey Dimbleby</v>
      </c>
      <c r="G386" s="3" t="str">
        <f>IF(_xlfn.XLOOKUP(C386,customers!$A$1:$A$1001,customers!$C$1:$C$1001,,0)=0,"", _xlfn.XLOOKUP(C386,customers!$A$1:$A$1001,customers!$C$1:$C$1001,,0))</f>
        <v/>
      </c>
      <c r="H386" s="3" t="str">
        <f>_xlfn.XLOOKUP(C386,customers!$A$1:$A$1001,customers!$G$1:$G$1001,,0)</f>
        <v>United States</v>
      </c>
      <c r="I386" s="4" t="str">
        <f>INDEX(products!$A$1:$G$49,MATCH(orders!$D386,products!$A$1:$A$49,0),MATCH(orders!I$1,products!$A$1:$G$1,0))</f>
        <v>Ara</v>
      </c>
      <c r="J386" s="4" t="str">
        <f>INDEX(products!$A$1:$G$49,MATCH(orders!$D386,products!$A$1:$A$49,0),MATCH(orders!J$1,products!$A$1:$G$1,0))</f>
        <v>L</v>
      </c>
      <c r="K386" s="6">
        <f>INDEX(products!$A$1:$G$49,MATCH(orders!$D386,products!$A$1:$A$49,0),MATCH(orders!K$1,products!$A$1:$G$1,0))</f>
        <v>2.5</v>
      </c>
      <c r="L386" s="7">
        <f>INDEX(products!$A$1:$G$49,MATCH(orders!$D386,products!$A$1:$A$49,0),MATCH(orders!L$1,products!$A$1:$G$1,0))</f>
        <v>29.784999999999997</v>
      </c>
      <c r="M386" s="7">
        <f t="shared" si="5"/>
        <v>119.13999999999999</v>
      </c>
      <c r="N386" s="4" t="str" cm="1">
        <f t="array" ref="N386">_xlfn.IFS(I386="Rob","Robusta",I386="Exc","Excelsa",I386="Ara","Arabica",I386="Lib","Liberica")</f>
        <v>Arabica</v>
      </c>
      <c r="O386" s="4" t="str" cm="1">
        <f t="array" ref="O386">_xlfn.IFS(J386="M","Medium",J386="L","Light",J386="D","Dark")</f>
        <v>Light</v>
      </c>
      <c r="P386" s="4" t="str">
        <f>_xlfn.XLOOKUP(CoffeeOrderstable[[#This Row],[Customer ID]],customers!$A$1:$A$1001,customers!$I$1:$I$1001,,0)</f>
        <v>No</v>
      </c>
    </row>
    <row r="387" spans="1:16" x14ac:dyDescent="0.3">
      <c r="A387" s="3" t="s">
        <v>2660</v>
      </c>
      <c r="B387" s="5">
        <v>44559</v>
      </c>
      <c r="C387" s="3" t="s">
        <v>2661</v>
      </c>
      <c r="D387" s="4" t="s">
        <v>6160</v>
      </c>
      <c r="E387" s="3">
        <v>5</v>
      </c>
      <c r="F387" s="3" t="str">
        <f>_xlfn.XLOOKUP(C387,customers!$A$1:$A$1001,customers!$B$1:$B$1001,,0)</f>
        <v>Virgil Baumadier</v>
      </c>
      <c r="G387" s="3" t="str">
        <f>IF(_xlfn.XLOOKUP(C387,customers!$A$1:$A$1001,customers!$C$1:$C$1001,,0)=0,"", _xlfn.XLOOKUP(C387,customers!$A$1:$A$1001,customers!$C$1:$C$1001,,0))</f>
        <v>vbaumadierap@google.cn</v>
      </c>
      <c r="H387" s="3" t="str">
        <f>_xlfn.XLOOKUP(C387,customers!$A$1:$A$1001,customers!$G$1:$G$1001,,0)</f>
        <v>United States</v>
      </c>
      <c r="I387" s="4" t="str">
        <f>INDEX(products!$A$1:$G$49,MATCH(orders!$D387,products!$A$1:$A$49,0),MATCH(orders!I$1,products!$A$1:$G$1,0))</f>
        <v>Lib</v>
      </c>
      <c r="J387" s="4" t="str">
        <f>INDEX(products!$A$1:$G$49,MATCH(orders!$D387,products!$A$1:$A$49,0),MATCH(orders!J$1,products!$A$1:$G$1,0))</f>
        <v>M</v>
      </c>
      <c r="K387" s="6">
        <f>INDEX(products!$A$1:$G$49,MATCH(orders!$D387,products!$A$1:$A$49,0),MATCH(orders!K$1,products!$A$1:$G$1,0))</f>
        <v>0.5</v>
      </c>
      <c r="L387" s="7">
        <f>INDEX(products!$A$1:$G$49,MATCH(orders!$D387,products!$A$1:$A$49,0),MATCH(orders!L$1,products!$A$1:$G$1,0))</f>
        <v>8.73</v>
      </c>
      <c r="M387" s="7">
        <f t="shared" ref="M387:M450" si="6">L387*E387</f>
        <v>43.650000000000006</v>
      </c>
      <c r="N387" s="4" t="str" cm="1">
        <f t="array" ref="N387">_xlfn.IFS(I387="Rob","Robusta",I387="Exc","Excelsa",I387="Ara","Arabica",I387="Lib","Liberica")</f>
        <v>Liberica</v>
      </c>
      <c r="O387" s="4" t="str" cm="1">
        <f t="array" ref="O387">_xlfn.IFS(J387="M","Medium",J387="L","Light",J387="D","Dark")</f>
        <v>Medium</v>
      </c>
      <c r="P387" s="4" t="str">
        <f>_xlfn.XLOOKUP(CoffeeOrderstable[[#This Row],[Customer ID]],customers!$A$1:$A$1001,customers!$I$1:$I$1001,,0)</f>
        <v>Yes</v>
      </c>
    </row>
    <row r="388" spans="1:16" x14ac:dyDescent="0.3">
      <c r="A388" s="3" t="s">
        <v>2666</v>
      </c>
      <c r="B388" s="5">
        <v>44083</v>
      </c>
      <c r="C388" s="3" t="s">
        <v>2667</v>
      </c>
      <c r="D388" s="4" t="s">
        <v>6154</v>
      </c>
      <c r="E388" s="3">
        <v>6</v>
      </c>
      <c r="F388" s="3" t="str">
        <f>_xlfn.XLOOKUP(C388,customers!$A$1:$A$1001,customers!$B$1:$B$1001,,0)</f>
        <v>Lenore Messenbird</v>
      </c>
      <c r="G388" s="3" t="str">
        <f>IF(_xlfn.XLOOKUP(C388,customers!$A$1:$A$1001,customers!$C$1:$C$1001,,0)=0,"", _xlfn.XLOOKUP(C388,customers!$A$1:$A$1001,customers!$C$1:$C$1001,,0))</f>
        <v/>
      </c>
      <c r="H388" s="3" t="str">
        <f>_xlfn.XLOOKUP(C388,customers!$A$1:$A$1001,customers!$G$1:$G$1001,,0)</f>
        <v>United States</v>
      </c>
      <c r="I388" s="4" t="str">
        <f>INDEX(products!$A$1:$G$49,MATCH(orders!$D388,products!$A$1:$A$49,0),MATCH(orders!I$1,products!$A$1:$G$1,0))</f>
        <v>Ara</v>
      </c>
      <c r="J388" s="4" t="str">
        <f>INDEX(products!$A$1:$G$49,MATCH(orders!$D388,products!$A$1:$A$49,0),MATCH(orders!J$1,products!$A$1:$G$1,0))</f>
        <v>D</v>
      </c>
      <c r="K388" s="6">
        <f>INDEX(products!$A$1:$G$49,MATCH(orders!$D388,products!$A$1:$A$49,0),MATCH(orders!K$1,products!$A$1:$G$1,0))</f>
        <v>0.2</v>
      </c>
      <c r="L388" s="7">
        <f>INDEX(products!$A$1:$G$49,MATCH(orders!$D388,products!$A$1:$A$49,0),MATCH(orders!L$1,products!$A$1:$G$1,0))</f>
        <v>2.9849999999999999</v>
      </c>
      <c r="M388" s="7">
        <f t="shared" si="6"/>
        <v>17.91</v>
      </c>
      <c r="N388" s="4" t="str" cm="1">
        <f t="array" ref="N388">_xlfn.IFS(I388="Rob","Robusta",I388="Exc","Excelsa",I388="Ara","Arabica",I388="Lib","Liberica")</f>
        <v>Arabica</v>
      </c>
      <c r="O388" s="4" t="str" cm="1">
        <f t="array" ref="O388">_xlfn.IFS(J388="M","Medium",J388="L","Light",J388="D","Dark")</f>
        <v>Dark</v>
      </c>
      <c r="P388" s="4" t="str">
        <f>_xlfn.XLOOKUP(CoffeeOrderstable[[#This Row],[Customer ID]],customers!$A$1:$A$1001,customers!$I$1:$I$1001,,0)</f>
        <v>Yes</v>
      </c>
    </row>
    <row r="389" spans="1:16" x14ac:dyDescent="0.3">
      <c r="A389" s="3" t="s">
        <v>2671</v>
      </c>
      <c r="B389" s="5">
        <v>44455</v>
      </c>
      <c r="C389" s="3" t="s">
        <v>2672</v>
      </c>
      <c r="D389" s="4" t="s">
        <v>6171</v>
      </c>
      <c r="E389" s="3">
        <v>5</v>
      </c>
      <c r="F389" s="3" t="str">
        <f>_xlfn.XLOOKUP(C389,customers!$A$1:$A$1001,customers!$B$1:$B$1001,,0)</f>
        <v>Shirleen Welds</v>
      </c>
      <c r="G389" s="3" t="str">
        <f>IF(_xlfn.XLOOKUP(C389,customers!$A$1:$A$1001,customers!$C$1:$C$1001,,0)=0,"", _xlfn.XLOOKUP(C389,customers!$A$1:$A$1001,customers!$C$1:$C$1001,,0))</f>
        <v>sweldsar@wired.com</v>
      </c>
      <c r="H389" s="3" t="str">
        <f>_xlfn.XLOOKUP(C389,customers!$A$1:$A$1001,customers!$G$1:$G$1001,,0)</f>
        <v>United States</v>
      </c>
      <c r="I389" s="4" t="str">
        <f>INDEX(products!$A$1:$G$49,MATCH(orders!$D389,products!$A$1:$A$49,0),MATCH(orders!I$1,products!$A$1:$G$1,0))</f>
        <v>Exc</v>
      </c>
      <c r="J389" s="4" t="str">
        <f>INDEX(products!$A$1:$G$49,MATCH(orders!$D389,products!$A$1:$A$49,0),MATCH(orders!J$1,products!$A$1:$G$1,0))</f>
        <v>L</v>
      </c>
      <c r="K389" s="6">
        <f>INDEX(products!$A$1:$G$49,MATCH(orders!$D389,products!$A$1:$A$49,0),MATCH(orders!K$1,products!$A$1:$G$1,0))</f>
        <v>1</v>
      </c>
      <c r="L389" s="7">
        <f>INDEX(products!$A$1:$G$49,MATCH(orders!$D389,products!$A$1:$A$49,0),MATCH(orders!L$1,products!$A$1:$G$1,0))</f>
        <v>14.85</v>
      </c>
      <c r="M389" s="7">
        <f t="shared" si="6"/>
        <v>74.25</v>
      </c>
      <c r="N389" s="4" t="str" cm="1">
        <f t="array" ref="N389">_xlfn.IFS(I389="Rob","Robusta",I389="Exc","Excelsa",I389="Ara","Arabica",I389="Lib","Liberica")</f>
        <v>Excelsa</v>
      </c>
      <c r="O389" s="4" t="str" cm="1">
        <f t="array" ref="O389">_xlfn.IFS(J389="M","Medium",J389="L","Light",J389="D","Dark")</f>
        <v>Light</v>
      </c>
      <c r="P389" s="4" t="str">
        <f>_xlfn.XLOOKUP(CoffeeOrderstable[[#This Row],[Customer ID]],customers!$A$1:$A$1001,customers!$I$1:$I$1001,,0)</f>
        <v>Yes</v>
      </c>
    </row>
    <row r="390" spans="1:16" x14ac:dyDescent="0.3">
      <c r="A390" s="3" t="s">
        <v>2677</v>
      </c>
      <c r="B390" s="5">
        <v>44130</v>
      </c>
      <c r="C390" s="3" t="s">
        <v>2678</v>
      </c>
      <c r="D390" s="4" t="s">
        <v>6150</v>
      </c>
      <c r="E390" s="3">
        <v>3</v>
      </c>
      <c r="F390" s="3" t="str">
        <f>_xlfn.XLOOKUP(C390,customers!$A$1:$A$1001,customers!$B$1:$B$1001,,0)</f>
        <v>Maisie Sarvar</v>
      </c>
      <c r="G390" s="3" t="str">
        <f>IF(_xlfn.XLOOKUP(C390,customers!$A$1:$A$1001,customers!$C$1:$C$1001,,0)=0,"", _xlfn.XLOOKUP(C390,customers!$A$1:$A$1001,customers!$C$1:$C$1001,,0))</f>
        <v>msarvaras@artisteer.com</v>
      </c>
      <c r="H390" s="3" t="str">
        <f>_xlfn.XLOOKUP(C390,customers!$A$1:$A$1001,customers!$G$1:$G$1001,,0)</f>
        <v>United States</v>
      </c>
      <c r="I390" s="4" t="str">
        <f>INDEX(products!$A$1:$G$49,MATCH(orders!$D390,products!$A$1:$A$49,0),MATCH(orders!I$1,products!$A$1:$G$1,0))</f>
        <v>Lib</v>
      </c>
      <c r="J390" s="4" t="str">
        <f>INDEX(products!$A$1:$G$49,MATCH(orders!$D390,products!$A$1:$A$49,0),MATCH(orders!J$1,products!$A$1:$G$1,0))</f>
        <v>D</v>
      </c>
      <c r="K390" s="6">
        <f>INDEX(products!$A$1:$G$49,MATCH(orders!$D390,products!$A$1:$A$49,0),MATCH(orders!K$1,products!$A$1:$G$1,0))</f>
        <v>0.2</v>
      </c>
      <c r="L390" s="7">
        <f>INDEX(products!$A$1:$G$49,MATCH(orders!$D390,products!$A$1:$A$49,0),MATCH(orders!L$1,products!$A$1:$G$1,0))</f>
        <v>3.8849999999999998</v>
      </c>
      <c r="M390" s="7">
        <f t="shared" si="6"/>
        <v>11.654999999999999</v>
      </c>
      <c r="N390" s="4" t="str" cm="1">
        <f t="array" ref="N390">_xlfn.IFS(I390="Rob","Robusta",I390="Exc","Excelsa",I390="Ara","Arabica",I390="Lib","Liberica")</f>
        <v>Liberica</v>
      </c>
      <c r="O390" s="4" t="str" cm="1">
        <f t="array" ref="O390">_xlfn.IFS(J390="M","Medium",J390="L","Light",J390="D","Dark")</f>
        <v>Dark</v>
      </c>
      <c r="P390" s="4" t="str">
        <f>_xlfn.XLOOKUP(CoffeeOrderstable[[#This Row],[Customer ID]],customers!$A$1:$A$1001,customers!$I$1:$I$1001,,0)</f>
        <v>Yes</v>
      </c>
    </row>
    <row r="391" spans="1:16" x14ac:dyDescent="0.3">
      <c r="A391" s="3" t="s">
        <v>2683</v>
      </c>
      <c r="B391" s="5">
        <v>43536</v>
      </c>
      <c r="C391" s="3" t="s">
        <v>2684</v>
      </c>
      <c r="D391" s="4" t="s">
        <v>6169</v>
      </c>
      <c r="E391" s="3">
        <v>3</v>
      </c>
      <c r="F391" s="3" t="str">
        <f>_xlfn.XLOOKUP(C391,customers!$A$1:$A$1001,customers!$B$1:$B$1001,,0)</f>
        <v>Andrej Havick</v>
      </c>
      <c r="G391" s="3" t="str">
        <f>IF(_xlfn.XLOOKUP(C391,customers!$A$1:$A$1001,customers!$C$1:$C$1001,,0)=0,"", _xlfn.XLOOKUP(C391,customers!$A$1:$A$1001,customers!$C$1:$C$1001,,0))</f>
        <v>ahavickat@nsw.gov.au</v>
      </c>
      <c r="H391" s="3" t="str">
        <f>_xlfn.XLOOKUP(C391,customers!$A$1:$A$1001,customers!$G$1:$G$1001,,0)</f>
        <v>United States</v>
      </c>
      <c r="I391" s="4" t="str">
        <f>INDEX(products!$A$1:$G$49,MATCH(orders!$D391,products!$A$1:$A$49,0),MATCH(orders!I$1,products!$A$1:$G$1,0))</f>
        <v>Lib</v>
      </c>
      <c r="J391" s="4" t="str">
        <f>INDEX(products!$A$1:$G$49,MATCH(orders!$D391,products!$A$1:$A$49,0),MATCH(orders!J$1,products!$A$1:$G$1,0))</f>
        <v>D</v>
      </c>
      <c r="K391" s="6">
        <f>INDEX(products!$A$1:$G$49,MATCH(orders!$D391,products!$A$1:$A$49,0),MATCH(orders!K$1,products!$A$1:$G$1,0))</f>
        <v>0.5</v>
      </c>
      <c r="L391" s="7">
        <f>INDEX(products!$A$1:$G$49,MATCH(orders!$D391,products!$A$1:$A$49,0),MATCH(orders!L$1,products!$A$1:$G$1,0))</f>
        <v>7.77</v>
      </c>
      <c r="M391" s="7">
        <f t="shared" si="6"/>
        <v>23.31</v>
      </c>
      <c r="N391" s="4" t="str" cm="1">
        <f t="array" ref="N391">_xlfn.IFS(I391="Rob","Robusta",I391="Exc","Excelsa",I391="Ara","Arabica",I391="Lib","Liberica")</f>
        <v>Liberica</v>
      </c>
      <c r="O391" s="4" t="str" cm="1">
        <f t="array" ref="O391">_xlfn.IFS(J391="M","Medium",J391="L","Light",J391="D","Dark")</f>
        <v>Dark</v>
      </c>
      <c r="P391" s="4" t="str">
        <f>_xlfn.XLOOKUP(CoffeeOrderstable[[#This Row],[Customer ID]],customers!$A$1:$A$1001,customers!$I$1:$I$1001,,0)</f>
        <v>Yes</v>
      </c>
    </row>
    <row r="392" spans="1:16" x14ac:dyDescent="0.3">
      <c r="A392" s="3" t="s">
        <v>2689</v>
      </c>
      <c r="B392" s="5">
        <v>44245</v>
      </c>
      <c r="C392" s="3" t="s">
        <v>2690</v>
      </c>
      <c r="D392" s="4" t="s">
        <v>6144</v>
      </c>
      <c r="E392" s="3">
        <v>2</v>
      </c>
      <c r="F392" s="3" t="str">
        <f>_xlfn.XLOOKUP(C392,customers!$A$1:$A$1001,customers!$B$1:$B$1001,,0)</f>
        <v>Sloan Diviny</v>
      </c>
      <c r="G392" s="3" t="str">
        <f>IF(_xlfn.XLOOKUP(C392,customers!$A$1:$A$1001,customers!$C$1:$C$1001,,0)=0,"", _xlfn.XLOOKUP(C392,customers!$A$1:$A$1001,customers!$C$1:$C$1001,,0))</f>
        <v>sdivinyau@ask.com</v>
      </c>
      <c r="H392" s="3" t="str">
        <f>_xlfn.XLOOKUP(C392,customers!$A$1:$A$1001,customers!$G$1:$G$1001,,0)</f>
        <v>United States</v>
      </c>
      <c r="I392" s="4" t="str">
        <f>INDEX(products!$A$1:$G$49,MATCH(orders!$D392,products!$A$1:$A$49,0),MATCH(orders!I$1,products!$A$1:$G$1,0))</f>
        <v>Exc</v>
      </c>
      <c r="J392" s="4" t="str">
        <f>INDEX(products!$A$1:$G$49,MATCH(orders!$D392,products!$A$1:$A$49,0),MATCH(orders!J$1,products!$A$1:$G$1,0))</f>
        <v>D</v>
      </c>
      <c r="K392" s="6">
        <f>INDEX(products!$A$1:$G$49,MATCH(orders!$D392,products!$A$1:$A$49,0),MATCH(orders!K$1,products!$A$1:$G$1,0))</f>
        <v>0.5</v>
      </c>
      <c r="L392" s="7">
        <f>INDEX(products!$A$1:$G$49,MATCH(orders!$D392,products!$A$1:$A$49,0),MATCH(orders!L$1,products!$A$1:$G$1,0))</f>
        <v>7.29</v>
      </c>
      <c r="M392" s="7">
        <f t="shared" si="6"/>
        <v>14.58</v>
      </c>
      <c r="N392" s="4" t="str" cm="1">
        <f t="array" ref="N392">_xlfn.IFS(I392="Rob","Robusta",I392="Exc","Excelsa",I392="Ara","Arabica",I392="Lib","Liberica")</f>
        <v>Excelsa</v>
      </c>
      <c r="O392" s="4" t="str" cm="1">
        <f t="array" ref="O392">_xlfn.IFS(J392="M","Medium",J392="L","Light",J392="D","Dark")</f>
        <v>Dark</v>
      </c>
      <c r="P392" s="4" t="str">
        <f>_xlfn.XLOOKUP(CoffeeOrderstable[[#This Row],[Customer ID]],customers!$A$1:$A$1001,customers!$I$1:$I$1001,,0)</f>
        <v>Yes</v>
      </c>
    </row>
    <row r="393" spans="1:16" x14ac:dyDescent="0.3">
      <c r="A393" s="3" t="s">
        <v>2694</v>
      </c>
      <c r="B393" s="5">
        <v>44133</v>
      </c>
      <c r="C393" s="3" t="s">
        <v>2695</v>
      </c>
      <c r="D393" s="4" t="s">
        <v>6157</v>
      </c>
      <c r="E393" s="3">
        <v>2</v>
      </c>
      <c r="F393" s="3" t="str">
        <f>_xlfn.XLOOKUP(C393,customers!$A$1:$A$1001,customers!$B$1:$B$1001,,0)</f>
        <v>Itch Norquoy</v>
      </c>
      <c r="G393" s="3" t="str">
        <f>IF(_xlfn.XLOOKUP(C393,customers!$A$1:$A$1001,customers!$C$1:$C$1001,,0)=0,"", _xlfn.XLOOKUP(C393,customers!$A$1:$A$1001,customers!$C$1:$C$1001,,0))</f>
        <v>inorquoyav@businessweek.com</v>
      </c>
      <c r="H393" s="3" t="str">
        <f>_xlfn.XLOOKUP(C393,customers!$A$1:$A$1001,customers!$G$1:$G$1001,,0)</f>
        <v>United States</v>
      </c>
      <c r="I393" s="4" t="str">
        <f>INDEX(products!$A$1:$G$49,MATCH(orders!$D393,products!$A$1:$A$49,0),MATCH(orders!I$1,products!$A$1:$G$1,0))</f>
        <v>Ara</v>
      </c>
      <c r="J393" s="4" t="str">
        <f>INDEX(products!$A$1:$G$49,MATCH(orders!$D393,products!$A$1:$A$49,0),MATCH(orders!J$1,products!$A$1:$G$1,0))</f>
        <v>M</v>
      </c>
      <c r="K393" s="6">
        <f>INDEX(products!$A$1:$G$49,MATCH(orders!$D393,products!$A$1:$A$49,0),MATCH(orders!K$1,products!$A$1:$G$1,0))</f>
        <v>0.5</v>
      </c>
      <c r="L393" s="7">
        <f>INDEX(products!$A$1:$G$49,MATCH(orders!$D393,products!$A$1:$A$49,0),MATCH(orders!L$1,products!$A$1:$G$1,0))</f>
        <v>6.75</v>
      </c>
      <c r="M393" s="7">
        <f t="shared" si="6"/>
        <v>13.5</v>
      </c>
      <c r="N393" s="4" t="str" cm="1">
        <f t="array" ref="N393">_xlfn.IFS(I393="Rob","Robusta",I393="Exc","Excelsa",I393="Ara","Arabica",I393="Lib","Liberica")</f>
        <v>Arabica</v>
      </c>
      <c r="O393" s="4" t="str" cm="1">
        <f t="array" ref="O393">_xlfn.IFS(J393="M","Medium",J393="L","Light",J393="D","Dark")</f>
        <v>Medium</v>
      </c>
      <c r="P393" s="4" t="str">
        <f>_xlfn.XLOOKUP(CoffeeOrderstable[[#This Row],[Customer ID]],customers!$A$1:$A$1001,customers!$I$1:$I$1001,,0)</f>
        <v>No</v>
      </c>
    </row>
    <row r="394" spans="1:16" x14ac:dyDescent="0.3">
      <c r="A394" s="3" t="s">
        <v>2699</v>
      </c>
      <c r="B394" s="5">
        <v>44445</v>
      </c>
      <c r="C394" s="3" t="s">
        <v>2700</v>
      </c>
      <c r="D394" s="4" t="s">
        <v>6171</v>
      </c>
      <c r="E394" s="3">
        <v>6</v>
      </c>
      <c r="F394" s="3" t="str">
        <f>_xlfn.XLOOKUP(C394,customers!$A$1:$A$1001,customers!$B$1:$B$1001,,0)</f>
        <v>Anson Iddison</v>
      </c>
      <c r="G394" s="3" t="str">
        <f>IF(_xlfn.XLOOKUP(C394,customers!$A$1:$A$1001,customers!$C$1:$C$1001,,0)=0,"", _xlfn.XLOOKUP(C394,customers!$A$1:$A$1001,customers!$C$1:$C$1001,,0))</f>
        <v>aiddisonaw@usa.gov</v>
      </c>
      <c r="H394" s="3" t="str">
        <f>_xlfn.XLOOKUP(C394,customers!$A$1:$A$1001,customers!$G$1:$G$1001,,0)</f>
        <v>United States</v>
      </c>
      <c r="I394" s="4" t="str">
        <f>INDEX(products!$A$1:$G$49,MATCH(orders!$D394,products!$A$1:$A$49,0),MATCH(orders!I$1,products!$A$1:$G$1,0))</f>
        <v>Exc</v>
      </c>
      <c r="J394" s="4" t="str">
        <f>INDEX(products!$A$1:$G$49,MATCH(orders!$D394,products!$A$1:$A$49,0),MATCH(orders!J$1,products!$A$1:$G$1,0))</f>
        <v>L</v>
      </c>
      <c r="K394" s="6">
        <f>INDEX(products!$A$1:$G$49,MATCH(orders!$D394,products!$A$1:$A$49,0),MATCH(orders!K$1,products!$A$1:$G$1,0))</f>
        <v>1</v>
      </c>
      <c r="L394" s="7">
        <f>INDEX(products!$A$1:$G$49,MATCH(orders!$D394,products!$A$1:$A$49,0),MATCH(orders!L$1,products!$A$1:$G$1,0))</f>
        <v>14.85</v>
      </c>
      <c r="M394" s="7">
        <f t="shared" si="6"/>
        <v>89.1</v>
      </c>
      <c r="N394" s="4" t="str" cm="1">
        <f t="array" ref="N394">_xlfn.IFS(I394="Rob","Robusta",I394="Exc","Excelsa",I394="Ara","Arabica",I394="Lib","Liberica")</f>
        <v>Excelsa</v>
      </c>
      <c r="O394" s="4" t="str" cm="1">
        <f t="array" ref="O394">_xlfn.IFS(J394="M","Medium",J394="L","Light",J394="D","Dark")</f>
        <v>Light</v>
      </c>
      <c r="P394" s="4" t="str">
        <f>_xlfn.XLOOKUP(CoffeeOrderstable[[#This Row],[Customer ID]],customers!$A$1:$A$1001,customers!$I$1:$I$1001,,0)</f>
        <v>No</v>
      </c>
    </row>
    <row r="395" spans="1:16" x14ac:dyDescent="0.3">
      <c r="A395" s="3" t="s">
        <v>2699</v>
      </c>
      <c r="B395" s="5">
        <v>44445</v>
      </c>
      <c r="C395" s="3" t="s">
        <v>2700</v>
      </c>
      <c r="D395" s="4" t="s">
        <v>6167</v>
      </c>
      <c r="E395" s="3">
        <v>1</v>
      </c>
      <c r="F395" s="3" t="str">
        <f>_xlfn.XLOOKUP(C395,customers!$A$1:$A$1001,customers!$B$1:$B$1001,,0)</f>
        <v>Anson Iddison</v>
      </c>
      <c r="G395" s="3" t="str">
        <f>IF(_xlfn.XLOOKUP(C395,customers!$A$1:$A$1001,customers!$C$1:$C$1001,,0)=0,"", _xlfn.XLOOKUP(C395,customers!$A$1:$A$1001,customers!$C$1:$C$1001,,0))</f>
        <v>aiddisonaw@usa.gov</v>
      </c>
      <c r="H395" s="3" t="str">
        <f>_xlfn.XLOOKUP(C395,customers!$A$1:$A$1001,customers!$G$1:$G$1001,,0)</f>
        <v>United States</v>
      </c>
      <c r="I395" s="4" t="str">
        <f>INDEX(products!$A$1:$G$49,MATCH(orders!$D395,products!$A$1:$A$49,0),MATCH(orders!I$1,products!$A$1:$G$1,0))</f>
        <v>Ara</v>
      </c>
      <c r="J395" s="4" t="str">
        <f>INDEX(products!$A$1:$G$49,MATCH(orders!$D395,products!$A$1:$A$49,0),MATCH(orders!J$1,products!$A$1:$G$1,0))</f>
        <v>L</v>
      </c>
      <c r="K395" s="6">
        <f>INDEX(products!$A$1:$G$49,MATCH(orders!$D395,products!$A$1:$A$49,0),MATCH(orders!K$1,products!$A$1:$G$1,0))</f>
        <v>0.2</v>
      </c>
      <c r="L395" s="7">
        <f>INDEX(products!$A$1:$G$49,MATCH(orders!$D395,products!$A$1:$A$49,0),MATCH(orders!L$1,products!$A$1:$G$1,0))</f>
        <v>3.8849999999999998</v>
      </c>
      <c r="M395" s="7">
        <f t="shared" si="6"/>
        <v>3.8849999999999998</v>
      </c>
      <c r="N395" s="4" t="str" cm="1">
        <f t="array" ref="N395">_xlfn.IFS(I395="Rob","Robusta",I395="Exc","Excelsa",I395="Ara","Arabica",I395="Lib","Liberica")</f>
        <v>Arabica</v>
      </c>
      <c r="O395" s="4" t="str" cm="1">
        <f t="array" ref="O395">_xlfn.IFS(J395="M","Medium",J395="L","Light",J395="D","Dark")</f>
        <v>Light</v>
      </c>
      <c r="P395" s="4" t="str">
        <f>_xlfn.XLOOKUP(CoffeeOrderstable[[#This Row],[Customer ID]],customers!$A$1:$A$1001,customers!$I$1:$I$1001,,0)</f>
        <v>No</v>
      </c>
    </row>
    <row r="396" spans="1:16" x14ac:dyDescent="0.3">
      <c r="A396" s="3" t="s">
        <v>2710</v>
      </c>
      <c r="B396" s="5">
        <v>44083</v>
      </c>
      <c r="C396" s="3" t="s">
        <v>2711</v>
      </c>
      <c r="D396" s="4" t="s">
        <v>6142</v>
      </c>
      <c r="E396" s="3">
        <v>4</v>
      </c>
      <c r="F396" s="3" t="str">
        <f>_xlfn.XLOOKUP(C396,customers!$A$1:$A$1001,customers!$B$1:$B$1001,,0)</f>
        <v>Randal Longfield</v>
      </c>
      <c r="G396" s="3" t="str">
        <f>IF(_xlfn.XLOOKUP(C396,customers!$A$1:$A$1001,customers!$C$1:$C$1001,,0)=0,"", _xlfn.XLOOKUP(C396,customers!$A$1:$A$1001,customers!$C$1:$C$1001,,0))</f>
        <v>rlongfielday@bluehost.com</v>
      </c>
      <c r="H396" s="3" t="str">
        <f>_xlfn.XLOOKUP(C396,customers!$A$1:$A$1001,customers!$G$1:$G$1001,,0)</f>
        <v>United States</v>
      </c>
      <c r="I396" s="4" t="str">
        <f>INDEX(products!$A$1:$G$49,MATCH(orders!$D396,products!$A$1:$A$49,0),MATCH(orders!I$1,products!$A$1:$G$1,0))</f>
        <v>Rob</v>
      </c>
      <c r="J396" s="4" t="str">
        <f>INDEX(products!$A$1:$G$49,MATCH(orders!$D396,products!$A$1:$A$49,0),MATCH(orders!J$1,products!$A$1:$G$1,0))</f>
        <v>L</v>
      </c>
      <c r="K396" s="6">
        <f>INDEX(products!$A$1:$G$49,MATCH(orders!$D396,products!$A$1:$A$49,0),MATCH(orders!K$1,products!$A$1:$G$1,0))</f>
        <v>2.5</v>
      </c>
      <c r="L396" s="7">
        <f>INDEX(products!$A$1:$G$49,MATCH(orders!$D396,products!$A$1:$A$49,0),MATCH(orders!L$1,products!$A$1:$G$1,0))</f>
        <v>27.484999999999996</v>
      </c>
      <c r="M396" s="7">
        <f t="shared" si="6"/>
        <v>109.93999999999998</v>
      </c>
      <c r="N396" s="4" t="str" cm="1">
        <f t="array" ref="N396">_xlfn.IFS(I396="Rob","Robusta",I396="Exc","Excelsa",I396="Ara","Arabica",I396="Lib","Liberica")</f>
        <v>Robusta</v>
      </c>
      <c r="O396" s="4" t="str" cm="1">
        <f t="array" ref="O396">_xlfn.IFS(J396="M","Medium",J396="L","Light",J396="D","Dark")</f>
        <v>Light</v>
      </c>
      <c r="P396" s="4" t="str">
        <f>_xlfn.XLOOKUP(CoffeeOrderstable[[#This Row],[Customer ID]],customers!$A$1:$A$1001,customers!$I$1:$I$1001,,0)</f>
        <v>No</v>
      </c>
    </row>
    <row r="397" spans="1:16" x14ac:dyDescent="0.3">
      <c r="A397" s="3" t="s">
        <v>2716</v>
      </c>
      <c r="B397" s="5">
        <v>44465</v>
      </c>
      <c r="C397" s="3" t="s">
        <v>2717</v>
      </c>
      <c r="D397" s="4" t="s">
        <v>6169</v>
      </c>
      <c r="E397" s="3">
        <v>6</v>
      </c>
      <c r="F397" s="3" t="str">
        <f>_xlfn.XLOOKUP(C397,customers!$A$1:$A$1001,customers!$B$1:$B$1001,,0)</f>
        <v>Gregorius Kislingbury</v>
      </c>
      <c r="G397" s="3" t="str">
        <f>IF(_xlfn.XLOOKUP(C397,customers!$A$1:$A$1001,customers!$C$1:$C$1001,,0)=0,"", _xlfn.XLOOKUP(C397,customers!$A$1:$A$1001,customers!$C$1:$C$1001,,0))</f>
        <v>gkislingburyaz@samsung.com</v>
      </c>
      <c r="H397" s="3" t="str">
        <f>_xlfn.XLOOKUP(C397,customers!$A$1:$A$1001,customers!$G$1:$G$1001,,0)</f>
        <v>United States</v>
      </c>
      <c r="I397" s="4" t="str">
        <f>INDEX(products!$A$1:$G$49,MATCH(orders!$D397,products!$A$1:$A$49,0),MATCH(orders!I$1,products!$A$1:$G$1,0))</f>
        <v>Lib</v>
      </c>
      <c r="J397" s="4" t="str">
        <f>INDEX(products!$A$1:$G$49,MATCH(orders!$D397,products!$A$1:$A$49,0),MATCH(orders!J$1,products!$A$1:$G$1,0))</f>
        <v>D</v>
      </c>
      <c r="K397" s="6">
        <f>INDEX(products!$A$1:$G$49,MATCH(orders!$D397,products!$A$1:$A$49,0),MATCH(orders!K$1,products!$A$1:$G$1,0))</f>
        <v>0.5</v>
      </c>
      <c r="L397" s="7">
        <f>INDEX(products!$A$1:$G$49,MATCH(orders!$D397,products!$A$1:$A$49,0),MATCH(orders!L$1,products!$A$1:$G$1,0))</f>
        <v>7.77</v>
      </c>
      <c r="M397" s="7">
        <f t="shared" si="6"/>
        <v>46.62</v>
      </c>
      <c r="N397" s="4" t="str" cm="1">
        <f t="array" ref="N397">_xlfn.IFS(I397="Rob","Robusta",I397="Exc","Excelsa",I397="Ara","Arabica",I397="Lib","Liberica")</f>
        <v>Liberica</v>
      </c>
      <c r="O397" s="4" t="str" cm="1">
        <f t="array" ref="O397">_xlfn.IFS(J397="M","Medium",J397="L","Light",J397="D","Dark")</f>
        <v>Dark</v>
      </c>
      <c r="P397" s="4" t="str">
        <f>_xlfn.XLOOKUP(CoffeeOrderstable[[#This Row],[Customer ID]],customers!$A$1:$A$1001,customers!$I$1:$I$1001,,0)</f>
        <v>Yes</v>
      </c>
    </row>
    <row r="398" spans="1:16" x14ac:dyDescent="0.3">
      <c r="A398" s="3" t="s">
        <v>2721</v>
      </c>
      <c r="B398" s="5">
        <v>44140</v>
      </c>
      <c r="C398" s="3" t="s">
        <v>2722</v>
      </c>
      <c r="D398" s="4" t="s">
        <v>6180</v>
      </c>
      <c r="E398" s="3">
        <v>5</v>
      </c>
      <c r="F398" s="3" t="str">
        <f>_xlfn.XLOOKUP(C398,customers!$A$1:$A$1001,customers!$B$1:$B$1001,,0)</f>
        <v>Xenos Gibbons</v>
      </c>
      <c r="G398" s="3" t="str">
        <f>IF(_xlfn.XLOOKUP(C398,customers!$A$1:$A$1001,customers!$C$1:$C$1001,,0)=0,"", _xlfn.XLOOKUP(C398,customers!$A$1:$A$1001,customers!$C$1:$C$1001,,0))</f>
        <v>xgibbonsb0@artisteer.com</v>
      </c>
      <c r="H398" s="3" t="str">
        <f>_xlfn.XLOOKUP(C398,customers!$A$1:$A$1001,customers!$G$1:$G$1001,,0)</f>
        <v>United States</v>
      </c>
      <c r="I398" s="4" t="str">
        <f>INDEX(products!$A$1:$G$49,MATCH(orders!$D398,products!$A$1:$A$49,0),MATCH(orders!I$1,products!$A$1:$G$1,0))</f>
        <v>Ara</v>
      </c>
      <c r="J398" s="4" t="str">
        <f>INDEX(products!$A$1:$G$49,MATCH(orders!$D398,products!$A$1:$A$49,0),MATCH(orders!J$1,products!$A$1:$G$1,0))</f>
        <v>L</v>
      </c>
      <c r="K398" s="6">
        <f>INDEX(products!$A$1:$G$49,MATCH(orders!$D398,products!$A$1:$A$49,0),MATCH(orders!K$1,products!$A$1:$G$1,0))</f>
        <v>0.5</v>
      </c>
      <c r="L398" s="7">
        <f>INDEX(products!$A$1:$G$49,MATCH(orders!$D398,products!$A$1:$A$49,0),MATCH(orders!L$1,products!$A$1:$G$1,0))</f>
        <v>7.77</v>
      </c>
      <c r="M398" s="7">
        <f t="shared" si="6"/>
        <v>38.849999999999994</v>
      </c>
      <c r="N398" s="4" t="str" cm="1">
        <f t="array" ref="N398">_xlfn.IFS(I398="Rob","Robusta",I398="Exc","Excelsa",I398="Ara","Arabica",I398="Lib","Liberica")</f>
        <v>Arabica</v>
      </c>
      <c r="O398" s="4" t="str" cm="1">
        <f t="array" ref="O398">_xlfn.IFS(J398="M","Medium",J398="L","Light",J398="D","Dark")</f>
        <v>Light</v>
      </c>
      <c r="P398" s="4" t="str">
        <f>_xlfn.XLOOKUP(CoffeeOrderstable[[#This Row],[Customer ID]],customers!$A$1:$A$1001,customers!$I$1:$I$1001,,0)</f>
        <v>No</v>
      </c>
    </row>
    <row r="399" spans="1:16" x14ac:dyDescent="0.3">
      <c r="A399" s="3" t="s">
        <v>2727</v>
      </c>
      <c r="B399" s="5">
        <v>43720</v>
      </c>
      <c r="C399" s="3" t="s">
        <v>2728</v>
      </c>
      <c r="D399" s="4" t="s">
        <v>6169</v>
      </c>
      <c r="E399" s="3">
        <v>4</v>
      </c>
      <c r="F399" s="3" t="str">
        <f>_xlfn.XLOOKUP(C399,customers!$A$1:$A$1001,customers!$B$1:$B$1001,,0)</f>
        <v>Fleur Parres</v>
      </c>
      <c r="G399" s="3" t="str">
        <f>IF(_xlfn.XLOOKUP(C399,customers!$A$1:$A$1001,customers!$C$1:$C$1001,,0)=0,"", _xlfn.XLOOKUP(C399,customers!$A$1:$A$1001,customers!$C$1:$C$1001,,0))</f>
        <v>fparresb1@imageshack.us</v>
      </c>
      <c r="H399" s="3" t="str">
        <f>_xlfn.XLOOKUP(C399,customers!$A$1:$A$1001,customers!$G$1:$G$1001,,0)</f>
        <v>United States</v>
      </c>
      <c r="I399" s="4" t="str">
        <f>INDEX(products!$A$1:$G$49,MATCH(orders!$D399,products!$A$1:$A$49,0),MATCH(orders!I$1,products!$A$1:$G$1,0))</f>
        <v>Lib</v>
      </c>
      <c r="J399" s="4" t="str">
        <f>INDEX(products!$A$1:$G$49,MATCH(orders!$D399,products!$A$1:$A$49,0),MATCH(orders!J$1,products!$A$1:$G$1,0))</f>
        <v>D</v>
      </c>
      <c r="K399" s="6">
        <f>INDEX(products!$A$1:$G$49,MATCH(orders!$D399,products!$A$1:$A$49,0),MATCH(orders!K$1,products!$A$1:$G$1,0))</f>
        <v>0.5</v>
      </c>
      <c r="L399" s="7">
        <f>INDEX(products!$A$1:$G$49,MATCH(orders!$D399,products!$A$1:$A$49,0),MATCH(orders!L$1,products!$A$1:$G$1,0))</f>
        <v>7.77</v>
      </c>
      <c r="M399" s="7">
        <f t="shared" si="6"/>
        <v>31.08</v>
      </c>
      <c r="N399" s="4" t="str" cm="1">
        <f t="array" ref="N399">_xlfn.IFS(I399="Rob","Robusta",I399="Exc","Excelsa",I399="Ara","Arabica",I399="Lib","Liberica")</f>
        <v>Liberica</v>
      </c>
      <c r="O399" s="4" t="str" cm="1">
        <f t="array" ref="O399">_xlfn.IFS(J399="M","Medium",J399="L","Light",J399="D","Dark")</f>
        <v>Dark</v>
      </c>
      <c r="P399" s="4" t="str">
        <f>_xlfn.XLOOKUP(CoffeeOrderstable[[#This Row],[Customer ID]],customers!$A$1:$A$1001,customers!$I$1:$I$1001,,0)</f>
        <v>Yes</v>
      </c>
    </row>
    <row r="400" spans="1:16" x14ac:dyDescent="0.3">
      <c r="A400" s="3" t="s">
        <v>2733</v>
      </c>
      <c r="B400" s="5">
        <v>43677</v>
      </c>
      <c r="C400" s="3" t="s">
        <v>2734</v>
      </c>
      <c r="D400" s="4" t="s">
        <v>6154</v>
      </c>
      <c r="E400" s="3">
        <v>6</v>
      </c>
      <c r="F400" s="3" t="str">
        <f>_xlfn.XLOOKUP(C400,customers!$A$1:$A$1001,customers!$B$1:$B$1001,,0)</f>
        <v>Gran Sibray</v>
      </c>
      <c r="G400" s="3" t="str">
        <f>IF(_xlfn.XLOOKUP(C400,customers!$A$1:$A$1001,customers!$C$1:$C$1001,,0)=0,"", _xlfn.XLOOKUP(C400,customers!$A$1:$A$1001,customers!$C$1:$C$1001,,0))</f>
        <v>gsibrayb2@wsj.com</v>
      </c>
      <c r="H400" s="3" t="str">
        <f>_xlfn.XLOOKUP(C400,customers!$A$1:$A$1001,customers!$G$1:$G$1001,,0)</f>
        <v>United States</v>
      </c>
      <c r="I400" s="4" t="str">
        <f>INDEX(products!$A$1:$G$49,MATCH(orders!$D400,products!$A$1:$A$49,0),MATCH(orders!I$1,products!$A$1:$G$1,0))</f>
        <v>Ara</v>
      </c>
      <c r="J400" s="4" t="str">
        <f>INDEX(products!$A$1:$G$49,MATCH(orders!$D400,products!$A$1:$A$49,0),MATCH(orders!J$1,products!$A$1:$G$1,0))</f>
        <v>D</v>
      </c>
      <c r="K400" s="6">
        <f>INDEX(products!$A$1:$G$49,MATCH(orders!$D400,products!$A$1:$A$49,0),MATCH(orders!K$1,products!$A$1:$G$1,0))</f>
        <v>0.2</v>
      </c>
      <c r="L400" s="7">
        <f>INDEX(products!$A$1:$G$49,MATCH(orders!$D400,products!$A$1:$A$49,0),MATCH(orders!L$1,products!$A$1:$G$1,0))</f>
        <v>2.9849999999999999</v>
      </c>
      <c r="M400" s="7">
        <f t="shared" si="6"/>
        <v>17.91</v>
      </c>
      <c r="N400" s="4" t="str" cm="1">
        <f t="array" ref="N400">_xlfn.IFS(I400="Rob","Robusta",I400="Exc","Excelsa",I400="Ara","Arabica",I400="Lib","Liberica")</f>
        <v>Arabica</v>
      </c>
      <c r="O400" s="4" t="str" cm="1">
        <f t="array" ref="O400">_xlfn.IFS(J400="M","Medium",J400="L","Light",J400="D","Dark")</f>
        <v>Dark</v>
      </c>
      <c r="P400" s="4" t="str">
        <f>_xlfn.XLOOKUP(CoffeeOrderstable[[#This Row],[Customer ID]],customers!$A$1:$A$1001,customers!$I$1:$I$1001,,0)</f>
        <v>Yes</v>
      </c>
    </row>
    <row r="401" spans="1:16" x14ac:dyDescent="0.3">
      <c r="A401" s="3" t="s">
        <v>2739</v>
      </c>
      <c r="B401" s="5">
        <v>43539</v>
      </c>
      <c r="C401" s="3" t="s">
        <v>2740</v>
      </c>
      <c r="D401" s="4" t="s">
        <v>6185</v>
      </c>
      <c r="E401" s="3">
        <v>6</v>
      </c>
      <c r="F401" s="3" t="str">
        <f>_xlfn.XLOOKUP(C401,customers!$A$1:$A$1001,customers!$B$1:$B$1001,,0)</f>
        <v>Ingelbert Hotchkin</v>
      </c>
      <c r="G401" s="3" t="str">
        <f>IF(_xlfn.XLOOKUP(C401,customers!$A$1:$A$1001,customers!$C$1:$C$1001,,0)=0,"", _xlfn.XLOOKUP(C401,customers!$A$1:$A$1001,customers!$C$1:$C$1001,,0))</f>
        <v>ihotchkinb3@mit.edu</v>
      </c>
      <c r="H401" s="3" t="str">
        <f>_xlfn.XLOOKUP(C401,customers!$A$1:$A$1001,customers!$G$1:$G$1001,,0)</f>
        <v>United Kingdom</v>
      </c>
      <c r="I401" s="4" t="str">
        <f>INDEX(products!$A$1:$G$49,MATCH(orders!$D401,products!$A$1:$A$49,0),MATCH(orders!I$1,products!$A$1:$G$1,0))</f>
        <v>Exc</v>
      </c>
      <c r="J401" s="4" t="str">
        <f>INDEX(products!$A$1:$G$49,MATCH(orders!$D401,products!$A$1:$A$49,0),MATCH(orders!J$1,products!$A$1:$G$1,0))</f>
        <v>D</v>
      </c>
      <c r="K401" s="6">
        <f>INDEX(products!$A$1:$G$49,MATCH(orders!$D401,products!$A$1:$A$49,0),MATCH(orders!K$1,products!$A$1:$G$1,0))</f>
        <v>2.5</v>
      </c>
      <c r="L401" s="7">
        <f>INDEX(products!$A$1:$G$49,MATCH(orders!$D401,products!$A$1:$A$49,0),MATCH(orders!L$1,products!$A$1:$G$1,0))</f>
        <v>27.945</v>
      </c>
      <c r="M401" s="7">
        <f t="shared" si="6"/>
        <v>167.67000000000002</v>
      </c>
      <c r="N401" s="4" t="str" cm="1">
        <f t="array" ref="N401">_xlfn.IFS(I401="Rob","Robusta",I401="Exc","Excelsa",I401="Ara","Arabica",I401="Lib","Liberica")</f>
        <v>Excelsa</v>
      </c>
      <c r="O401" s="4" t="str" cm="1">
        <f t="array" ref="O401">_xlfn.IFS(J401="M","Medium",J401="L","Light",J401="D","Dark")</f>
        <v>Dark</v>
      </c>
      <c r="P401" s="4" t="str">
        <f>_xlfn.XLOOKUP(CoffeeOrderstable[[#This Row],[Customer ID]],customers!$A$1:$A$1001,customers!$I$1:$I$1001,,0)</f>
        <v>No</v>
      </c>
    </row>
    <row r="402" spans="1:16" x14ac:dyDescent="0.3">
      <c r="A402" s="3" t="s">
        <v>2745</v>
      </c>
      <c r="B402" s="5">
        <v>44332</v>
      </c>
      <c r="C402" s="3" t="s">
        <v>2746</v>
      </c>
      <c r="D402" s="4" t="s">
        <v>6170</v>
      </c>
      <c r="E402" s="3">
        <v>4</v>
      </c>
      <c r="F402" s="3" t="str">
        <f>_xlfn.XLOOKUP(C402,customers!$A$1:$A$1001,customers!$B$1:$B$1001,,0)</f>
        <v>Neely Broadberrie</v>
      </c>
      <c r="G402" s="3" t="str">
        <f>IF(_xlfn.XLOOKUP(C402,customers!$A$1:$A$1001,customers!$C$1:$C$1001,,0)=0,"", _xlfn.XLOOKUP(C402,customers!$A$1:$A$1001,customers!$C$1:$C$1001,,0))</f>
        <v>nbroadberrieb4@gnu.org</v>
      </c>
      <c r="H402" s="3" t="str">
        <f>_xlfn.XLOOKUP(C402,customers!$A$1:$A$1001,customers!$G$1:$G$1001,,0)</f>
        <v>United States</v>
      </c>
      <c r="I402" s="4" t="str">
        <f>INDEX(products!$A$1:$G$49,MATCH(orders!$D402,products!$A$1:$A$49,0),MATCH(orders!I$1,products!$A$1:$G$1,0))</f>
        <v>Lib</v>
      </c>
      <c r="J402" s="4" t="str">
        <f>INDEX(products!$A$1:$G$49,MATCH(orders!$D402,products!$A$1:$A$49,0),MATCH(orders!J$1,products!$A$1:$G$1,0))</f>
        <v>L</v>
      </c>
      <c r="K402" s="6">
        <f>INDEX(products!$A$1:$G$49,MATCH(orders!$D402,products!$A$1:$A$49,0),MATCH(orders!K$1,products!$A$1:$G$1,0))</f>
        <v>1</v>
      </c>
      <c r="L402" s="7">
        <f>INDEX(products!$A$1:$G$49,MATCH(orders!$D402,products!$A$1:$A$49,0),MATCH(orders!L$1,products!$A$1:$G$1,0))</f>
        <v>15.85</v>
      </c>
      <c r="M402" s="7">
        <f t="shared" si="6"/>
        <v>63.4</v>
      </c>
      <c r="N402" s="4" t="str" cm="1">
        <f t="array" ref="N402">_xlfn.IFS(I402="Rob","Robusta",I402="Exc","Excelsa",I402="Ara","Arabica",I402="Lib","Liberica")</f>
        <v>Liberica</v>
      </c>
      <c r="O402" s="4" t="str" cm="1">
        <f t="array" ref="O402">_xlfn.IFS(J402="M","Medium",J402="L","Light",J402="D","Dark")</f>
        <v>Light</v>
      </c>
      <c r="P402" s="4" t="str">
        <f>_xlfn.XLOOKUP(CoffeeOrderstable[[#This Row],[Customer ID]],customers!$A$1:$A$1001,customers!$I$1:$I$1001,,0)</f>
        <v>No</v>
      </c>
    </row>
    <row r="403" spans="1:16" x14ac:dyDescent="0.3">
      <c r="A403" s="3" t="s">
        <v>2751</v>
      </c>
      <c r="B403" s="5">
        <v>43591</v>
      </c>
      <c r="C403" s="3" t="s">
        <v>2752</v>
      </c>
      <c r="D403" s="4" t="s">
        <v>6159</v>
      </c>
      <c r="E403" s="3">
        <v>2</v>
      </c>
      <c r="F403" s="3" t="str">
        <f>_xlfn.XLOOKUP(C403,customers!$A$1:$A$1001,customers!$B$1:$B$1001,,0)</f>
        <v>Rutger Pithcock</v>
      </c>
      <c r="G403" s="3" t="str">
        <f>IF(_xlfn.XLOOKUP(C403,customers!$A$1:$A$1001,customers!$C$1:$C$1001,,0)=0,"", _xlfn.XLOOKUP(C403,customers!$A$1:$A$1001,customers!$C$1:$C$1001,,0))</f>
        <v>rpithcockb5@yellowbook.com</v>
      </c>
      <c r="H403" s="3" t="str">
        <f>_xlfn.XLOOKUP(C403,customers!$A$1:$A$1001,customers!$G$1:$G$1001,,0)</f>
        <v>United States</v>
      </c>
      <c r="I403" s="4" t="str">
        <f>INDEX(products!$A$1:$G$49,MATCH(orders!$D403,products!$A$1:$A$49,0),MATCH(orders!I$1,products!$A$1:$G$1,0))</f>
        <v>Lib</v>
      </c>
      <c r="J403" s="4" t="str">
        <f>INDEX(products!$A$1:$G$49,MATCH(orders!$D403,products!$A$1:$A$49,0),MATCH(orders!J$1,products!$A$1:$G$1,0))</f>
        <v>M</v>
      </c>
      <c r="K403" s="6">
        <f>INDEX(products!$A$1:$G$49,MATCH(orders!$D403,products!$A$1:$A$49,0),MATCH(orders!K$1,products!$A$1:$G$1,0))</f>
        <v>0.2</v>
      </c>
      <c r="L403" s="7">
        <f>INDEX(products!$A$1:$G$49,MATCH(orders!$D403,products!$A$1:$A$49,0),MATCH(orders!L$1,products!$A$1:$G$1,0))</f>
        <v>4.3650000000000002</v>
      </c>
      <c r="M403" s="7">
        <f t="shared" si="6"/>
        <v>8.73</v>
      </c>
      <c r="N403" s="4" t="str" cm="1">
        <f t="array" ref="N403">_xlfn.IFS(I403="Rob","Robusta",I403="Exc","Excelsa",I403="Ara","Arabica",I403="Lib","Liberica")</f>
        <v>Liberica</v>
      </c>
      <c r="O403" s="4" t="str" cm="1">
        <f t="array" ref="O403">_xlfn.IFS(J403="M","Medium",J403="L","Light",J403="D","Dark")</f>
        <v>Medium</v>
      </c>
      <c r="P403" s="4" t="str">
        <f>_xlfn.XLOOKUP(CoffeeOrderstable[[#This Row],[Customer ID]],customers!$A$1:$A$1001,customers!$I$1:$I$1001,,0)</f>
        <v>Yes</v>
      </c>
    </row>
    <row r="404" spans="1:16" x14ac:dyDescent="0.3">
      <c r="A404" s="3" t="s">
        <v>2757</v>
      </c>
      <c r="B404" s="5">
        <v>43502</v>
      </c>
      <c r="C404" s="3" t="s">
        <v>2758</v>
      </c>
      <c r="D404" s="4" t="s">
        <v>6177</v>
      </c>
      <c r="E404" s="3">
        <v>3</v>
      </c>
      <c r="F404" s="3" t="str">
        <f>_xlfn.XLOOKUP(C404,customers!$A$1:$A$1001,customers!$B$1:$B$1001,,0)</f>
        <v>Gale Croysdale</v>
      </c>
      <c r="G404" s="3" t="str">
        <f>IF(_xlfn.XLOOKUP(C404,customers!$A$1:$A$1001,customers!$C$1:$C$1001,,0)=0,"", _xlfn.XLOOKUP(C404,customers!$A$1:$A$1001,customers!$C$1:$C$1001,,0))</f>
        <v>gcroysdaleb6@nih.gov</v>
      </c>
      <c r="H404" s="3" t="str">
        <f>_xlfn.XLOOKUP(C404,customers!$A$1:$A$1001,customers!$G$1:$G$1001,,0)</f>
        <v>United States</v>
      </c>
      <c r="I404" s="4" t="str">
        <f>INDEX(products!$A$1:$G$49,MATCH(orders!$D404,products!$A$1:$A$49,0),MATCH(orders!I$1,products!$A$1:$G$1,0))</f>
        <v>Rob</v>
      </c>
      <c r="J404" s="4" t="str">
        <f>INDEX(products!$A$1:$G$49,MATCH(orders!$D404,products!$A$1:$A$49,0),MATCH(orders!J$1,products!$A$1:$G$1,0))</f>
        <v>D</v>
      </c>
      <c r="K404" s="6">
        <f>INDEX(products!$A$1:$G$49,MATCH(orders!$D404,products!$A$1:$A$49,0),MATCH(orders!K$1,products!$A$1:$G$1,0))</f>
        <v>1</v>
      </c>
      <c r="L404" s="7">
        <f>INDEX(products!$A$1:$G$49,MATCH(orders!$D404,products!$A$1:$A$49,0),MATCH(orders!L$1,products!$A$1:$G$1,0))</f>
        <v>8.9499999999999993</v>
      </c>
      <c r="M404" s="7">
        <f t="shared" si="6"/>
        <v>26.849999999999998</v>
      </c>
      <c r="N404" s="4" t="str" cm="1">
        <f t="array" ref="N404">_xlfn.IFS(I404="Rob","Robusta",I404="Exc","Excelsa",I404="Ara","Arabica",I404="Lib","Liberica")</f>
        <v>Robusta</v>
      </c>
      <c r="O404" s="4" t="str" cm="1">
        <f t="array" ref="O404">_xlfn.IFS(J404="M","Medium",J404="L","Light",J404="D","Dark")</f>
        <v>Dark</v>
      </c>
      <c r="P404" s="4" t="str">
        <f>_xlfn.XLOOKUP(CoffeeOrderstable[[#This Row],[Customer ID]],customers!$A$1:$A$1001,customers!$I$1:$I$1001,,0)</f>
        <v>Yes</v>
      </c>
    </row>
    <row r="405" spans="1:16" x14ac:dyDescent="0.3">
      <c r="A405" s="3" t="s">
        <v>2763</v>
      </c>
      <c r="B405" s="5">
        <v>44295</v>
      </c>
      <c r="C405" s="3" t="s">
        <v>2764</v>
      </c>
      <c r="D405" s="4" t="s">
        <v>6145</v>
      </c>
      <c r="E405" s="3">
        <v>2</v>
      </c>
      <c r="F405" s="3" t="str">
        <f>_xlfn.XLOOKUP(C405,customers!$A$1:$A$1001,customers!$B$1:$B$1001,,0)</f>
        <v>Benedetto Gozzett</v>
      </c>
      <c r="G405" s="3" t="str">
        <f>IF(_xlfn.XLOOKUP(C405,customers!$A$1:$A$1001,customers!$C$1:$C$1001,,0)=0,"", _xlfn.XLOOKUP(C405,customers!$A$1:$A$1001,customers!$C$1:$C$1001,,0))</f>
        <v>bgozzettb7@github.com</v>
      </c>
      <c r="H405" s="3" t="str">
        <f>_xlfn.XLOOKUP(C405,customers!$A$1:$A$1001,customers!$G$1:$G$1001,,0)</f>
        <v>United States</v>
      </c>
      <c r="I405" s="4" t="str">
        <f>INDEX(products!$A$1:$G$49,MATCH(orders!$D405,products!$A$1:$A$49,0),MATCH(orders!I$1,products!$A$1:$G$1,0))</f>
        <v>Lib</v>
      </c>
      <c r="J405" s="4" t="str">
        <f>INDEX(products!$A$1:$G$49,MATCH(orders!$D405,products!$A$1:$A$49,0),MATCH(orders!J$1,products!$A$1:$G$1,0))</f>
        <v>L</v>
      </c>
      <c r="K405" s="6">
        <f>INDEX(products!$A$1:$G$49,MATCH(orders!$D405,products!$A$1:$A$49,0),MATCH(orders!K$1,products!$A$1:$G$1,0))</f>
        <v>0.2</v>
      </c>
      <c r="L405" s="7">
        <f>INDEX(products!$A$1:$G$49,MATCH(orders!$D405,products!$A$1:$A$49,0),MATCH(orders!L$1,products!$A$1:$G$1,0))</f>
        <v>4.7549999999999999</v>
      </c>
      <c r="M405" s="7">
        <f t="shared" si="6"/>
        <v>9.51</v>
      </c>
      <c r="N405" s="4" t="str" cm="1">
        <f t="array" ref="N405">_xlfn.IFS(I405="Rob","Robusta",I405="Exc","Excelsa",I405="Ara","Arabica",I405="Lib","Liberica")</f>
        <v>Liberica</v>
      </c>
      <c r="O405" s="4" t="str" cm="1">
        <f t="array" ref="O405">_xlfn.IFS(J405="M","Medium",J405="L","Light",J405="D","Dark")</f>
        <v>Light</v>
      </c>
      <c r="P405" s="4" t="str">
        <f>_xlfn.XLOOKUP(CoffeeOrderstable[[#This Row],[Customer ID]],customers!$A$1:$A$1001,customers!$I$1:$I$1001,,0)</f>
        <v>No</v>
      </c>
    </row>
    <row r="406" spans="1:16" x14ac:dyDescent="0.3">
      <c r="A406" s="3" t="s">
        <v>2769</v>
      </c>
      <c r="B406" s="5">
        <v>43971</v>
      </c>
      <c r="C406" s="3" t="s">
        <v>2770</v>
      </c>
      <c r="D406" s="4" t="s">
        <v>6147</v>
      </c>
      <c r="E406" s="3">
        <v>4</v>
      </c>
      <c r="F406" s="3" t="str">
        <f>_xlfn.XLOOKUP(C406,customers!$A$1:$A$1001,customers!$B$1:$B$1001,,0)</f>
        <v>Tania Craggs</v>
      </c>
      <c r="G406" s="3" t="str">
        <f>IF(_xlfn.XLOOKUP(C406,customers!$A$1:$A$1001,customers!$C$1:$C$1001,,0)=0,"", _xlfn.XLOOKUP(C406,customers!$A$1:$A$1001,customers!$C$1:$C$1001,,0))</f>
        <v>tcraggsb8@house.gov</v>
      </c>
      <c r="H406" s="3" t="str">
        <f>_xlfn.XLOOKUP(C406,customers!$A$1:$A$1001,customers!$G$1:$G$1001,,0)</f>
        <v>Ireland</v>
      </c>
      <c r="I406" s="4" t="str">
        <f>INDEX(products!$A$1:$G$49,MATCH(orders!$D406,products!$A$1:$A$49,0),MATCH(orders!I$1,products!$A$1:$G$1,0))</f>
        <v>Ara</v>
      </c>
      <c r="J406" s="4" t="str">
        <f>INDEX(products!$A$1:$G$49,MATCH(orders!$D406,products!$A$1:$A$49,0),MATCH(orders!J$1,products!$A$1:$G$1,0))</f>
        <v>D</v>
      </c>
      <c r="K406" s="6">
        <f>INDEX(products!$A$1:$G$49,MATCH(orders!$D406,products!$A$1:$A$49,0),MATCH(orders!K$1,products!$A$1:$G$1,0))</f>
        <v>1</v>
      </c>
      <c r="L406" s="7">
        <f>INDEX(products!$A$1:$G$49,MATCH(orders!$D406,products!$A$1:$A$49,0),MATCH(orders!L$1,products!$A$1:$G$1,0))</f>
        <v>9.9499999999999993</v>
      </c>
      <c r="M406" s="7">
        <f t="shared" si="6"/>
        <v>39.799999999999997</v>
      </c>
      <c r="N406" s="4" t="str" cm="1">
        <f t="array" ref="N406">_xlfn.IFS(I406="Rob","Robusta",I406="Exc","Excelsa",I406="Ara","Arabica",I406="Lib","Liberica")</f>
        <v>Arabica</v>
      </c>
      <c r="O406" s="4" t="str" cm="1">
        <f t="array" ref="O406">_xlfn.IFS(J406="M","Medium",J406="L","Light",J406="D","Dark")</f>
        <v>Dark</v>
      </c>
      <c r="P406" s="4" t="str">
        <f>_xlfn.XLOOKUP(CoffeeOrderstable[[#This Row],[Customer ID]],customers!$A$1:$A$1001,customers!$I$1:$I$1001,,0)</f>
        <v>No</v>
      </c>
    </row>
    <row r="407" spans="1:16" x14ac:dyDescent="0.3">
      <c r="A407" s="3" t="s">
        <v>2775</v>
      </c>
      <c r="B407" s="5">
        <v>44167</v>
      </c>
      <c r="C407" s="3" t="s">
        <v>2776</v>
      </c>
      <c r="D407" s="4" t="s">
        <v>6139</v>
      </c>
      <c r="E407" s="3">
        <v>3</v>
      </c>
      <c r="F407" s="3" t="str">
        <f>_xlfn.XLOOKUP(C407,customers!$A$1:$A$1001,customers!$B$1:$B$1001,,0)</f>
        <v>Leonie Cullrford</v>
      </c>
      <c r="G407" s="3" t="str">
        <f>IF(_xlfn.XLOOKUP(C407,customers!$A$1:$A$1001,customers!$C$1:$C$1001,,0)=0,"", _xlfn.XLOOKUP(C407,customers!$A$1:$A$1001,customers!$C$1:$C$1001,,0))</f>
        <v>lcullrfordb9@xing.com</v>
      </c>
      <c r="H407" s="3" t="str">
        <f>_xlfn.XLOOKUP(C407,customers!$A$1:$A$1001,customers!$G$1:$G$1001,,0)</f>
        <v>United States</v>
      </c>
      <c r="I407" s="4" t="str">
        <f>INDEX(products!$A$1:$G$49,MATCH(orders!$D407,products!$A$1:$A$49,0),MATCH(orders!I$1,products!$A$1:$G$1,0))</f>
        <v>Exc</v>
      </c>
      <c r="J407" s="4" t="str">
        <f>INDEX(products!$A$1:$G$49,MATCH(orders!$D407,products!$A$1:$A$49,0),MATCH(orders!J$1,products!$A$1:$G$1,0))</f>
        <v>M</v>
      </c>
      <c r="K407" s="6">
        <f>INDEX(products!$A$1:$G$49,MATCH(orders!$D407,products!$A$1:$A$49,0),MATCH(orders!K$1,products!$A$1:$G$1,0))</f>
        <v>0.5</v>
      </c>
      <c r="L407" s="7">
        <f>INDEX(products!$A$1:$G$49,MATCH(orders!$D407,products!$A$1:$A$49,0),MATCH(orders!L$1,products!$A$1:$G$1,0))</f>
        <v>8.25</v>
      </c>
      <c r="M407" s="7">
        <f t="shared" si="6"/>
        <v>24.75</v>
      </c>
      <c r="N407" s="4" t="str" cm="1">
        <f t="array" ref="N407">_xlfn.IFS(I407="Rob","Robusta",I407="Exc","Excelsa",I407="Ara","Arabica",I407="Lib","Liberica")</f>
        <v>Excelsa</v>
      </c>
      <c r="O407" s="4" t="str" cm="1">
        <f t="array" ref="O407">_xlfn.IFS(J407="M","Medium",J407="L","Light",J407="D","Dark")</f>
        <v>Medium</v>
      </c>
      <c r="P407" s="4" t="str">
        <f>_xlfn.XLOOKUP(CoffeeOrderstable[[#This Row],[Customer ID]],customers!$A$1:$A$1001,customers!$I$1:$I$1001,,0)</f>
        <v>Yes</v>
      </c>
    </row>
    <row r="408" spans="1:16" x14ac:dyDescent="0.3">
      <c r="A408" s="3" t="s">
        <v>2781</v>
      </c>
      <c r="B408" s="5">
        <v>44416</v>
      </c>
      <c r="C408" s="3" t="s">
        <v>2782</v>
      </c>
      <c r="D408" s="4" t="s">
        <v>6141</v>
      </c>
      <c r="E408" s="3">
        <v>5</v>
      </c>
      <c r="F408" s="3" t="str">
        <f>_xlfn.XLOOKUP(C408,customers!$A$1:$A$1001,customers!$B$1:$B$1001,,0)</f>
        <v>Auguste Rizon</v>
      </c>
      <c r="G408" s="3" t="str">
        <f>IF(_xlfn.XLOOKUP(C408,customers!$A$1:$A$1001,customers!$C$1:$C$1001,,0)=0,"", _xlfn.XLOOKUP(C408,customers!$A$1:$A$1001,customers!$C$1:$C$1001,,0))</f>
        <v>arizonba@xing.com</v>
      </c>
      <c r="H408" s="3" t="str">
        <f>_xlfn.XLOOKUP(C408,customers!$A$1:$A$1001,customers!$G$1:$G$1001,,0)</f>
        <v>United States</v>
      </c>
      <c r="I408" s="4" t="str">
        <f>INDEX(products!$A$1:$G$49,MATCH(orders!$D408,products!$A$1:$A$49,0),MATCH(orders!I$1,products!$A$1:$G$1,0))</f>
        <v>Exc</v>
      </c>
      <c r="J408" s="4" t="str">
        <f>INDEX(products!$A$1:$G$49,MATCH(orders!$D408,products!$A$1:$A$49,0),MATCH(orders!J$1,products!$A$1:$G$1,0))</f>
        <v>M</v>
      </c>
      <c r="K408" s="6">
        <f>INDEX(products!$A$1:$G$49,MATCH(orders!$D408,products!$A$1:$A$49,0),MATCH(orders!K$1,products!$A$1:$G$1,0))</f>
        <v>1</v>
      </c>
      <c r="L408" s="7">
        <f>INDEX(products!$A$1:$G$49,MATCH(orders!$D408,products!$A$1:$A$49,0),MATCH(orders!L$1,products!$A$1:$G$1,0))</f>
        <v>13.75</v>
      </c>
      <c r="M408" s="7">
        <f t="shared" si="6"/>
        <v>68.75</v>
      </c>
      <c r="N408" s="4" t="str" cm="1">
        <f t="array" ref="N408">_xlfn.IFS(I408="Rob","Robusta",I408="Exc","Excelsa",I408="Ara","Arabica",I408="Lib","Liberica")</f>
        <v>Excelsa</v>
      </c>
      <c r="O408" s="4" t="str" cm="1">
        <f t="array" ref="O408">_xlfn.IFS(J408="M","Medium",J408="L","Light",J408="D","Dark")</f>
        <v>Medium</v>
      </c>
      <c r="P408" s="4" t="str">
        <f>_xlfn.XLOOKUP(CoffeeOrderstable[[#This Row],[Customer ID]],customers!$A$1:$A$1001,customers!$I$1:$I$1001,,0)</f>
        <v>Yes</v>
      </c>
    </row>
    <row r="409" spans="1:16" x14ac:dyDescent="0.3">
      <c r="A409" s="3" t="s">
        <v>2787</v>
      </c>
      <c r="B409" s="5">
        <v>44595</v>
      </c>
      <c r="C409" s="3" t="s">
        <v>2788</v>
      </c>
      <c r="D409" s="4" t="s">
        <v>6139</v>
      </c>
      <c r="E409" s="3">
        <v>6</v>
      </c>
      <c r="F409" s="3" t="str">
        <f>_xlfn.XLOOKUP(C409,customers!$A$1:$A$1001,customers!$B$1:$B$1001,,0)</f>
        <v>Lorin Guerrazzi</v>
      </c>
      <c r="G409" s="3" t="str">
        <f>IF(_xlfn.XLOOKUP(C409,customers!$A$1:$A$1001,customers!$C$1:$C$1001,,0)=0,"", _xlfn.XLOOKUP(C409,customers!$A$1:$A$1001,customers!$C$1:$C$1001,,0))</f>
        <v/>
      </c>
      <c r="H409" s="3" t="str">
        <f>_xlfn.XLOOKUP(C409,customers!$A$1:$A$1001,customers!$G$1:$G$1001,,0)</f>
        <v>Ireland</v>
      </c>
      <c r="I409" s="4" t="str">
        <f>INDEX(products!$A$1:$G$49,MATCH(orders!$D409,products!$A$1:$A$49,0),MATCH(orders!I$1,products!$A$1:$G$1,0))</f>
        <v>Exc</v>
      </c>
      <c r="J409" s="4" t="str">
        <f>INDEX(products!$A$1:$G$49,MATCH(orders!$D409,products!$A$1:$A$49,0),MATCH(orders!J$1,products!$A$1:$G$1,0))</f>
        <v>M</v>
      </c>
      <c r="K409" s="6">
        <f>INDEX(products!$A$1:$G$49,MATCH(orders!$D409,products!$A$1:$A$49,0),MATCH(orders!K$1,products!$A$1:$G$1,0))</f>
        <v>0.5</v>
      </c>
      <c r="L409" s="7">
        <f>INDEX(products!$A$1:$G$49,MATCH(orders!$D409,products!$A$1:$A$49,0),MATCH(orders!L$1,products!$A$1:$G$1,0))</f>
        <v>8.25</v>
      </c>
      <c r="M409" s="7">
        <f t="shared" si="6"/>
        <v>49.5</v>
      </c>
      <c r="N409" s="4" t="str" cm="1">
        <f t="array" ref="N409">_xlfn.IFS(I409="Rob","Robusta",I409="Exc","Excelsa",I409="Ara","Arabica",I409="Lib","Liberica")</f>
        <v>Excelsa</v>
      </c>
      <c r="O409" s="4" t="str" cm="1">
        <f t="array" ref="O409">_xlfn.IFS(J409="M","Medium",J409="L","Light",J409="D","Dark")</f>
        <v>Medium</v>
      </c>
      <c r="P409" s="4" t="str">
        <f>_xlfn.XLOOKUP(CoffeeOrderstable[[#This Row],[Customer ID]],customers!$A$1:$A$1001,customers!$I$1:$I$1001,,0)</f>
        <v>No</v>
      </c>
    </row>
    <row r="410" spans="1:16" x14ac:dyDescent="0.3">
      <c r="A410" s="3" t="s">
        <v>2792</v>
      </c>
      <c r="B410" s="5">
        <v>44659</v>
      </c>
      <c r="C410" s="3" t="s">
        <v>2793</v>
      </c>
      <c r="D410" s="4" t="s">
        <v>6175</v>
      </c>
      <c r="E410" s="3">
        <v>2</v>
      </c>
      <c r="F410" s="3" t="str">
        <f>_xlfn.XLOOKUP(C410,customers!$A$1:$A$1001,customers!$B$1:$B$1001,,0)</f>
        <v>Felice Miell</v>
      </c>
      <c r="G410" s="3" t="str">
        <f>IF(_xlfn.XLOOKUP(C410,customers!$A$1:$A$1001,customers!$C$1:$C$1001,,0)=0,"", _xlfn.XLOOKUP(C410,customers!$A$1:$A$1001,customers!$C$1:$C$1001,,0))</f>
        <v>fmiellbc@spiegel.de</v>
      </c>
      <c r="H410" s="3" t="str">
        <f>_xlfn.XLOOKUP(C410,customers!$A$1:$A$1001,customers!$G$1:$G$1001,,0)</f>
        <v>United States</v>
      </c>
      <c r="I410" s="4" t="str">
        <f>INDEX(products!$A$1:$G$49,MATCH(orders!$D410,products!$A$1:$A$49,0),MATCH(orders!I$1,products!$A$1:$G$1,0))</f>
        <v>Ara</v>
      </c>
      <c r="J410" s="4" t="str">
        <f>INDEX(products!$A$1:$G$49,MATCH(orders!$D410,products!$A$1:$A$49,0),MATCH(orders!J$1,products!$A$1:$G$1,0))</f>
        <v>M</v>
      </c>
      <c r="K410" s="6">
        <f>INDEX(products!$A$1:$G$49,MATCH(orders!$D410,products!$A$1:$A$49,0),MATCH(orders!K$1,products!$A$1:$G$1,0))</f>
        <v>2.5</v>
      </c>
      <c r="L410" s="7">
        <f>INDEX(products!$A$1:$G$49,MATCH(orders!$D410,products!$A$1:$A$49,0),MATCH(orders!L$1,products!$A$1:$G$1,0))</f>
        <v>25.874999999999996</v>
      </c>
      <c r="M410" s="7">
        <f t="shared" si="6"/>
        <v>51.749999999999993</v>
      </c>
      <c r="N410" s="4" t="str" cm="1">
        <f t="array" ref="N410">_xlfn.IFS(I410="Rob","Robusta",I410="Exc","Excelsa",I410="Ara","Arabica",I410="Lib","Liberica")</f>
        <v>Arabica</v>
      </c>
      <c r="O410" s="4" t="str" cm="1">
        <f t="array" ref="O410">_xlfn.IFS(J410="M","Medium",J410="L","Light",J410="D","Dark")</f>
        <v>Medium</v>
      </c>
      <c r="P410" s="4" t="str">
        <f>_xlfn.XLOOKUP(CoffeeOrderstable[[#This Row],[Customer ID]],customers!$A$1:$A$1001,customers!$I$1:$I$1001,,0)</f>
        <v>Yes</v>
      </c>
    </row>
    <row r="411" spans="1:16" x14ac:dyDescent="0.3">
      <c r="A411" s="3" t="s">
        <v>2798</v>
      </c>
      <c r="B411" s="5">
        <v>44203</v>
      </c>
      <c r="C411" s="3" t="s">
        <v>2799</v>
      </c>
      <c r="D411" s="4" t="s">
        <v>6170</v>
      </c>
      <c r="E411" s="3">
        <v>3</v>
      </c>
      <c r="F411" s="3" t="str">
        <f>_xlfn.XLOOKUP(C411,customers!$A$1:$A$1001,customers!$B$1:$B$1001,,0)</f>
        <v>Hamish Skeech</v>
      </c>
      <c r="G411" s="3" t="str">
        <f>IF(_xlfn.XLOOKUP(C411,customers!$A$1:$A$1001,customers!$C$1:$C$1001,,0)=0,"", _xlfn.XLOOKUP(C411,customers!$A$1:$A$1001,customers!$C$1:$C$1001,,0))</f>
        <v/>
      </c>
      <c r="H411" s="3" t="str">
        <f>_xlfn.XLOOKUP(C411,customers!$A$1:$A$1001,customers!$G$1:$G$1001,,0)</f>
        <v>Ireland</v>
      </c>
      <c r="I411" s="4" t="str">
        <f>INDEX(products!$A$1:$G$49,MATCH(orders!$D411,products!$A$1:$A$49,0),MATCH(orders!I$1,products!$A$1:$G$1,0))</f>
        <v>Lib</v>
      </c>
      <c r="J411" s="4" t="str">
        <f>INDEX(products!$A$1:$G$49,MATCH(orders!$D411,products!$A$1:$A$49,0),MATCH(orders!J$1,products!$A$1:$G$1,0))</f>
        <v>L</v>
      </c>
      <c r="K411" s="6">
        <f>INDEX(products!$A$1:$G$49,MATCH(orders!$D411,products!$A$1:$A$49,0),MATCH(orders!K$1,products!$A$1:$G$1,0))</f>
        <v>1</v>
      </c>
      <c r="L411" s="7">
        <f>INDEX(products!$A$1:$G$49,MATCH(orders!$D411,products!$A$1:$A$49,0),MATCH(orders!L$1,products!$A$1:$G$1,0))</f>
        <v>15.85</v>
      </c>
      <c r="M411" s="7">
        <f t="shared" si="6"/>
        <v>47.55</v>
      </c>
      <c r="N411" s="4" t="str" cm="1">
        <f t="array" ref="N411">_xlfn.IFS(I411="Rob","Robusta",I411="Exc","Excelsa",I411="Ara","Arabica",I411="Lib","Liberica")</f>
        <v>Liberica</v>
      </c>
      <c r="O411" s="4" t="str" cm="1">
        <f t="array" ref="O411">_xlfn.IFS(J411="M","Medium",J411="L","Light",J411="D","Dark")</f>
        <v>Light</v>
      </c>
      <c r="P411" s="4" t="str">
        <f>_xlfn.XLOOKUP(CoffeeOrderstable[[#This Row],[Customer ID]],customers!$A$1:$A$1001,customers!$I$1:$I$1001,,0)</f>
        <v>Yes</v>
      </c>
    </row>
    <row r="412" spans="1:16" x14ac:dyDescent="0.3">
      <c r="A412" s="3" t="s">
        <v>2803</v>
      </c>
      <c r="B412" s="5">
        <v>44441</v>
      </c>
      <c r="C412" s="3" t="s">
        <v>2804</v>
      </c>
      <c r="D412" s="4" t="s">
        <v>6167</v>
      </c>
      <c r="E412" s="3">
        <v>4</v>
      </c>
      <c r="F412" s="3" t="str">
        <f>_xlfn.XLOOKUP(C412,customers!$A$1:$A$1001,customers!$B$1:$B$1001,,0)</f>
        <v>Giordano Lorenzin</v>
      </c>
      <c r="G412" s="3" t="str">
        <f>IF(_xlfn.XLOOKUP(C412,customers!$A$1:$A$1001,customers!$C$1:$C$1001,,0)=0,"", _xlfn.XLOOKUP(C412,customers!$A$1:$A$1001,customers!$C$1:$C$1001,,0))</f>
        <v/>
      </c>
      <c r="H412" s="3" t="str">
        <f>_xlfn.XLOOKUP(C412,customers!$A$1:$A$1001,customers!$G$1:$G$1001,,0)</f>
        <v>United States</v>
      </c>
      <c r="I412" s="4" t="str">
        <f>INDEX(products!$A$1:$G$49,MATCH(orders!$D412,products!$A$1:$A$49,0),MATCH(orders!I$1,products!$A$1:$G$1,0))</f>
        <v>Ara</v>
      </c>
      <c r="J412" s="4" t="str">
        <f>INDEX(products!$A$1:$G$49,MATCH(orders!$D412,products!$A$1:$A$49,0),MATCH(orders!J$1,products!$A$1:$G$1,0))</f>
        <v>L</v>
      </c>
      <c r="K412" s="6">
        <f>INDEX(products!$A$1:$G$49,MATCH(orders!$D412,products!$A$1:$A$49,0),MATCH(orders!K$1,products!$A$1:$G$1,0))</f>
        <v>0.2</v>
      </c>
      <c r="L412" s="7">
        <f>INDEX(products!$A$1:$G$49,MATCH(orders!$D412,products!$A$1:$A$49,0),MATCH(orders!L$1,products!$A$1:$G$1,0))</f>
        <v>3.8849999999999998</v>
      </c>
      <c r="M412" s="7">
        <f t="shared" si="6"/>
        <v>15.54</v>
      </c>
      <c r="N412" s="4" t="str" cm="1">
        <f t="array" ref="N412">_xlfn.IFS(I412="Rob","Robusta",I412="Exc","Excelsa",I412="Ara","Arabica",I412="Lib","Liberica")</f>
        <v>Arabica</v>
      </c>
      <c r="O412" s="4" t="str" cm="1">
        <f t="array" ref="O412">_xlfn.IFS(J412="M","Medium",J412="L","Light",J412="D","Dark")</f>
        <v>Light</v>
      </c>
      <c r="P412" s="4" t="str">
        <f>_xlfn.XLOOKUP(CoffeeOrderstable[[#This Row],[Customer ID]],customers!$A$1:$A$1001,customers!$I$1:$I$1001,,0)</f>
        <v>No</v>
      </c>
    </row>
    <row r="413" spans="1:16" x14ac:dyDescent="0.3">
      <c r="A413" s="3" t="s">
        <v>2808</v>
      </c>
      <c r="B413" s="5">
        <v>44504</v>
      </c>
      <c r="C413" s="3" t="s">
        <v>2809</v>
      </c>
      <c r="D413" s="4" t="s">
        <v>6162</v>
      </c>
      <c r="E413" s="3">
        <v>6</v>
      </c>
      <c r="F413" s="3" t="str">
        <f>_xlfn.XLOOKUP(C413,customers!$A$1:$A$1001,customers!$B$1:$B$1001,,0)</f>
        <v>Harwilll Bishell</v>
      </c>
      <c r="G413" s="3" t="str">
        <f>IF(_xlfn.XLOOKUP(C413,customers!$A$1:$A$1001,customers!$C$1:$C$1001,,0)=0,"", _xlfn.XLOOKUP(C413,customers!$A$1:$A$1001,customers!$C$1:$C$1001,,0))</f>
        <v/>
      </c>
      <c r="H413" s="3" t="str">
        <f>_xlfn.XLOOKUP(C413,customers!$A$1:$A$1001,customers!$G$1:$G$1001,,0)</f>
        <v>United States</v>
      </c>
      <c r="I413" s="4" t="str">
        <f>INDEX(products!$A$1:$G$49,MATCH(orders!$D413,products!$A$1:$A$49,0),MATCH(orders!I$1,products!$A$1:$G$1,0))</f>
        <v>Lib</v>
      </c>
      <c r="J413" s="4" t="str">
        <f>INDEX(products!$A$1:$G$49,MATCH(orders!$D413,products!$A$1:$A$49,0),MATCH(orders!J$1,products!$A$1:$G$1,0))</f>
        <v>M</v>
      </c>
      <c r="K413" s="6">
        <f>INDEX(products!$A$1:$G$49,MATCH(orders!$D413,products!$A$1:$A$49,0),MATCH(orders!K$1,products!$A$1:$G$1,0))</f>
        <v>1</v>
      </c>
      <c r="L413" s="7">
        <f>INDEX(products!$A$1:$G$49,MATCH(orders!$D413,products!$A$1:$A$49,0),MATCH(orders!L$1,products!$A$1:$G$1,0))</f>
        <v>14.55</v>
      </c>
      <c r="M413" s="7">
        <f t="shared" si="6"/>
        <v>87.300000000000011</v>
      </c>
      <c r="N413" s="4" t="str" cm="1">
        <f t="array" ref="N413">_xlfn.IFS(I413="Rob","Robusta",I413="Exc","Excelsa",I413="Ara","Arabica",I413="Lib","Liberica")</f>
        <v>Liberica</v>
      </c>
      <c r="O413" s="4" t="str" cm="1">
        <f t="array" ref="O413">_xlfn.IFS(J413="M","Medium",J413="L","Light",J413="D","Dark")</f>
        <v>Medium</v>
      </c>
      <c r="P413" s="4" t="str">
        <f>_xlfn.XLOOKUP(CoffeeOrderstable[[#This Row],[Customer ID]],customers!$A$1:$A$1001,customers!$I$1:$I$1001,,0)</f>
        <v>Yes</v>
      </c>
    </row>
    <row r="414" spans="1:16" x14ac:dyDescent="0.3">
      <c r="A414" s="3" t="s">
        <v>2813</v>
      </c>
      <c r="B414" s="5">
        <v>44410</v>
      </c>
      <c r="C414" s="3" t="s">
        <v>2814</v>
      </c>
      <c r="D414" s="4" t="s">
        <v>6155</v>
      </c>
      <c r="E414" s="3">
        <v>5</v>
      </c>
      <c r="F414" s="3" t="str">
        <f>_xlfn.XLOOKUP(C414,customers!$A$1:$A$1001,customers!$B$1:$B$1001,,0)</f>
        <v>Freeland Missenden</v>
      </c>
      <c r="G414" s="3" t="str">
        <f>IF(_xlfn.XLOOKUP(C414,customers!$A$1:$A$1001,customers!$C$1:$C$1001,,0)=0,"", _xlfn.XLOOKUP(C414,customers!$A$1:$A$1001,customers!$C$1:$C$1001,,0))</f>
        <v/>
      </c>
      <c r="H414" s="3" t="str">
        <f>_xlfn.XLOOKUP(C414,customers!$A$1:$A$1001,customers!$G$1:$G$1001,,0)</f>
        <v>United States</v>
      </c>
      <c r="I414" s="4" t="str">
        <f>INDEX(products!$A$1:$G$49,MATCH(orders!$D414,products!$A$1:$A$49,0),MATCH(orders!I$1,products!$A$1:$G$1,0))</f>
        <v>Ara</v>
      </c>
      <c r="J414" s="4" t="str">
        <f>INDEX(products!$A$1:$G$49,MATCH(orders!$D414,products!$A$1:$A$49,0),MATCH(orders!J$1,products!$A$1:$G$1,0))</f>
        <v>M</v>
      </c>
      <c r="K414" s="6">
        <f>INDEX(products!$A$1:$G$49,MATCH(orders!$D414,products!$A$1:$A$49,0),MATCH(orders!K$1,products!$A$1:$G$1,0))</f>
        <v>1</v>
      </c>
      <c r="L414" s="7">
        <f>INDEX(products!$A$1:$G$49,MATCH(orders!$D414,products!$A$1:$A$49,0),MATCH(orders!L$1,products!$A$1:$G$1,0))</f>
        <v>11.25</v>
      </c>
      <c r="M414" s="7">
        <f t="shared" si="6"/>
        <v>56.25</v>
      </c>
      <c r="N414" s="4" t="str" cm="1">
        <f t="array" ref="N414">_xlfn.IFS(I414="Rob","Robusta",I414="Exc","Excelsa",I414="Ara","Arabica",I414="Lib","Liberica")</f>
        <v>Arabica</v>
      </c>
      <c r="O414" s="4" t="str" cm="1">
        <f t="array" ref="O414">_xlfn.IFS(J414="M","Medium",J414="L","Light",J414="D","Dark")</f>
        <v>Medium</v>
      </c>
      <c r="P414" s="4" t="str">
        <f>_xlfn.XLOOKUP(CoffeeOrderstable[[#This Row],[Customer ID]],customers!$A$1:$A$1001,customers!$I$1:$I$1001,,0)</f>
        <v>Yes</v>
      </c>
    </row>
    <row r="415" spans="1:16" x14ac:dyDescent="0.3">
      <c r="A415" s="3" t="s">
        <v>2818</v>
      </c>
      <c r="B415" s="5">
        <v>43857</v>
      </c>
      <c r="C415" s="3" t="s">
        <v>2819</v>
      </c>
      <c r="D415" s="4" t="s">
        <v>6164</v>
      </c>
      <c r="E415" s="3">
        <v>1</v>
      </c>
      <c r="F415" s="3" t="str">
        <f>_xlfn.XLOOKUP(C415,customers!$A$1:$A$1001,customers!$B$1:$B$1001,,0)</f>
        <v>Waylan Springall</v>
      </c>
      <c r="G415" s="3" t="str">
        <f>IF(_xlfn.XLOOKUP(C415,customers!$A$1:$A$1001,customers!$C$1:$C$1001,,0)=0,"", _xlfn.XLOOKUP(C415,customers!$A$1:$A$1001,customers!$C$1:$C$1001,,0))</f>
        <v>wspringallbh@jugem.jp</v>
      </c>
      <c r="H415" s="3" t="str">
        <f>_xlfn.XLOOKUP(C415,customers!$A$1:$A$1001,customers!$G$1:$G$1001,,0)</f>
        <v>United States</v>
      </c>
      <c r="I415" s="4" t="str">
        <f>INDEX(products!$A$1:$G$49,MATCH(orders!$D415,products!$A$1:$A$49,0),MATCH(orders!I$1,products!$A$1:$G$1,0))</f>
        <v>Lib</v>
      </c>
      <c r="J415" s="4" t="str">
        <f>INDEX(products!$A$1:$G$49,MATCH(orders!$D415,products!$A$1:$A$49,0),MATCH(orders!J$1,products!$A$1:$G$1,0))</f>
        <v>L</v>
      </c>
      <c r="K415" s="6">
        <f>INDEX(products!$A$1:$G$49,MATCH(orders!$D415,products!$A$1:$A$49,0),MATCH(orders!K$1,products!$A$1:$G$1,0))</f>
        <v>2.5</v>
      </c>
      <c r="L415" s="7">
        <f>INDEX(products!$A$1:$G$49,MATCH(orders!$D415,products!$A$1:$A$49,0),MATCH(orders!L$1,products!$A$1:$G$1,0))</f>
        <v>36.454999999999998</v>
      </c>
      <c r="M415" s="7">
        <f t="shared" si="6"/>
        <v>36.454999999999998</v>
      </c>
      <c r="N415" s="4" t="str" cm="1">
        <f t="array" ref="N415">_xlfn.IFS(I415="Rob","Robusta",I415="Exc","Excelsa",I415="Ara","Arabica",I415="Lib","Liberica")</f>
        <v>Liberica</v>
      </c>
      <c r="O415" s="4" t="str" cm="1">
        <f t="array" ref="O415">_xlfn.IFS(J415="M","Medium",J415="L","Light",J415="D","Dark")</f>
        <v>Light</v>
      </c>
      <c r="P415" s="4" t="str">
        <f>_xlfn.XLOOKUP(CoffeeOrderstable[[#This Row],[Customer ID]],customers!$A$1:$A$1001,customers!$I$1:$I$1001,,0)</f>
        <v>Yes</v>
      </c>
    </row>
    <row r="416" spans="1:16" x14ac:dyDescent="0.3">
      <c r="A416" s="3" t="s">
        <v>2824</v>
      </c>
      <c r="B416" s="5">
        <v>43802</v>
      </c>
      <c r="C416" s="3" t="s">
        <v>2825</v>
      </c>
      <c r="D416" s="4" t="s">
        <v>6178</v>
      </c>
      <c r="E416" s="3">
        <v>3</v>
      </c>
      <c r="F416" s="3" t="str">
        <f>_xlfn.XLOOKUP(C416,customers!$A$1:$A$1001,customers!$B$1:$B$1001,,0)</f>
        <v>Kiri Avramow</v>
      </c>
      <c r="G416" s="3" t="str">
        <f>IF(_xlfn.XLOOKUP(C416,customers!$A$1:$A$1001,customers!$C$1:$C$1001,,0)=0,"", _xlfn.XLOOKUP(C416,customers!$A$1:$A$1001,customers!$C$1:$C$1001,,0))</f>
        <v/>
      </c>
      <c r="H416" s="3" t="str">
        <f>_xlfn.XLOOKUP(C416,customers!$A$1:$A$1001,customers!$G$1:$G$1001,,0)</f>
        <v>United States</v>
      </c>
      <c r="I416" s="4" t="str">
        <f>INDEX(products!$A$1:$G$49,MATCH(orders!$D416,products!$A$1:$A$49,0),MATCH(orders!I$1,products!$A$1:$G$1,0))</f>
        <v>Rob</v>
      </c>
      <c r="J416" s="4" t="str">
        <f>INDEX(products!$A$1:$G$49,MATCH(orders!$D416,products!$A$1:$A$49,0),MATCH(orders!J$1,products!$A$1:$G$1,0))</f>
        <v>L</v>
      </c>
      <c r="K416" s="6">
        <f>INDEX(products!$A$1:$G$49,MATCH(orders!$D416,products!$A$1:$A$49,0),MATCH(orders!K$1,products!$A$1:$G$1,0))</f>
        <v>0.2</v>
      </c>
      <c r="L416" s="7">
        <f>INDEX(products!$A$1:$G$49,MATCH(orders!$D416,products!$A$1:$A$49,0),MATCH(orders!L$1,products!$A$1:$G$1,0))</f>
        <v>3.5849999999999995</v>
      </c>
      <c r="M416" s="7">
        <f t="shared" si="6"/>
        <v>10.754999999999999</v>
      </c>
      <c r="N416" s="4" t="str" cm="1">
        <f t="array" ref="N416">_xlfn.IFS(I416="Rob","Robusta",I416="Exc","Excelsa",I416="Ara","Arabica",I416="Lib","Liberica")</f>
        <v>Robusta</v>
      </c>
      <c r="O416" s="4" t="str" cm="1">
        <f t="array" ref="O416">_xlfn.IFS(J416="M","Medium",J416="L","Light",J416="D","Dark")</f>
        <v>Light</v>
      </c>
      <c r="P416" s="4" t="str">
        <f>_xlfn.XLOOKUP(CoffeeOrderstable[[#This Row],[Customer ID]],customers!$A$1:$A$1001,customers!$I$1:$I$1001,,0)</f>
        <v>Yes</v>
      </c>
    </row>
    <row r="417" spans="1:16" x14ac:dyDescent="0.3">
      <c r="A417" s="3" t="s">
        <v>2829</v>
      </c>
      <c r="B417" s="5">
        <v>43683</v>
      </c>
      <c r="C417" s="3" t="s">
        <v>2830</v>
      </c>
      <c r="D417" s="4" t="s">
        <v>6174</v>
      </c>
      <c r="E417" s="3">
        <v>3</v>
      </c>
      <c r="F417" s="3" t="str">
        <f>_xlfn.XLOOKUP(C417,customers!$A$1:$A$1001,customers!$B$1:$B$1001,,0)</f>
        <v>Gregg Hawkyens</v>
      </c>
      <c r="G417" s="3" t="str">
        <f>IF(_xlfn.XLOOKUP(C417,customers!$A$1:$A$1001,customers!$C$1:$C$1001,,0)=0,"", _xlfn.XLOOKUP(C417,customers!$A$1:$A$1001,customers!$C$1:$C$1001,,0))</f>
        <v>ghawkyensbj@census.gov</v>
      </c>
      <c r="H417" s="3" t="str">
        <f>_xlfn.XLOOKUP(C417,customers!$A$1:$A$1001,customers!$G$1:$G$1001,,0)</f>
        <v>United States</v>
      </c>
      <c r="I417" s="4" t="str">
        <f>INDEX(products!$A$1:$G$49,MATCH(orders!$D417,products!$A$1:$A$49,0),MATCH(orders!I$1,products!$A$1:$G$1,0))</f>
        <v>Rob</v>
      </c>
      <c r="J417" s="4" t="str">
        <f>INDEX(products!$A$1:$G$49,MATCH(orders!$D417,products!$A$1:$A$49,0),MATCH(orders!J$1,products!$A$1:$G$1,0))</f>
        <v>M</v>
      </c>
      <c r="K417" s="6">
        <f>INDEX(products!$A$1:$G$49,MATCH(orders!$D417,products!$A$1:$A$49,0),MATCH(orders!K$1,products!$A$1:$G$1,0))</f>
        <v>0.2</v>
      </c>
      <c r="L417" s="7">
        <f>INDEX(products!$A$1:$G$49,MATCH(orders!$D417,products!$A$1:$A$49,0),MATCH(orders!L$1,products!$A$1:$G$1,0))</f>
        <v>2.9849999999999999</v>
      </c>
      <c r="M417" s="7">
        <f t="shared" si="6"/>
        <v>8.9550000000000001</v>
      </c>
      <c r="N417" s="4" t="str" cm="1">
        <f t="array" ref="N417">_xlfn.IFS(I417="Rob","Robusta",I417="Exc","Excelsa",I417="Ara","Arabica",I417="Lib","Liberica")</f>
        <v>Robusta</v>
      </c>
      <c r="O417" s="4" t="str" cm="1">
        <f t="array" ref="O417">_xlfn.IFS(J417="M","Medium",J417="L","Light",J417="D","Dark")</f>
        <v>Medium</v>
      </c>
      <c r="P417" s="4" t="str">
        <f>_xlfn.XLOOKUP(CoffeeOrderstable[[#This Row],[Customer ID]],customers!$A$1:$A$1001,customers!$I$1:$I$1001,,0)</f>
        <v>No</v>
      </c>
    </row>
    <row r="418" spans="1:16" x14ac:dyDescent="0.3">
      <c r="A418" s="3" t="s">
        <v>2834</v>
      </c>
      <c r="B418" s="5">
        <v>43901</v>
      </c>
      <c r="C418" s="3" t="s">
        <v>2835</v>
      </c>
      <c r="D418" s="4" t="s">
        <v>6180</v>
      </c>
      <c r="E418" s="3">
        <v>3</v>
      </c>
      <c r="F418" s="3" t="str">
        <f>_xlfn.XLOOKUP(C418,customers!$A$1:$A$1001,customers!$B$1:$B$1001,,0)</f>
        <v>Reggis Pracy</v>
      </c>
      <c r="G418" s="3" t="str">
        <f>IF(_xlfn.XLOOKUP(C418,customers!$A$1:$A$1001,customers!$C$1:$C$1001,,0)=0,"", _xlfn.XLOOKUP(C418,customers!$A$1:$A$1001,customers!$C$1:$C$1001,,0))</f>
        <v/>
      </c>
      <c r="H418" s="3" t="str">
        <f>_xlfn.XLOOKUP(C418,customers!$A$1:$A$1001,customers!$G$1:$G$1001,,0)</f>
        <v>United States</v>
      </c>
      <c r="I418" s="4" t="str">
        <f>INDEX(products!$A$1:$G$49,MATCH(orders!$D418,products!$A$1:$A$49,0),MATCH(orders!I$1,products!$A$1:$G$1,0))</f>
        <v>Ara</v>
      </c>
      <c r="J418" s="4" t="str">
        <f>INDEX(products!$A$1:$G$49,MATCH(orders!$D418,products!$A$1:$A$49,0),MATCH(orders!J$1,products!$A$1:$G$1,0))</f>
        <v>L</v>
      </c>
      <c r="K418" s="6">
        <f>INDEX(products!$A$1:$G$49,MATCH(orders!$D418,products!$A$1:$A$49,0),MATCH(orders!K$1,products!$A$1:$G$1,0))</f>
        <v>0.5</v>
      </c>
      <c r="L418" s="7">
        <f>INDEX(products!$A$1:$G$49,MATCH(orders!$D418,products!$A$1:$A$49,0),MATCH(orders!L$1,products!$A$1:$G$1,0))</f>
        <v>7.77</v>
      </c>
      <c r="M418" s="7">
        <f t="shared" si="6"/>
        <v>23.31</v>
      </c>
      <c r="N418" s="4" t="str" cm="1">
        <f t="array" ref="N418">_xlfn.IFS(I418="Rob","Robusta",I418="Exc","Excelsa",I418="Ara","Arabica",I418="Lib","Liberica")</f>
        <v>Arabica</v>
      </c>
      <c r="O418" s="4" t="str" cm="1">
        <f t="array" ref="O418">_xlfn.IFS(J418="M","Medium",J418="L","Light",J418="D","Dark")</f>
        <v>Light</v>
      </c>
      <c r="P418" s="4" t="str">
        <f>_xlfn.XLOOKUP(CoffeeOrderstable[[#This Row],[Customer ID]],customers!$A$1:$A$1001,customers!$I$1:$I$1001,,0)</f>
        <v>Yes</v>
      </c>
    </row>
    <row r="419" spans="1:16" x14ac:dyDescent="0.3">
      <c r="A419" s="3" t="s">
        <v>2839</v>
      </c>
      <c r="B419" s="5">
        <v>44457</v>
      </c>
      <c r="C419" s="3" t="s">
        <v>2840</v>
      </c>
      <c r="D419" s="4" t="s">
        <v>6182</v>
      </c>
      <c r="E419" s="3">
        <v>1</v>
      </c>
      <c r="F419" s="3" t="str">
        <f>_xlfn.XLOOKUP(C419,customers!$A$1:$A$1001,customers!$B$1:$B$1001,,0)</f>
        <v>Paula Denis</v>
      </c>
      <c r="G419" s="3" t="str">
        <f>IF(_xlfn.XLOOKUP(C419,customers!$A$1:$A$1001,customers!$C$1:$C$1001,,0)=0,"", _xlfn.XLOOKUP(C419,customers!$A$1:$A$1001,customers!$C$1:$C$1001,,0))</f>
        <v/>
      </c>
      <c r="H419" s="3" t="str">
        <f>_xlfn.XLOOKUP(C419,customers!$A$1:$A$1001,customers!$G$1:$G$1001,,0)</f>
        <v>United States</v>
      </c>
      <c r="I419" s="4" t="str">
        <f>INDEX(products!$A$1:$G$49,MATCH(orders!$D419,products!$A$1:$A$49,0),MATCH(orders!I$1,products!$A$1:$G$1,0))</f>
        <v>Ara</v>
      </c>
      <c r="J419" s="4" t="str">
        <f>INDEX(products!$A$1:$G$49,MATCH(orders!$D419,products!$A$1:$A$49,0),MATCH(orders!J$1,products!$A$1:$G$1,0))</f>
        <v>L</v>
      </c>
      <c r="K419" s="6">
        <f>INDEX(products!$A$1:$G$49,MATCH(orders!$D419,products!$A$1:$A$49,0),MATCH(orders!K$1,products!$A$1:$G$1,0))</f>
        <v>2.5</v>
      </c>
      <c r="L419" s="7">
        <f>INDEX(products!$A$1:$G$49,MATCH(orders!$D419,products!$A$1:$A$49,0),MATCH(orders!L$1,products!$A$1:$G$1,0))</f>
        <v>29.784999999999997</v>
      </c>
      <c r="M419" s="7">
        <f t="shared" si="6"/>
        <v>29.784999999999997</v>
      </c>
      <c r="N419" s="4" t="str" cm="1">
        <f t="array" ref="N419">_xlfn.IFS(I419="Rob","Robusta",I419="Exc","Excelsa",I419="Ara","Arabica",I419="Lib","Liberica")</f>
        <v>Arabica</v>
      </c>
      <c r="O419" s="4" t="str" cm="1">
        <f t="array" ref="O419">_xlfn.IFS(J419="M","Medium",J419="L","Light",J419="D","Dark")</f>
        <v>Light</v>
      </c>
      <c r="P419" s="4" t="str">
        <f>_xlfn.XLOOKUP(CoffeeOrderstable[[#This Row],[Customer ID]],customers!$A$1:$A$1001,customers!$I$1:$I$1001,,0)</f>
        <v>Yes</v>
      </c>
    </row>
    <row r="420" spans="1:16" x14ac:dyDescent="0.3">
      <c r="A420" s="3" t="s">
        <v>2844</v>
      </c>
      <c r="B420" s="5">
        <v>44142</v>
      </c>
      <c r="C420" s="3" t="s">
        <v>2845</v>
      </c>
      <c r="D420" s="4" t="s">
        <v>6182</v>
      </c>
      <c r="E420" s="3">
        <v>5</v>
      </c>
      <c r="F420" s="3" t="str">
        <f>_xlfn.XLOOKUP(C420,customers!$A$1:$A$1001,customers!$B$1:$B$1001,,0)</f>
        <v>Broderick McGilvra</v>
      </c>
      <c r="G420" s="3" t="str">
        <f>IF(_xlfn.XLOOKUP(C420,customers!$A$1:$A$1001,customers!$C$1:$C$1001,,0)=0,"", _xlfn.XLOOKUP(C420,customers!$A$1:$A$1001,customers!$C$1:$C$1001,,0))</f>
        <v>bmcgilvrabm@so-net.ne.jp</v>
      </c>
      <c r="H420" s="3" t="str">
        <f>_xlfn.XLOOKUP(C420,customers!$A$1:$A$1001,customers!$G$1:$G$1001,,0)</f>
        <v>United States</v>
      </c>
      <c r="I420" s="4" t="str">
        <f>INDEX(products!$A$1:$G$49,MATCH(orders!$D420,products!$A$1:$A$49,0),MATCH(orders!I$1,products!$A$1:$G$1,0))</f>
        <v>Ara</v>
      </c>
      <c r="J420" s="4" t="str">
        <f>INDEX(products!$A$1:$G$49,MATCH(orders!$D420,products!$A$1:$A$49,0),MATCH(orders!J$1,products!$A$1:$G$1,0))</f>
        <v>L</v>
      </c>
      <c r="K420" s="6">
        <f>INDEX(products!$A$1:$G$49,MATCH(orders!$D420,products!$A$1:$A$49,0),MATCH(orders!K$1,products!$A$1:$G$1,0))</f>
        <v>2.5</v>
      </c>
      <c r="L420" s="7">
        <f>INDEX(products!$A$1:$G$49,MATCH(orders!$D420,products!$A$1:$A$49,0),MATCH(orders!L$1,products!$A$1:$G$1,0))</f>
        <v>29.784999999999997</v>
      </c>
      <c r="M420" s="7">
        <f t="shared" si="6"/>
        <v>148.92499999999998</v>
      </c>
      <c r="N420" s="4" t="str" cm="1">
        <f t="array" ref="N420">_xlfn.IFS(I420="Rob","Robusta",I420="Exc","Excelsa",I420="Ara","Arabica",I420="Lib","Liberica")</f>
        <v>Arabica</v>
      </c>
      <c r="O420" s="4" t="str" cm="1">
        <f t="array" ref="O420">_xlfn.IFS(J420="M","Medium",J420="L","Light",J420="D","Dark")</f>
        <v>Light</v>
      </c>
      <c r="P420" s="4" t="str">
        <f>_xlfn.XLOOKUP(CoffeeOrderstable[[#This Row],[Customer ID]],customers!$A$1:$A$1001,customers!$I$1:$I$1001,,0)</f>
        <v>Yes</v>
      </c>
    </row>
    <row r="421" spans="1:16" x14ac:dyDescent="0.3">
      <c r="A421" s="3" t="s">
        <v>2849</v>
      </c>
      <c r="B421" s="5">
        <v>44739</v>
      </c>
      <c r="C421" s="3" t="s">
        <v>2850</v>
      </c>
      <c r="D421" s="4" t="s">
        <v>6160</v>
      </c>
      <c r="E421" s="3">
        <v>1</v>
      </c>
      <c r="F421" s="3" t="str">
        <f>_xlfn.XLOOKUP(C421,customers!$A$1:$A$1001,customers!$B$1:$B$1001,,0)</f>
        <v>Annabella Danzey</v>
      </c>
      <c r="G421" s="3" t="str">
        <f>IF(_xlfn.XLOOKUP(C421,customers!$A$1:$A$1001,customers!$C$1:$C$1001,,0)=0,"", _xlfn.XLOOKUP(C421,customers!$A$1:$A$1001,customers!$C$1:$C$1001,,0))</f>
        <v>adanzeybn@github.com</v>
      </c>
      <c r="H421" s="3" t="str">
        <f>_xlfn.XLOOKUP(C421,customers!$A$1:$A$1001,customers!$G$1:$G$1001,,0)</f>
        <v>United States</v>
      </c>
      <c r="I421" s="4" t="str">
        <f>INDEX(products!$A$1:$G$49,MATCH(orders!$D421,products!$A$1:$A$49,0),MATCH(orders!I$1,products!$A$1:$G$1,0))</f>
        <v>Lib</v>
      </c>
      <c r="J421" s="4" t="str">
        <f>INDEX(products!$A$1:$G$49,MATCH(orders!$D421,products!$A$1:$A$49,0),MATCH(orders!J$1,products!$A$1:$G$1,0))</f>
        <v>M</v>
      </c>
      <c r="K421" s="6">
        <f>INDEX(products!$A$1:$G$49,MATCH(orders!$D421,products!$A$1:$A$49,0),MATCH(orders!K$1,products!$A$1:$G$1,0))</f>
        <v>0.5</v>
      </c>
      <c r="L421" s="7">
        <f>INDEX(products!$A$1:$G$49,MATCH(orders!$D421,products!$A$1:$A$49,0),MATCH(orders!L$1,products!$A$1:$G$1,0))</f>
        <v>8.73</v>
      </c>
      <c r="M421" s="7">
        <f t="shared" si="6"/>
        <v>8.73</v>
      </c>
      <c r="N421" s="4" t="str" cm="1">
        <f t="array" ref="N421">_xlfn.IFS(I421="Rob","Robusta",I421="Exc","Excelsa",I421="Ara","Arabica",I421="Lib","Liberica")</f>
        <v>Liberica</v>
      </c>
      <c r="O421" s="4" t="str" cm="1">
        <f t="array" ref="O421">_xlfn.IFS(J421="M","Medium",J421="L","Light",J421="D","Dark")</f>
        <v>Medium</v>
      </c>
      <c r="P421" s="4" t="str">
        <f>_xlfn.XLOOKUP(CoffeeOrderstable[[#This Row],[Customer ID]],customers!$A$1:$A$1001,customers!$I$1:$I$1001,,0)</f>
        <v>Yes</v>
      </c>
    </row>
    <row r="422" spans="1:16" x14ac:dyDescent="0.3">
      <c r="A422" s="3" t="s">
        <v>2855</v>
      </c>
      <c r="B422" s="5">
        <v>43866</v>
      </c>
      <c r="C422" s="3" t="s">
        <v>2586</v>
      </c>
      <c r="D422" s="4" t="s">
        <v>6169</v>
      </c>
      <c r="E422" s="3">
        <v>4</v>
      </c>
      <c r="F422" s="3" t="str">
        <f>_xlfn.XLOOKUP(C422,customers!$A$1:$A$1001,customers!$B$1:$B$1001,,0)</f>
        <v>Terri Farra</v>
      </c>
      <c r="G422" s="3" t="str">
        <f>IF(_xlfn.XLOOKUP(C422,customers!$A$1:$A$1001,customers!$C$1:$C$1001,,0)=0,"", _xlfn.XLOOKUP(C422,customers!$A$1:$A$1001,customers!$C$1:$C$1001,,0))</f>
        <v>tfarraac@behance.net</v>
      </c>
      <c r="H422" s="3" t="str">
        <f>_xlfn.XLOOKUP(C422,customers!$A$1:$A$1001,customers!$G$1:$G$1001,,0)</f>
        <v>United States</v>
      </c>
      <c r="I422" s="4" t="str">
        <f>INDEX(products!$A$1:$G$49,MATCH(orders!$D422,products!$A$1:$A$49,0),MATCH(orders!I$1,products!$A$1:$G$1,0))</f>
        <v>Lib</v>
      </c>
      <c r="J422" s="4" t="str">
        <f>INDEX(products!$A$1:$G$49,MATCH(orders!$D422,products!$A$1:$A$49,0),MATCH(orders!J$1,products!$A$1:$G$1,0))</f>
        <v>D</v>
      </c>
      <c r="K422" s="6">
        <f>INDEX(products!$A$1:$G$49,MATCH(orders!$D422,products!$A$1:$A$49,0),MATCH(orders!K$1,products!$A$1:$G$1,0))</f>
        <v>0.5</v>
      </c>
      <c r="L422" s="7">
        <f>INDEX(products!$A$1:$G$49,MATCH(orders!$D422,products!$A$1:$A$49,0),MATCH(orders!L$1,products!$A$1:$G$1,0))</f>
        <v>7.77</v>
      </c>
      <c r="M422" s="7">
        <f t="shared" si="6"/>
        <v>31.08</v>
      </c>
      <c r="N422" s="4" t="str" cm="1">
        <f t="array" ref="N422">_xlfn.IFS(I422="Rob","Robusta",I422="Exc","Excelsa",I422="Ara","Arabica",I422="Lib","Liberica")</f>
        <v>Liberica</v>
      </c>
      <c r="O422" s="4" t="str" cm="1">
        <f t="array" ref="O422">_xlfn.IFS(J422="M","Medium",J422="L","Light",J422="D","Dark")</f>
        <v>Dark</v>
      </c>
      <c r="P422" s="4" t="str">
        <f>_xlfn.XLOOKUP(CoffeeOrderstable[[#This Row],[Customer ID]],customers!$A$1:$A$1001,customers!$I$1:$I$1001,,0)</f>
        <v>No</v>
      </c>
    </row>
    <row r="423" spans="1:16" x14ac:dyDescent="0.3">
      <c r="A423" s="3" t="s">
        <v>2855</v>
      </c>
      <c r="B423" s="5">
        <v>43866</v>
      </c>
      <c r="C423" s="3" t="s">
        <v>2586</v>
      </c>
      <c r="D423" s="4" t="s">
        <v>6168</v>
      </c>
      <c r="E423" s="3">
        <v>6</v>
      </c>
      <c r="F423" s="3" t="str">
        <f>_xlfn.XLOOKUP(C423,customers!$A$1:$A$1001,customers!$B$1:$B$1001,,0)</f>
        <v>Terri Farra</v>
      </c>
      <c r="G423" s="3" t="str">
        <f>IF(_xlfn.XLOOKUP(C423,customers!$A$1:$A$1001,customers!$C$1:$C$1001,,0)=0,"", _xlfn.XLOOKUP(C423,customers!$A$1:$A$1001,customers!$C$1:$C$1001,,0))</f>
        <v>tfarraac@behance.net</v>
      </c>
      <c r="H423" s="3" t="str">
        <f>_xlfn.XLOOKUP(C423,customers!$A$1:$A$1001,customers!$G$1:$G$1001,,0)</f>
        <v>United States</v>
      </c>
      <c r="I423" s="4" t="str">
        <f>INDEX(products!$A$1:$G$49,MATCH(orders!$D423,products!$A$1:$A$49,0),MATCH(orders!I$1,products!$A$1:$G$1,0))</f>
        <v>Ara</v>
      </c>
      <c r="J423" s="4" t="str">
        <f>INDEX(products!$A$1:$G$49,MATCH(orders!$D423,products!$A$1:$A$49,0),MATCH(orders!J$1,products!$A$1:$G$1,0))</f>
        <v>D</v>
      </c>
      <c r="K423" s="6">
        <f>INDEX(products!$A$1:$G$49,MATCH(orders!$D423,products!$A$1:$A$49,0),MATCH(orders!K$1,products!$A$1:$G$1,0))</f>
        <v>2.5</v>
      </c>
      <c r="L423" s="7">
        <f>INDEX(products!$A$1:$G$49,MATCH(orders!$D423,products!$A$1:$A$49,0),MATCH(orders!L$1,products!$A$1:$G$1,0))</f>
        <v>22.884999999999998</v>
      </c>
      <c r="M423" s="7">
        <f t="shared" si="6"/>
        <v>137.31</v>
      </c>
      <c r="N423" s="4" t="str" cm="1">
        <f t="array" ref="N423">_xlfn.IFS(I423="Rob","Robusta",I423="Exc","Excelsa",I423="Ara","Arabica",I423="Lib","Liberica")</f>
        <v>Arabica</v>
      </c>
      <c r="O423" s="4" t="str" cm="1">
        <f t="array" ref="O423">_xlfn.IFS(J423="M","Medium",J423="L","Light",J423="D","Dark")</f>
        <v>Dark</v>
      </c>
      <c r="P423" s="4" t="str">
        <f>_xlfn.XLOOKUP(CoffeeOrderstable[[#This Row],[Customer ID]],customers!$A$1:$A$1001,customers!$I$1:$I$1001,,0)</f>
        <v>No</v>
      </c>
    </row>
    <row r="424" spans="1:16" x14ac:dyDescent="0.3">
      <c r="A424" s="3" t="s">
        <v>2866</v>
      </c>
      <c r="B424" s="5">
        <v>43868</v>
      </c>
      <c r="C424" s="3" t="s">
        <v>2867</v>
      </c>
      <c r="D424" s="4" t="s">
        <v>6158</v>
      </c>
      <c r="E424" s="3">
        <v>5</v>
      </c>
      <c r="F424" s="3" t="str">
        <f>_xlfn.XLOOKUP(C424,customers!$A$1:$A$1001,customers!$B$1:$B$1001,,0)</f>
        <v>Nevins Glowacz</v>
      </c>
      <c r="G424" s="3" t="str">
        <f>IF(_xlfn.XLOOKUP(C424,customers!$A$1:$A$1001,customers!$C$1:$C$1001,,0)=0,"", _xlfn.XLOOKUP(C424,customers!$A$1:$A$1001,customers!$C$1:$C$1001,,0))</f>
        <v/>
      </c>
      <c r="H424" s="3" t="str">
        <f>_xlfn.XLOOKUP(C424,customers!$A$1:$A$1001,customers!$G$1:$G$1001,,0)</f>
        <v>United States</v>
      </c>
      <c r="I424" s="4" t="str">
        <f>INDEX(products!$A$1:$G$49,MATCH(orders!$D424,products!$A$1:$A$49,0),MATCH(orders!I$1,products!$A$1:$G$1,0))</f>
        <v>Ara</v>
      </c>
      <c r="J424" s="4" t="str">
        <f>INDEX(products!$A$1:$G$49,MATCH(orders!$D424,products!$A$1:$A$49,0),MATCH(orders!J$1,products!$A$1:$G$1,0))</f>
        <v>D</v>
      </c>
      <c r="K424" s="6">
        <f>INDEX(products!$A$1:$G$49,MATCH(orders!$D424,products!$A$1:$A$49,0),MATCH(orders!K$1,products!$A$1:$G$1,0))</f>
        <v>0.5</v>
      </c>
      <c r="L424" s="7">
        <f>INDEX(products!$A$1:$G$49,MATCH(orders!$D424,products!$A$1:$A$49,0),MATCH(orders!L$1,products!$A$1:$G$1,0))</f>
        <v>5.97</v>
      </c>
      <c r="M424" s="7">
        <f t="shared" si="6"/>
        <v>29.849999999999998</v>
      </c>
      <c r="N424" s="4" t="str" cm="1">
        <f t="array" ref="N424">_xlfn.IFS(I424="Rob","Robusta",I424="Exc","Excelsa",I424="Ara","Arabica",I424="Lib","Liberica")</f>
        <v>Arabica</v>
      </c>
      <c r="O424" s="4" t="str" cm="1">
        <f t="array" ref="O424">_xlfn.IFS(J424="M","Medium",J424="L","Light",J424="D","Dark")</f>
        <v>Dark</v>
      </c>
      <c r="P424" s="4" t="str">
        <f>_xlfn.XLOOKUP(CoffeeOrderstable[[#This Row],[Customer ID]],customers!$A$1:$A$1001,customers!$I$1:$I$1001,,0)</f>
        <v>No</v>
      </c>
    </row>
    <row r="425" spans="1:16" x14ac:dyDescent="0.3">
      <c r="A425" s="3" t="s">
        <v>2871</v>
      </c>
      <c r="B425" s="5">
        <v>44183</v>
      </c>
      <c r="C425" s="3" t="s">
        <v>2872</v>
      </c>
      <c r="D425" s="4" t="s">
        <v>6146</v>
      </c>
      <c r="E425" s="3">
        <v>3</v>
      </c>
      <c r="F425" s="3" t="str">
        <f>_xlfn.XLOOKUP(C425,customers!$A$1:$A$1001,customers!$B$1:$B$1001,,0)</f>
        <v>Adelice Isabell</v>
      </c>
      <c r="G425" s="3" t="str">
        <f>IF(_xlfn.XLOOKUP(C425,customers!$A$1:$A$1001,customers!$C$1:$C$1001,,0)=0,"", _xlfn.XLOOKUP(C425,customers!$A$1:$A$1001,customers!$C$1:$C$1001,,0))</f>
        <v/>
      </c>
      <c r="H425" s="3" t="str">
        <f>_xlfn.XLOOKUP(C425,customers!$A$1:$A$1001,customers!$G$1:$G$1001,,0)</f>
        <v>United States</v>
      </c>
      <c r="I425" s="4" t="str">
        <f>INDEX(products!$A$1:$G$49,MATCH(orders!$D425,products!$A$1:$A$49,0),MATCH(orders!I$1,products!$A$1:$G$1,0))</f>
        <v>Rob</v>
      </c>
      <c r="J425" s="4" t="str">
        <f>INDEX(products!$A$1:$G$49,MATCH(orders!$D425,products!$A$1:$A$49,0),MATCH(orders!J$1,products!$A$1:$G$1,0))</f>
        <v>M</v>
      </c>
      <c r="K425" s="6">
        <f>INDEX(products!$A$1:$G$49,MATCH(orders!$D425,products!$A$1:$A$49,0),MATCH(orders!K$1,products!$A$1:$G$1,0))</f>
        <v>0.5</v>
      </c>
      <c r="L425" s="7">
        <f>INDEX(products!$A$1:$G$49,MATCH(orders!$D425,products!$A$1:$A$49,0),MATCH(orders!L$1,products!$A$1:$G$1,0))</f>
        <v>5.97</v>
      </c>
      <c r="M425" s="7">
        <f t="shared" si="6"/>
        <v>17.91</v>
      </c>
      <c r="N425" s="4" t="str" cm="1">
        <f t="array" ref="N425">_xlfn.IFS(I425="Rob","Robusta",I425="Exc","Excelsa",I425="Ara","Arabica",I425="Lib","Liberica")</f>
        <v>Robusta</v>
      </c>
      <c r="O425" s="4" t="str" cm="1">
        <f t="array" ref="O425">_xlfn.IFS(J425="M","Medium",J425="L","Light",J425="D","Dark")</f>
        <v>Medium</v>
      </c>
      <c r="P425" s="4" t="str">
        <f>_xlfn.XLOOKUP(CoffeeOrderstable[[#This Row],[Customer ID]],customers!$A$1:$A$1001,customers!$I$1:$I$1001,,0)</f>
        <v>No</v>
      </c>
    </row>
    <row r="426" spans="1:16" x14ac:dyDescent="0.3">
      <c r="A426" s="3" t="s">
        <v>2876</v>
      </c>
      <c r="B426" s="5">
        <v>44431</v>
      </c>
      <c r="C426" s="3" t="s">
        <v>2877</v>
      </c>
      <c r="D426" s="4" t="s">
        <v>6176</v>
      </c>
      <c r="E426" s="3">
        <v>3</v>
      </c>
      <c r="F426" s="3" t="str">
        <f>_xlfn.XLOOKUP(C426,customers!$A$1:$A$1001,customers!$B$1:$B$1001,,0)</f>
        <v>Yulma Dombrell</v>
      </c>
      <c r="G426" s="3" t="str">
        <f>IF(_xlfn.XLOOKUP(C426,customers!$A$1:$A$1001,customers!$C$1:$C$1001,,0)=0,"", _xlfn.XLOOKUP(C426,customers!$A$1:$A$1001,customers!$C$1:$C$1001,,0))</f>
        <v>ydombrellbs@dedecms.com</v>
      </c>
      <c r="H426" s="3" t="str">
        <f>_xlfn.XLOOKUP(C426,customers!$A$1:$A$1001,customers!$G$1:$G$1001,,0)</f>
        <v>United States</v>
      </c>
      <c r="I426" s="4" t="str">
        <f>INDEX(products!$A$1:$G$49,MATCH(orders!$D426,products!$A$1:$A$49,0),MATCH(orders!I$1,products!$A$1:$G$1,0))</f>
        <v>Exc</v>
      </c>
      <c r="J426" s="4" t="str">
        <f>INDEX(products!$A$1:$G$49,MATCH(orders!$D426,products!$A$1:$A$49,0),MATCH(orders!J$1,products!$A$1:$G$1,0))</f>
        <v>L</v>
      </c>
      <c r="K426" s="6">
        <f>INDEX(products!$A$1:$G$49,MATCH(orders!$D426,products!$A$1:$A$49,0),MATCH(orders!K$1,products!$A$1:$G$1,0))</f>
        <v>0.5</v>
      </c>
      <c r="L426" s="7">
        <f>INDEX(products!$A$1:$G$49,MATCH(orders!$D426,products!$A$1:$A$49,0),MATCH(orders!L$1,products!$A$1:$G$1,0))</f>
        <v>8.91</v>
      </c>
      <c r="M426" s="7">
        <f t="shared" si="6"/>
        <v>26.73</v>
      </c>
      <c r="N426" s="4" t="str" cm="1">
        <f t="array" ref="N426">_xlfn.IFS(I426="Rob","Robusta",I426="Exc","Excelsa",I426="Ara","Arabica",I426="Lib","Liberica")</f>
        <v>Excelsa</v>
      </c>
      <c r="O426" s="4" t="str" cm="1">
        <f t="array" ref="O426">_xlfn.IFS(J426="M","Medium",J426="L","Light",J426="D","Dark")</f>
        <v>Light</v>
      </c>
      <c r="P426" s="4" t="str">
        <f>_xlfn.XLOOKUP(CoffeeOrderstable[[#This Row],[Customer ID]],customers!$A$1:$A$1001,customers!$I$1:$I$1001,,0)</f>
        <v>Yes</v>
      </c>
    </row>
    <row r="427" spans="1:16" x14ac:dyDescent="0.3">
      <c r="A427" s="3" t="s">
        <v>2882</v>
      </c>
      <c r="B427" s="5">
        <v>44428</v>
      </c>
      <c r="C427" s="3" t="s">
        <v>2883</v>
      </c>
      <c r="D427" s="4" t="s">
        <v>6177</v>
      </c>
      <c r="E427" s="3">
        <v>2</v>
      </c>
      <c r="F427" s="3" t="str">
        <f>_xlfn.XLOOKUP(C427,customers!$A$1:$A$1001,customers!$B$1:$B$1001,,0)</f>
        <v>Alric Darth</v>
      </c>
      <c r="G427" s="3" t="str">
        <f>IF(_xlfn.XLOOKUP(C427,customers!$A$1:$A$1001,customers!$C$1:$C$1001,,0)=0,"", _xlfn.XLOOKUP(C427,customers!$A$1:$A$1001,customers!$C$1:$C$1001,,0))</f>
        <v>adarthbt@t.co</v>
      </c>
      <c r="H427" s="3" t="str">
        <f>_xlfn.XLOOKUP(C427,customers!$A$1:$A$1001,customers!$G$1:$G$1001,,0)</f>
        <v>United States</v>
      </c>
      <c r="I427" s="4" t="str">
        <f>INDEX(products!$A$1:$G$49,MATCH(orders!$D427,products!$A$1:$A$49,0),MATCH(orders!I$1,products!$A$1:$G$1,0))</f>
        <v>Rob</v>
      </c>
      <c r="J427" s="4" t="str">
        <f>INDEX(products!$A$1:$G$49,MATCH(orders!$D427,products!$A$1:$A$49,0),MATCH(orders!J$1,products!$A$1:$G$1,0))</f>
        <v>D</v>
      </c>
      <c r="K427" s="6">
        <f>INDEX(products!$A$1:$G$49,MATCH(orders!$D427,products!$A$1:$A$49,0),MATCH(orders!K$1,products!$A$1:$G$1,0))</f>
        <v>1</v>
      </c>
      <c r="L427" s="7">
        <f>INDEX(products!$A$1:$G$49,MATCH(orders!$D427,products!$A$1:$A$49,0),MATCH(orders!L$1,products!$A$1:$G$1,0))</f>
        <v>8.9499999999999993</v>
      </c>
      <c r="M427" s="7">
        <f t="shared" si="6"/>
        <v>17.899999999999999</v>
      </c>
      <c r="N427" s="4" t="str" cm="1">
        <f t="array" ref="N427">_xlfn.IFS(I427="Rob","Robusta",I427="Exc","Excelsa",I427="Ara","Arabica",I427="Lib","Liberica")</f>
        <v>Robusta</v>
      </c>
      <c r="O427" s="4" t="str" cm="1">
        <f t="array" ref="O427">_xlfn.IFS(J427="M","Medium",J427="L","Light",J427="D","Dark")</f>
        <v>Dark</v>
      </c>
      <c r="P427" s="4" t="str">
        <f>_xlfn.XLOOKUP(CoffeeOrderstable[[#This Row],[Customer ID]],customers!$A$1:$A$1001,customers!$I$1:$I$1001,,0)</f>
        <v>No</v>
      </c>
    </row>
    <row r="428" spans="1:16" x14ac:dyDescent="0.3">
      <c r="A428" s="3" t="s">
        <v>2888</v>
      </c>
      <c r="B428" s="5">
        <v>43556</v>
      </c>
      <c r="C428" s="3" t="s">
        <v>2889</v>
      </c>
      <c r="D428" s="4" t="s">
        <v>6178</v>
      </c>
      <c r="E428" s="3">
        <v>4</v>
      </c>
      <c r="F428" s="3" t="str">
        <f>_xlfn.XLOOKUP(C428,customers!$A$1:$A$1001,customers!$B$1:$B$1001,,0)</f>
        <v>Manuel Darrigoe</v>
      </c>
      <c r="G428" s="3" t="str">
        <f>IF(_xlfn.XLOOKUP(C428,customers!$A$1:$A$1001,customers!$C$1:$C$1001,,0)=0,"", _xlfn.XLOOKUP(C428,customers!$A$1:$A$1001,customers!$C$1:$C$1001,,0))</f>
        <v>mdarrigoebu@hud.gov</v>
      </c>
      <c r="H428" s="3" t="str">
        <f>_xlfn.XLOOKUP(C428,customers!$A$1:$A$1001,customers!$G$1:$G$1001,,0)</f>
        <v>Ireland</v>
      </c>
      <c r="I428" s="4" t="str">
        <f>INDEX(products!$A$1:$G$49,MATCH(orders!$D428,products!$A$1:$A$49,0),MATCH(orders!I$1,products!$A$1:$G$1,0))</f>
        <v>Rob</v>
      </c>
      <c r="J428" s="4" t="str">
        <f>INDEX(products!$A$1:$G$49,MATCH(orders!$D428,products!$A$1:$A$49,0),MATCH(orders!J$1,products!$A$1:$G$1,0))</f>
        <v>L</v>
      </c>
      <c r="K428" s="6">
        <f>INDEX(products!$A$1:$G$49,MATCH(orders!$D428,products!$A$1:$A$49,0),MATCH(orders!K$1,products!$A$1:$G$1,0))</f>
        <v>0.2</v>
      </c>
      <c r="L428" s="7">
        <f>INDEX(products!$A$1:$G$49,MATCH(orders!$D428,products!$A$1:$A$49,0),MATCH(orders!L$1,products!$A$1:$G$1,0))</f>
        <v>3.5849999999999995</v>
      </c>
      <c r="M428" s="7">
        <f t="shared" si="6"/>
        <v>14.339999999999998</v>
      </c>
      <c r="N428" s="4" t="str" cm="1">
        <f t="array" ref="N428">_xlfn.IFS(I428="Rob","Robusta",I428="Exc","Excelsa",I428="Ara","Arabica",I428="Lib","Liberica")</f>
        <v>Robusta</v>
      </c>
      <c r="O428" s="4" t="str" cm="1">
        <f t="array" ref="O428">_xlfn.IFS(J428="M","Medium",J428="L","Light",J428="D","Dark")</f>
        <v>Light</v>
      </c>
      <c r="P428" s="4" t="str">
        <f>_xlfn.XLOOKUP(CoffeeOrderstable[[#This Row],[Customer ID]],customers!$A$1:$A$1001,customers!$I$1:$I$1001,,0)</f>
        <v>Yes</v>
      </c>
    </row>
    <row r="429" spans="1:16" x14ac:dyDescent="0.3">
      <c r="A429" s="3" t="s">
        <v>2894</v>
      </c>
      <c r="B429" s="5">
        <v>44224</v>
      </c>
      <c r="C429" s="3" t="s">
        <v>2895</v>
      </c>
      <c r="D429" s="4" t="s">
        <v>6175</v>
      </c>
      <c r="E429" s="3">
        <v>3</v>
      </c>
      <c r="F429" s="3" t="str">
        <f>_xlfn.XLOOKUP(C429,customers!$A$1:$A$1001,customers!$B$1:$B$1001,,0)</f>
        <v>Kynthia Berick</v>
      </c>
      <c r="G429" s="3" t="str">
        <f>IF(_xlfn.XLOOKUP(C429,customers!$A$1:$A$1001,customers!$C$1:$C$1001,,0)=0,"", _xlfn.XLOOKUP(C429,customers!$A$1:$A$1001,customers!$C$1:$C$1001,,0))</f>
        <v/>
      </c>
      <c r="H429" s="3" t="str">
        <f>_xlfn.XLOOKUP(C429,customers!$A$1:$A$1001,customers!$G$1:$G$1001,,0)</f>
        <v>United States</v>
      </c>
      <c r="I429" s="4" t="str">
        <f>INDEX(products!$A$1:$G$49,MATCH(orders!$D429,products!$A$1:$A$49,0),MATCH(orders!I$1,products!$A$1:$G$1,0))</f>
        <v>Ara</v>
      </c>
      <c r="J429" s="4" t="str">
        <f>INDEX(products!$A$1:$G$49,MATCH(orders!$D429,products!$A$1:$A$49,0),MATCH(orders!J$1,products!$A$1:$G$1,0))</f>
        <v>M</v>
      </c>
      <c r="K429" s="6">
        <f>INDEX(products!$A$1:$G$49,MATCH(orders!$D429,products!$A$1:$A$49,0),MATCH(orders!K$1,products!$A$1:$G$1,0))</f>
        <v>2.5</v>
      </c>
      <c r="L429" s="7">
        <f>INDEX(products!$A$1:$G$49,MATCH(orders!$D429,products!$A$1:$A$49,0),MATCH(orders!L$1,products!$A$1:$G$1,0))</f>
        <v>25.874999999999996</v>
      </c>
      <c r="M429" s="7">
        <f t="shared" si="6"/>
        <v>77.624999999999986</v>
      </c>
      <c r="N429" s="4" t="str" cm="1">
        <f t="array" ref="N429">_xlfn.IFS(I429="Rob","Robusta",I429="Exc","Excelsa",I429="Ara","Arabica",I429="Lib","Liberica")</f>
        <v>Arabica</v>
      </c>
      <c r="O429" s="4" t="str" cm="1">
        <f t="array" ref="O429">_xlfn.IFS(J429="M","Medium",J429="L","Light",J429="D","Dark")</f>
        <v>Medium</v>
      </c>
      <c r="P429" s="4" t="str">
        <f>_xlfn.XLOOKUP(CoffeeOrderstable[[#This Row],[Customer ID]],customers!$A$1:$A$1001,customers!$I$1:$I$1001,,0)</f>
        <v>Yes</v>
      </c>
    </row>
    <row r="430" spans="1:16" x14ac:dyDescent="0.3">
      <c r="A430" s="3" t="s">
        <v>2899</v>
      </c>
      <c r="B430" s="5">
        <v>43759</v>
      </c>
      <c r="C430" s="3" t="s">
        <v>2900</v>
      </c>
      <c r="D430" s="4" t="s">
        <v>6179</v>
      </c>
      <c r="E430" s="3">
        <v>5</v>
      </c>
      <c r="F430" s="3" t="str">
        <f>_xlfn.XLOOKUP(C430,customers!$A$1:$A$1001,customers!$B$1:$B$1001,,0)</f>
        <v>Minetta Ackrill</v>
      </c>
      <c r="G430" s="3" t="str">
        <f>IF(_xlfn.XLOOKUP(C430,customers!$A$1:$A$1001,customers!$C$1:$C$1001,,0)=0,"", _xlfn.XLOOKUP(C430,customers!$A$1:$A$1001,customers!$C$1:$C$1001,,0))</f>
        <v>mackrillbw@bandcamp.com</v>
      </c>
      <c r="H430" s="3" t="str">
        <f>_xlfn.XLOOKUP(C430,customers!$A$1:$A$1001,customers!$G$1:$G$1001,,0)</f>
        <v>United States</v>
      </c>
      <c r="I430" s="4" t="str">
        <f>INDEX(products!$A$1:$G$49,MATCH(orders!$D430,products!$A$1:$A$49,0),MATCH(orders!I$1,products!$A$1:$G$1,0))</f>
        <v>Rob</v>
      </c>
      <c r="J430" s="4" t="str">
        <f>INDEX(products!$A$1:$G$49,MATCH(orders!$D430,products!$A$1:$A$49,0),MATCH(orders!J$1,products!$A$1:$G$1,0))</f>
        <v>L</v>
      </c>
      <c r="K430" s="6">
        <f>INDEX(products!$A$1:$G$49,MATCH(orders!$D430,products!$A$1:$A$49,0),MATCH(orders!K$1,products!$A$1:$G$1,0))</f>
        <v>1</v>
      </c>
      <c r="L430" s="7">
        <f>INDEX(products!$A$1:$G$49,MATCH(orders!$D430,products!$A$1:$A$49,0),MATCH(orders!L$1,products!$A$1:$G$1,0))</f>
        <v>11.95</v>
      </c>
      <c r="M430" s="7">
        <f t="shared" si="6"/>
        <v>59.75</v>
      </c>
      <c r="N430" s="4" t="str" cm="1">
        <f t="array" ref="N430">_xlfn.IFS(I430="Rob","Robusta",I430="Exc","Excelsa",I430="Ara","Arabica",I430="Lib","Liberica")</f>
        <v>Robusta</v>
      </c>
      <c r="O430" s="4" t="str" cm="1">
        <f t="array" ref="O430">_xlfn.IFS(J430="M","Medium",J430="L","Light",J430="D","Dark")</f>
        <v>Light</v>
      </c>
      <c r="P430" s="4" t="str">
        <f>_xlfn.XLOOKUP(CoffeeOrderstable[[#This Row],[Customer ID]],customers!$A$1:$A$1001,customers!$I$1:$I$1001,,0)</f>
        <v>No</v>
      </c>
    </row>
    <row r="431" spans="1:16" x14ac:dyDescent="0.3">
      <c r="A431" s="3" t="s">
        <v>2905</v>
      </c>
      <c r="B431" s="5">
        <v>44367</v>
      </c>
      <c r="C431" s="3" t="s">
        <v>2586</v>
      </c>
      <c r="D431" s="4" t="s">
        <v>6140</v>
      </c>
      <c r="E431" s="3">
        <v>6</v>
      </c>
      <c r="F431" s="3" t="str">
        <f>_xlfn.XLOOKUP(C431,customers!$A$1:$A$1001,customers!$B$1:$B$1001,,0)</f>
        <v>Terri Farra</v>
      </c>
      <c r="G431" s="3" t="str">
        <f>IF(_xlfn.XLOOKUP(C431,customers!$A$1:$A$1001,customers!$C$1:$C$1001,,0)=0,"", _xlfn.XLOOKUP(C431,customers!$A$1:$A$1001,customers!$C$1:$C$1001,,0))</f>
        <v>tfarraac@behance.net</v>
      </c>
      <c r="H431" s="3" t="str">
        <f>_xlfn.XLOOKUP(C431,customers!$A$1:$A$1001,customers!$G$1:$G$1001,,0)</f>
        <v>United States</v>
      </c>
      <c r="I431" s="4" t="str">
        <f>INDEX(products!$A$1:$G$49,MATCH(orders!$D431,products!$A$1:$A$49,0),MATCH(orders!I$1,products!$A$1:$G$1,0))</f>
        <v>Ara</v>
      </c>
      <c r="J431" s="4" t="str">
        <f>INDEX(products!$A$1:$G$49,MATCH(orders!$D431,products!$A$1:$A$49,0),MATCH(orders!J$1,products!$A$1:$G$1,0))</f>
        <v>L</v>
      </c>
      <c r="K431" s="6">
        <f>INDEX(products!$A$1:$G$49,MATCH(orders!$D431,products!$A$1:$A$49,0),MATCH(orders!K$1,products!$A$1:$G$1,0))</f>
        <v>1</v>
      </c>
      <c r="L431" s="7">
        <f>INDEX(products!$A$1:$G$49,MATCH(orders!$D431,products!$A$1:$A$49,0),MATCH(orders!L$1,products!$A$1:$G$1,0))</f>
        <v>12.95</v>
      </c>
      <c r="M431" s="7">
        <f t="shared" si="6"/>
        <v>77.699999999999989</v>
      </c>
      <c r="N431" s="4" t="str" cm="1">
        <f t="array" ref="N431">_xlfn.IFS(I431="Rob","Robusta",I431="Exc","Excelsa",I431="Ara","Arabica",I431="Lib","Liberica")</f>
        <v>Arabica</v>
      </c>
      <c r="O431" s="4" t="str" cm="1">
        <f t="array" ref="O431">_xlfn.IFS(J431="M","Medium",J431="L","Light",J431="D","Dark")</f>
        <v>Light</v>
      </c>
      <c r="P431" s="4" t="str">
        <f>_xlfn.XLOOKUP(CoffeeOrderstable[[#This Row],[Customer ID]],customers!$A$1:$A$1001,customers!$I$1:$I$1001,,0)</f>
        <v>No</v>
      </c>
    </row>
    <row r="432" spans="1:16" x14ac:dyDescent="0.3">
      <c r="A432" s="3" t="s">
        <v>2911</v>
      </c>
      <c r="B432" s="5">
        <v>44504</v>
      </c>
      <c r="C432" s="3" t="s">
        <v>2912</v>
      </c>
      <c r="D432" s="4" t="s">
        <v>6163</v>
      </c>
      <c r="E432" s="3">
        <v>2</v>
      </c>
      <c r="F432" s="3" t="str">
        <f>_xlfn.XLOOKUP(C432,customers!$A$1:$A$1001,customers!$B$1:$B$1001,,0)</f>
        <v>Melosa Kippen</v>
      </c>
      <c r="G432" s="3" t="str">
        <f>IF(_xlfn.XLOOKUP(C432,customers!$A$1:$A$1001,customers!$C$1:$C$1001,,0)=0,"", _xlfn.XLOOKUP(C432,customers!$A$1:$A$1001,customers!$C$1:$C$1001,,0))</f>
        <v>mkippenby@dion.ne.jp</v>
      </c>
      <c r="H432" s="3" t="str">
        <f>_xlfn.XLOOKUP(C432,customers!$A$1:$A$1001,customers!$G$1:$G$1001,,0)</f>
        <v>United States</v>
      </c>
      <c r="I432" s="4" t="str">
        <f>INDEX(products!$A$1:$G$49,MATCH(orders!$D432,products!$A$1:$A$49,0),MATCH(orders!I$1,products!$A$1:$G$1,0))</f>
        <v>Rob</v>
      </c>
      <c r="J432" s="4" t="str">
        <f>INDEX(products!$A$1:$G$49,MATCH(orders!$D432,products!$A$1:$A$49,0),MATCH(orders!J$1,products!$A$1:$G$1,0))</f>
        <v>D</v>
      </c>
      <c r="K432" s="6">
        <f>INDEX(products!$A$1:$G$49,MATCH(orders!$D432,products!$A$1:$A$49,0),MATCH(orders!K$1,products!$A$1:$G$1,0))</f>
        <v>0.2</v>
      </c>
      <c r="L432" s="7">
        <f>INDEX(products!$A$1:$G$49,MATCH(orders!$D432,products!$A$1:$A$49,0),MATCH(orders!L$1,products!$A$1:$G$1,0))</f>
        <v>2.6849999999999996</v>
      </c>
      <c r="M432" s="7">
        <f t="shared" si="6"/>
        <v>5.3699999999999992</v>
      </c>
      <c r="N432" s="4" t="str" cm="1">
        <f t="array" ref="N432">_xlfn.IFS(I432="Rob","Robusta",I432="Exc","Excelsa",I432="Ara","Arabica",I432="Lib","Liberica")</f>
        <v>Robusta</v>
      </c>
      <c r="O432" s="4" t="str" cm="1">
        <f t="array" ref="O432">_xlfn.IFS(J432="M","Medium",J432="L","Light",J432="D","Dark")</f>
        <v>Dark</v>
      </c>
      <c r="P432" s="4" t="str">
        <f>_xlfn.XLOOKUP(CoffeeOrderstable[[#This Row],[Customer ID]],customers!$A$1:$A$1001,customers!$I$1:$I$1001,,0)</f>
        <v>Yes</v>
      </c>
    </row>
    <row r="433" spans="1:16" x14ac:dyDescent="0.3">
      <c r="A433" s="3" t="s">
        <v>2917</v>
      </c>
      <c r="B433" s="5">
        <v>44291</v>
      </c>
      <c r="C433" s="3" t="s">
        <v>2918</v>
      </c>
      <c r="D433" s="4" t="s">
        <v>6185</v>
      </c>
      <c r="E433" s="3">
        <v>3</v>
      </c>
      <c r="F433" s="3" t="str">
        <f>_xlfn.XLOOKUP(C433,customers!$A$1:$A$1001,customers!$B$1:$B$1001,,0)</f>
        <v>Witty Ranson</v>
      </c>
      <c r="G433" s="3" t="str">
        <f>IF(_xlfn.XLOOKUP(C433,customers!$A$1:$A$1001,customers!$C$1:$C$1001,,0)=0,"", _xlfn.XLOOKUP(C433,customers!$A$1:$A$1001,customers!$C$1:$C$1001,,0))</f>
        <v>wransonbz@ted.com</v>
      </c>
      <c r="H433" s="3" t="str">
        <f>_xlfn.XLOOKUP(C433,customers!$A$1:$A$1001,customers!$G$1:$G$1001,,0)</f>
        <v>Ireland</v>
      </c>
      <c r="I433" s="4" t="str">
        <f>INDEX(products!$A$1:$G$49,MATCH(orders!$D433,products!$A$1:$A$49,0),MATCH(orders!I$1,products!$A$1:$G$1,0))</f>
        <v>Exc</v>
      </c>
      <c r="J433" s="4" t="str">
        <f>INDEX(products!$A$1:$G$49,MATCH(orders!$D433,products!$A$1:$A$49,0),MATCH(orders!J$1,products!$A$1:$G$1,0))</f>
        <v>D</v>
      </c>
      <c r="K433" s="6">
        <f>INDEX(products!$A$1:$G$49,MATCH(orders!$D433,products!$A$1:$A$49,0),MATCH(orders!K$1,products!$A$1:$G$1,0))</f>
        <v>2.5</v>
      </c>
      <c r="L433" s="7">
        <f>INDEX(products!$A$1:$G$49,MATCH(orders!$D433,products!$A$1:$A$49,0),MATCH(orders!L$1,products!$A$1:$G$1,0))</f>
        <v>27.945</v>
      </c>
      <c r="M433" s="7">
        <f t="shared" si="6"/>
        <v>83.835000000000008</v>
      </c>
      <c r="N433" s="4" t="str" cm="1">
        <f t="array" ref="N433">_xlfn.IFS(I433="Rob","Robusta",I433="Exc","Excelsa",I433="Ara","Arabica",I433="Lib","Liberica")</f>
        <v>Excelsa</v>
      </c>
      <c r="O433" s="4" t="str" cm="1">
        <f t="array" ref="O433">_xlfn.IFS(J433="M","Medium",J433="L","Light",J433="D","Dark")</f>
        <v>Dark</v>
      </c>
      <c r="P433" s="4" t="str">
        <f>_xlfn.XLOOKUP(CoffeeOrderstable[[#This Row],[Customer ID]],customers!$A$1:$A$1001,customers!$I$1:$I$1001,,0)</f>
        <v>Yes</v>
      </c>
    </row>
    <row r="434" spans="1:16" x14ac:dyDescent="0.3">
      <c r="A434" s="3" t="s">
        <v>2923</v>
      </c>
      <c r="B434" s="5">
        <v>43808</v>
      </c>
      <c r="C434" s="3" t="s">
        <v>2924</v>
      </c>
      <c r="D434" s="4" t="s">
        <v>6155</v>
      </c>
      <c r="E434" s="3">
        <v>2</v>
      </c>
      <c r="F434" s="3" t="str">
        <f>_xlfn.XLOOKUP(C434,customers!$A$1:$A$1001,customers!$B$1:$B$1001,,0)</f>
        <v>Rod Gowdie</v>
      </c>
      <c r="G434" s="3" t="str">
        <f>IF(_xlfn.XLOOKUP(C434,customers!$A$1:$A$1001,customers!$C$1:$C$1001,,0)=0,"", _xlfn.XLOOKUP(C434,customers!$A$1:$A$1001,customers!$C$1:$C$1001,,0))</f>
        <v/>
      </c>
      <c r="H434" s="3" t="str">
        <f>_xlfn.XLOOKUP(C434,customers!$A$1:$A$1001,customers!$G$1:$G$1001,,0)</f>
        <v>United States</v>
      </c>
      <c r="I434" s="4" t="str">
        <f>INDEX(products!$A$1:$G$49,MATCH(orders!$D434,products!$A$1:$A$49,0),MATCH(orders!I$1,products!$A$1:$G$1,0))</f>
        <v>Ara</v>
      </c>
      <c r="J434" s="4" t="str">
        <f>INDEX(products!$A$1:$G$49,MATCH(orders!$D434,products!$A$1:$A$49,0),MATCH(orders!J$1,products!$A$1:$G$1,0))</f>
        <v>M</v>
      </c>
      <c r="K434" s="6">
        <f>INDEX(products!$A$1:$G$49,MATCH(orders!$D434,products!$A$1:$A$49,0),MATCH(orders!K$1,products!$A$1:$G$1,0))</f>
        <v>1</v>
      </c>
      <c r="L434" s="7">
        <f>INDEX(products!$A$1:$G$49,MATCH(orders!$D434,products!$A$1:$A$49,0),MATCH(orders!L$1,products!$A$1:$G$1,0))</f>
        <v>11.25</v>
      </c>
      <c r="M434" s="7">
        <f t="shared" si="6"/>
        <v>22.5</v>
      </c>
      <c r="N434" s="4" t="str" cm="1">
        <f t="array" ref="N434">_xlfn.IFS(I434="Rob","Robusta",I434="Exc","Excelsa",I434="Ara","Arabica",I434="Lib","Liberica")</f>
        <v>Arabica</v>
      </c>
      <c r="O434" s="4" t="str" cm="1">
        <f t="array" ref="O434">_xlfn.IFS(J434="M","Medium",J434="L","Light",J434="D","Dark")</f>
        <v>Medium</v>
      </c>
      <c r="P434" s="4" t="str">
        <f>_xlfn.XLOOKUP(CoffeeOrderstable[[#This Row],[Customer ID]],customers!$A$1:$A$1001,customers!$I$1:$I$1001,,0)</f>
        <v>No</v>
      </c>
    </row>
    <row r="435" spans="1:16" x14ac:dyDescent="0.3">
      <c r="A435" s="3" t="s">
        <v>2928</v>
      </c>
      <c r="B435" s="5">
        <v>44563</v>
      </c>
      <c r="C435" s="3" t="s">
        <v>2929</v>
      </c>
      <c r="D435" s="4" t="s">
        <v>6181</v>
      </c>
      <c r="E435" s="3">
        <v>6</v>
      </c>
      <c r="F435" s="3" t="str">
        <f>_xlfn.XLOOKUP(C435,customers!$A$1:$A$1001,customers!$B$1:$B$1001,,0)</f>
        <v>Lemuel Rignold</v>
      </c>
      <c r="G435" s="3" t="str">
        <f>IF(_xlfn.XLOOKUP(C435,customers!$A$1:$A$1001,customers!$C$1:$C$1001,,0)=0,"", _xlfn.XLOOKUP(C435,customers!$A$1:$A$1001,customers!$C$1:$C$1001,,0))</f>
        <v>lrignoldc1@miibeian.gov.cn</v>
      </c>
      <c r="H435" s="3" t="str">
        <f>_xlfn.XLOOKUP(C435,customers!$A$1:$A$1001,customers!$G$1:$G$1001,,0)</f>
        <v>United States</v>
      </c>
      <c r="I435" s="4" t="str">
        <f>INDEX(products!$A$1:$G$49,MATCH(orders!$D435,products!$A$1:$A$49,0),MATCH(orders!I$1,products!$A$1:$G$1,0))</f>
        <v>Lib</v>
      </c>
      <c r="J435" s="4" t="str">
        <f>INDEX(products!$A$1:$G$49,MATCH(orders!$D435,products!$A$1:$A$49,0),MATCH(orders!J$1,products!$A$1:$G$1,0))</f>
        <v>M</v>
      </c>
      <c r="K435" s="6">
        <f>INDEX(products!$A$1:$G$49,MATCH(orders!$D435,products!$A$1:$A$49,0),MATCH(orders!K$1,products!$A$1:$G$1,0))</f>
        <v>2.5</v>
      </c>
      <c r="L435" s="7">
        <f>INDEX(products!$A$1:$G$49,MATCH(orders!$D435,products!$A$1:$A$49,0),MATCH(orders!L$1,products!$A$1:$G$1,0))</f>
        <v>33.464999999999996</v>
      </c>
      <c r="M435" s="7">
        <f t="shared" si="6"/>
        <v>200.78999999999996</v>
      </c>
      <c r="N435" s="4" t="str" cm="1">
        <f t="array" ref="N435">_xlfn.IFS(I435="Rob","Robusta",I435="Exc","Excelsa",I435="Ara","Arabica",I435="Lib","Liberica")</f>
        <v>Liberica</v>
      </c>
      <c r="O435" s="4" t="str" cm="1">
        <f t="array" ref="O435">_xlfn.IFS(J435="M","Medium",J435="L","Light",J435="D","Dark")</f>
        <v>Medium</v>
      </c>
      <c r="P435" s="4" t="str">
        <f>_xlfn.XLOOKUP(CoffeeOrderstable[[#This Row],[Customer ID]],customers!$A$1:$A$1001,customers!$I$1:$I$1001,,0)</f>
        <v>Yes</v>
      </c>
    </row>
    <row r="436" spans="1:16" x14ac:dyDescent="0.3">
      <c r="A436" s="3" t="s">
        <v>2934</v>
      </c>
      <c r="B436" s="5">
        <v>43807</v>
      </c>
      <c r="C436" s="3" t="s">
        <v>2935</v>
      </c>
      <c r="D436" s="4" t="s">
        <v>6155</v>
      </c>
      <c r="E436" s="3">
        <v>6</v>
      </c>
      <c r="F436" s="3" t="str">
        <f>_xlfn.XLOOKUP(C436,customers!$A$1:$A$1001,customers!$B$1:$B$1001,,0)</f>
        <v>Nevsa Fields</v>
      </c>
      <c r="G436" s="3" t="str">
        <f>IF(_xlfn.XLOOKUP(C436,customers!$A$1:$A$1001,customers!$C$1:$C$1001,,0)=0,"", _xlfn.XLOOKUP(C436,customers!$A$1:$A$1001,customers!$C$1:$C$1001,,0))</f>
        <v/>
      </c>
      <c r="H436" s="3" t="str">
        <f>_xlfn.XLOOKUP(C436,customers!$A$1:$A$1001,customers!$G$1:$G$1001,,0)</f>
        <v>United States</v>
      </c>
      <c r="I436" s="4" t="str">
        <f>INDEX(products!$A$1:$G$49,MATCH(orders!$D436,products!$A$1:$A$49,0),MATCH(orders!I$1,products!$A$1:$G$1,0))</f>
        <v>Ara</v>
      </c>
      <c r="J436" s="4" t="str">
        <f>INDEX(products!$A$1:$G$49,MATCH(orders!$D436,products!$A$1:$A$49,0),MATCH(orders!J$1,products!$A$1:$G$1,0))</f>
        <v>M</v>
      </c>
      <c r="K436" s="6">
        <f>INDEX(products!$A$1:$G$49,MATCH(orders!$D436,products!$A$1:$A$49,0),MATCH(orders!K$1,products!$A$1:$G$1,0))</f>
        <v>1</v>
      </c>
      <c r="L436" s="7">
        <f>INDEX(products!$A$1:$G$49,MATCH(orders!$D436,products!$A$1:$A$49,0),MATCH(orders!L$1,products!$A$1:$G$1,0))</f>
        <v>11.25</v>
      </c>
      <c r="M436" s="7">
        <f t="shared" si="6"/>
        <v>67.5</v>
      </c>
      <c r="N436" s="4" t="str" cm="1">
        <f t="array" ref="N436">_xlfn.IFS(I436="Rob","Robusta",I436="Exc","Excelsa",I436="Ara","Arabica",I436="Lib","Liberica")</f>
        <v>Arabica</v>
      </c>
      <c r="O436" s="4" t="str" cm="1">
        <f t="array" ref="O436">_xlfn.IFS(J436="M","Medium",J436="L","Light",J436="D","Dark")</f>
        <v>Medium</v>
      </c>
      <c r="P436" s="4" t="str">
        <f>_xlfn.XLOOKUP(CoffeeOrderstable[[#This Row],[Customer ID]],customers!$A$1:$A$1001,customers!$I$1:$I$1001,,0)</f>
        <v>No</v>
      </c>
    </row>
    <row r="437" spans="1:16" x14ac:dyDescent="0.3">
      <c r="A437" s="3" t="s">
        <v>2939</v>
      </c>
      <c r="B437" s="5">
        <v>44528</v>
      </c>
      <c r="C437" s="3" t="s">
        <v>2940</v>
      </c>
      <c r="D437" s="4" t="s">
        <v>6139</v>
      </c>
      <c r="E437" s="3">
        <v>1</v>
      </c>
      <c r="F437" s="3" t="str">
        <f>_xlfn.XLOOKUP(C437,customers!$A$1:$A$1001,customers!$B$1:$B$1001,,0)</f>
        <v>Chance Rowthorn</v>
      </c>
      <c r="G437" s="3" t="str">
        <f>IF(_xlfn.XLOOKUP(C437,customers!$A$1:$A$1001,customers!$C$1:$C$1001,,0)=0,"", _xlfn.XLOOKUP(C437,customers!$A$1:$A$1001,customers!$C$1:$C$1001,,0))</f>
        <v>crowthornc3@msn.com</v>
      </c>
      <c r="H437" s="3" t="str">
        <f>_xlfn.XLOOKUP(C437,customers!$A$1:$A$1001,customers!$G$1:$G$1001,,0)</f>
        <v>United States</v>
      </c>
      <c r="I437" s="4" t="str">
        <f>INDEX(products!$A$1:$G$49,MATCH(orders!$D437,products!$A$1:$A$49,0),MATCH(orders!I$1,products!$A$1:$G$1,0))</f>
        <v>Exc</v>
      </c>
      <c r="J437" s="4" t="str">
        <f>INDEX(products!$A$1:$G$49,MATCH(orders!$D437,products!$A$1:$A$49,0),MATCH(orders!J$1,products!$A$1:$G$1,0))</f>
        <v>M</v>
      </c>
      <c r="K437" s="6">
        <f>INDEX(products!$A$1:$G$49,MATCH(orders!$D437,products!$A$1:$A$49,0),MATCH(orders!K$1,products!$A$1:$G$1,0))</f>
        <v>0.5</v>
      </c>
      <c r="L437" s="7">
        <f>INDEX(products!$A$1:$G$49,MATCH(orders!$D437,products!$A$1:$A$49,0),MATCH(orders!L$1,products!$A$1:$G$1,0))</f>
        <v>8.25</v>
      </c>
      <c r="M437" s="7">
        <f t="shared" si="6"/>
        <v>8.25</v>
      </c>
      <c r="N437" s="4" t="str" cm="1">
        <f t="array" ref="N437">_xlfn.IFS(I437="Rob","Robusta",I437="Exc","Excelsa",I437="Ara","Arabica",I437="Lib","Liberica")</f>
        <v>Excelsa</v>
      </c>
      <c r="O437" s="4" t="str" cm="1">
        <f t="array" ref="O437">_xlfn.IFS(J437="M","Medium",J437="L","Light",J437="D","Dark")</f>
        <v>Medium</v>
      </c>
      <c r="P437" s="4" t="str">
        <f>_xlfn.XLOOKUP(CoffeeOrderstable[[#This Row],[Customer ID]],customers!$A$1:$A$1001,customers!$I$1:$I$1001,,0)</f>
        <v>No</v>
      </c>
    </row>
    <row r="438" spans="1:16" x14ac:dyDescent="0.3">
      <c r="A438" s="3" t="s">
        <v>2945</v>
      </c>
      <c r="B438" s="5">
        <v>44631</v>
      </c>
      <c r="C438" s="3" t="s">
        <v>2946</v>
      </c>
      <c r="D438" s="4" t="s">
        <v>6145</v>
      </c>
      <c r="E438" s="3">
        <v>2</v>
      </c>
      <c r="F438" s="3" t="str">
        <f>_xlfn.XLOOKUP(C438,customers!$A$1:$A$1001,customers!$B$1:$B$1001,,0)</f>
        <v>Orly Ryland</v>
      </c>
      <c r="G438" s="3" t="str">
        <f>IF(_xlfn.XLOOKUP(C438,customers!$A$1:$A$1001,customers!$C$1:$C$1001,,0)=0,"", _xlfn.XLOOKUP(C438,customers!$A$1:$A$1001,customers!$C$1:$C$1001,,0))</f>
        <v>orylandc4@deviantart.com</v>
      </c>
      <c r="H438" s="3" t="str">
        <f>_xlfn.XLOOKUP(C438,customers!$A$1:$A$1001,customers!$G$1:$G$1001,,0)</f>
        <v>United States</v>
      </c>
      <c r="I438" s="4" t="str">
        <f>INDEX(products!$A$1:$G$49,MATCH(orders!$D438,products!$A$1:$A$49,0),MATCH(orders!I$1,products!$A$1:$G$1,0))</f>
        <v>Lib</v>
      </c>
      <c r="J438" s="4" t="str">
        <f>INDEX(products!$A$1:$G$49,MATCH(orders!$D438,products!$A$1:$A$49,0),MATCH(orders!J$1,products!$A$1:$G$1,0))</f>
        <v>L</v>
      </c>
      <c r="K438" s="6">
        <f>INDEX(products!$A$1:$G$49,MATCH(orders!$D438,products!$A$1:$A$49,0),MATCH(orders!K$1,products!$A$1:$G$1,0))</f>
        <v>0.2</v>
      </c>
      <c r="L438" s="7">
        <f>INDEX(products!$A$1:$G$49,MATCH(orders!$D438,products!$A$1:$A$49,0),MATCH(orders!L$1,products!$A$1:$G$1,0))</f>
        <v>4.7549999999999999</v>
      </c>
      <c r="M438" s="7">
        <f t="shared" si="6"/>
        <v>9.51</v>
      </c>
      <c r="N438" s="4" t="str" cm="1">
        <f t="array" ref="N438">_xlfn.IFS(I438="Rob","Robusta",I438="Exc","Excelsa",I438="Ara","Arabica",I438="Lib","Liberica")</f>
        <v>Liberica</v>
      </c>
      <c r="O438" s="4" t="str" cm="1">
        <f t="array" ref="O438">_xlfn.IFS(J438="M","Medium",J438="L","Light",J438="D","Dark")</f>
        <v>Light</v>
      </c>
      <c r="P438" s="4" t="str">
        <f>_xlfn.XLOOKUP(CoffeeOrderstable[[#This Row],[Customer ID]],customers!$A$1:$A$1001,customers!$I$1:$I$1001,,0)</f>
        <v>Yes</v>
      </c>
    </row>
    <row r="439" spans="1:16" x14ac:dyDescent="0.3">
      <c r="A439" s="3" t="s">
        <v>2951</v>
      </c>
      <c r="B439" s="5">
        <v>44213</v>
      </c>
      <c r="C439" s="3" t="s">
        <v>2952</v>
      </c>
      <c r="D439" s="4" t="s">
        <v>6165</v>
      </c>
      <c r="E439" s="3">
        <v>1</v>
      </c>
      <c r="F439" s="3" t="str">
        <f>_xlfn.XLOOKUP(C439,customers!$A$1:$A$1001,customers!$B$1:$B$1001,,0)</f>
        <v>Willabella Abramski</v>
      </c>
      <c r="G439" s="3" t="str">
        <f>IF(_xlfn.XLOOKUP(C439,customers!$A$1:$A$1001,customers!$C$1:$C$1001,,0)=0,"", _xlfn.XLOOKUP(C439,customers!$A$1:$A$1001,customers!$C$1:$C$1001,,0))</f>
        <v/>
      </c>
      <c r="H439" s="3" t="str">
        <f>_xlfn.XLOOKUP(C439,customers!$A$1:$A$1001,customers!$G$1:$G$1001,,0)</f>
        <v>United States</v>
      </c>
      <c r="I439" s="4" t="str">
        <f>INDEX(products!$A$1:$G$49,MATCH(orders!$D439,products!$A$1:$A$49,0),MATCH(orders!I$1,products!$A$1:$G$1,0))</f>
        <v>Lib</v>
      </c>
      <c r="J439" s="4" t="str">
        <f>INDEX(products!$A$1:$G$49,MATCH(orders!$D439,products!$A$1:$A$49,0),MATCH(orders!J$1,products!$A$1:$G$1,0))</f>
        <v>D</v>
      </c>
      <c r="K439" s="6">
        <f>INDEX(products!$A$1:$G$49,MATCH(orders!$D439,products!$A$1:$A$49,0),MATCH(orders!K$1,products!$A$1:$G$1,0))</f>
        <v>2.5</v>
      </c>
      <c r="L439" s="7">
        <f>INDEX(products!$A$1:$G$49,MATCH(orders!$D439,products!$A$1:$A$49,0),MATCH(orders!L$1,products!$A$1:$G$1,0))</f>
        <v>29.784999999999997</v>
      </c>
      <c r="M439" s="7">
        <f t="shared" si="6"/>
        <v>29.784999999999997</v>
      </c>
      <c r="N439" s="4" t="str" cm="1">
        <f t="array" ref="N439">_xlfn.IFS(I439="Rob","Robusta",I439="Exc","Excelsa",I439="Ara","Arabica",I439="Lib","Liberica")</f>
        <v>Liberica</v>
      </c>
      <c r="O439" s="4" t="str" cm="1">
        <f t="array" ref="O439">_xlfn.IFS(J439="M","Medium",J439="L","Light",J439="D","Dark")</f>
        <v>Dark</v>
      </c>
      <c r="P439" s="4" t="str">
        <f>_xlfn.XLOOKUP(CoffeeOrderstable[[#This Row],[Customer ID]],customers!$A$1:$A$1001,customers!$I$1:$I$1001,,0)</f>
        <v>No</v>
      </c>
    </row>
    <row r="440" spans="1:16" x14ac:dyDescent="0.3">
      <c r="A440" s="3" t="s">
        <v>2956</v>
      </c>
      <c r="B440" s="5">
        <v>43483</v>
      </c>
      <c r="C440" s="3" t="s">
        <v>3042</v>
      </c>
      <c r="D440" s="4" t="s">
        <v>6169</v>
      </c>
      <c r="E440" s="3">
        <v>2</v>
      </c>
      <c r="F440" s="3" t="str">
        <f>_xlfn.XLOOKUP(C440,customers!$A$1:$A$1001,customers!$B$1:$B$1001,,0)</f>
        <v>Morgen Seson</v>
      </c>
      <c r="G440" s="3" t="str">
        <f>IF(_xlfn.XLOOKUP(C440,customers!$A$1:$A$1001,customers!$C$1:$C$1001,,0)=0,"", _xlfn.XLOOKUP(C440,customers!$A$1:$A$1001,customers!$C$1:$C$1001,,0))</f>
        <v>msesonck@census.gov</v>
      </c>
      <c r="H440" s="3" t="str">
        <f>_xlfn.XLOOKUP(C440,customers!$A$1:$A$1001,customers!$G$1:$G$1001,,0)</f>
        <v>United States</v>
      </c>
      <c r="I440" s="4" t="str">
        <f>INDEX(products!$A$1:$G$49,MATCH(orders!$D440,products!$A$1:$A$49,0),MATCH(orders!I$1,products!$A$1:$G$1,0))</f>
        <v>Lib</v>
      </c>
      <c r="J440" s="4" t="str">
        <f>INDEX(products!$A$1:$G$49,MATCH(orders!$D440,products!$A$1:$A$49,0),MATCH(orders!J$1,products!$A$1:$G$1,0))</f>
        <v>D</v>
      </c>
      <c r="K440" s="6">
        <f>INDEX(products!$A$1:$G$49,MATCH(orders!$D440,products!$A$1:$A$49,0),MATCH(orders!K$1,products!$A$1:$G$1,0))</f>
        <v>0.5</v>
      </c>
      <c r="L440" s="7">
        <f>INDEX(products!$A$1:$G$49,MATCH(orders!$D440,products!$A$1:$A$49,0),MATCH(orders!L$1,products!$A$1:$G$1,0))</f>
        <v>7.77</v>
      </c>
      <c r="M440" s="7">
        <f t="shared" si="6"/>
        <v>15.54</v>
      </c>
      <c r="N440" s="4" t="str" cm="1">
        <f t="array" ref="N440">_xlfn.IFS(I440="Rob","Robusta",I440="Exc","Excelsa",I440="Ara","Arabica",I440="Lib","Liberica")</f>
        <v>Liberica</v>
      </c>
      <c r="O440" s="4" t="str" cm="1">
        <f t="array" ref="O440">_xlfn.IFS(J440="M","Medium",J440="L","Light",J440="D","Dark")</f>
        <v>Dark</v>
      </c>
      <c r="P440" s="4" t="str">
        <f>_xlfn.XLOOKUP(CoffeeOrderstable[[#This Row],[Customer ID]],customers!$A$1:$A$1001,customers!$I$1:$I$1001,,0)</f>
        <v>No</v>
      </c>
    </row>
    <row r="441" spans="1:16" x14ac:dyDescent="0.3">
      <c r="A441" s="3" t="s">
        <v>2962</v>
      </c>
      <c r="B441" s="5">
        <v>43562</v>
      </c>
      <c r="C441" s="3" t="s">
        <v>2963</v>
      </c>
      <c r="D441" s="4" t="s">
        <v>6176</v>
      </c>
      <c r="E441" s="3">
        <v>4</v>
      </c>
      <c r="F441" s="3" t="str">
        <f>_xlfn.XLOOKUP(C441,customers!$A$1:$A$1001,customers!$B$1:$B$1001,,0)</f>
        <v>Chickie Ragless</v>
      </c>
      <c r="G441" s="3" t="str">
        <f>IF(_xlfn.XLOOKUP(C441,customers!$A$1:$A$1001,customers!$C$1:$C$1001,,0)=0,"", _xlfn.XLOOKUP(C441,customers!$A$1:$A$1001,customers!$C$1:$C$1001,,0))</f>
        <v>craglessc7@webmd.com</v>
      </c>
      <c r="H441" s="3" t="str">
        <f>_xlfn.XLOOKUP(C441,customers!$A$1:$A$1001,customers!$G$1:$G$1001,,0)</f>
        <v>Ireland</v>
      </c>
      <c r="I441" s="4" t="str">
        <f>INDEX(products!$A$1:$G$49,MATCH(orders!$D441,products!$A$1:$A$49,0),MATCH(orders!I$1,products!$A$1:$G$1,0))</f>
        <v>Exc</v>
      </c>
      <c r="J441" s="4" t="str">
        <f>INDEX(products!$A$1:$G$49,MATCH(orders!$D441,products!$A$1:$A$49,0),MATCH(orders!J$1,products!$A$1:$G$1,0))</f>
        <v>L</v>
      </c>
      <c r="K441" s="6">
        <f>INDEX(products!$A$1:$G$49,MATCH(orders!$D441,products!$A$1:$A$49,0),MATCH(orders!K$1,products!$A$1:$G$1,0))</f>
        <v>0.5</v>
      </c>
      <c r="L441" s="7">
        <f>INDEX(products!$A$1:$G$49,MATCH(orders!$D441,products!$A$1:$A$49,0),MATCH(orders!L$1,products!$A$1:$G$1,0))</f>
        <v>8.91</v>
      </c>
      <c r="M441" s="7">
        <f t="shared" si="6"/>
        <v>35.64</v>
      </c>
      <c r="N441" s="4" t="str" cm="1">
        <f t="array" ref="N441">_xlfn.IFS(I441="Rob","Robusta",I441="Exc","Excelsa",I441="Ara","Arabica",I441="Lib","Liberica")</f>
        <v>Excelsa</v>
      </c>
      <c r="O441" s="4" t="str" cm="1">
        <f t="array" ref="O441">_xlfn.IFS(J441="M","Medium",J441="L","Light",J441="D","Dark")</f>
        <v>Light</v>
      </c>
      <c r="P441" s="4" t="str">
        <f>_xlfn.XLOOKUP(CoffeeOrderstable[[#This Row],[Customer ID]],customers!$A$1:$A$1001,customers!$I$1:$I$1001,,0)</f>
        <v>No</v>
      </c>
    </row>
    <row r="442" spans="1:16" x14ac:dyDescent="0.3">
      <c r="A442" s="3" t="s">
        <v>2968</v>
      </c>
      <c r="B442" s="5">
        <v>44230</v>
      </c>
      <c r="C442" s="3" t="s">
        <v>2969</v>
      </c>
      <c r="D442" s="4" t="s">
        <v>6175</v>
      </c>
      <c r="E442" s="3">
        <v>4</v>
      </c>
      <c r="F442" s="3" t="str">
        <f>_xlfn.XLOOKUP(C442,customers!$A$1:$A$1001,customers!$B$1:$B$1001,,0)</f>
        <v>Freda Hollows</v>
      </c>
      <c r="G442" s="3" t="str">
        <f>IF(_xlfn.XLOOKUP(C442,customers!$A$1:$A$1001,customers!$C$1:$C$1001,,0)=0,"", _xlfn.XLOOKUP(C442,customers!$A$1:$A$1001,customers!$C$1:$C$1001,,0))</f>
        <v>fhollowsc8@blogtalkradio.com</v>
      </c>
      <c r="H442" s="3" t="str">
        <f>_xlfn.XLOOKUP(C442,customers!$A$1:$A$1001,customers!$G$1:$G$1001,,0)</f>
        <v>United States</v>
      </c>
      <c r="I442" s="4" t="str">
        <f>INDEX(products!$A$1:$G$49,MATCH(orders!$D442,products!$A$1:$A$49,0),MATCH(orders!I$1,products!$A$1:$G$1,0))</f>
        <v>Ara</v>
      </c>
      <c r="J442" s="4" t="str">
        <f>INDEX(products!$A$1:$G$49,MATCH(orders!$D442,products!$A$1:$A$49,0),MATCH(orders!J$1,products!$A$1:$G$1,0))</f>
        <v>M</v>
      </c>
      <c r="K442" s="6">
        <f>INDEX(products!$A$1:$G$49,MATCH(orders!$D442,products!$A$1:$A$49,0),MATCH(orders!K$1,products!$A$1:$G$1,0))</f>
        <v>2.5</v>
      </c>
      <c r="L442" s="7">
        <f>INDEX(products!$A$1:$G$49,MATCH(orders!$D442,products!$A$1:$A$49,0),MATCH(orders!L$1,products!$A$1:$G$1,0))</f>
        <v>25.874999999999996</v>
      </c>
      <c r="M442" s="7">
        <f t="shared" si="6"/>
        <v>103.49999999999999</v>
      </c>
      <c r="N442" s="4" t="str" cm="1">
        <f t="array" ref="N442">_xlfn.IFS(I442="Rob","Robusta",I442="Exc","Excelsa",I442="Ara","Arabica",I442="Lib","Liberica")</f>
        <v>Arabica</v>
      </c>
      <c r="O442" s="4" t="str" cm="1">
        <f t="array" ref="O442">_xlfn.IFS(J442="M","Medium",J442="L","Light",J442="D","Dark")</f>
        <v>Medium</v>
      </c>
      <c r="P442" s="4" t="str">
        <f>_xlfn.XLOOKUP(CoffeeOrderstable[[#This Row],[Customer ID]],customers!$A$1:$A$1001,customers!$I$1:$I$1001,,0)</f>
        <v>Yes</v>
      </c>
    </row>
    <row r="443" spans="1:16" x14ac:dyDescent="0.3">
      <c r="A443" s="3" t="s">
        <v>2974</v>
      </c>
      <c r="B443" s="5">
        <v>43573</v>
      </c>
      <c r="C443" s="3" t="s">
        <v>2975</v>
      </c>
      <c r="D443" s="4" t="s">
        <v>6183</v>
      </c>
      <c r="E443" s="3">
        <v>3</v>
      </c>
      <c r="F443" s="3" t="str">
        <f>_xlfn.XLOOKUP(C443,customers!$A$1:$A$1001,customers!$B$1:$B$1001,,0)</f>
        <v>Livy Lathleiff</v>
      </c>
      <c r="G443" s="3" t="str">
        <f>IF(_xlfn.XLOOKUP(C443,customers!$A$1:$A$1001,customers!$C$1:$C$1001,,0)=0,"", _xlfn.XLOOKUP(C443,customers!$A$1:$A$1001,customers!$C$1:$C$1001,,0))</f>
        <v>llathleiffc9@nationalgeographic.com</v>
      </c>
      <c r="H443" s="3" t="str">
        <f>_xlfn.XLOOKUP(C443,customers!$A$1:$A$1001,customers!$G$1:$G$1001,,0)</f>
        <v>Ireland</v>
      </c>
      <c r="I443" s="4" t="str">
        <f>INDEX(products!$A$1:$G$49,MATCH(orders!$D443,products!$A$1:$A$49,0),MATCH(orders!I$1,products!$A$1:$G$1,0))</f>
        <v>Exc</v>
      </c>
      <c r="J443" s="4" t="str">
        <f>INDEX(products!$A$1:$G$49,MATCH(orders!$D443,products!$A$1:$A$49,0),MATCH(orders!J$1,products!$A$1:$G$1,0))</f>
        <v>D</v>
      </c>
      <c r="K443" s="6">
        <f>INDEX(products!$A$1:$G$49,MATCH(orders!$D443,products!$A$1:$A$49,0),MATCH(orders!K$1,products!$A$1:$G$1,0))</f>
        <v>1</v>
      </c>
      <c r="L443" s="7">
        <f>INDEX(products!$A$1:$G$49,MATCH(orders!$D443,products!$A$1:$A$49,0),MATCH(orders!L$1,products!$A$1:$G$1,0))</f>
        <v>12.15</v>
      </c>
      <c r="M443" s="7">
        <f t="shared" si="6"/>
        <v>36.450000000000003</v>
      </c>
      <c r="N443" s="4" t="str" cm="1">
        <f t="array" ref="N443">_xlfn.IFS(I443="Rob","Robusta",I443="Exc","Excelsa",I443="Ara","Arabica",I443="Lib","Liberica")</f>
        <v>Excelsa</v>
      </c>
      <c r="O443" s="4" t="str" cm="1">
        <f t="array" ref="O443">_xlfn.IFS(J443="M","Medium",J443="L","Light",J443="D","Dark")</f>
        <v>Dark</v>
      </c>
      <c r="P443" s="4" t="str">
        <f>_xlfn.XLOOKUP(CoffeeOrderstable[[#This Row],[Customer ID]],customers!$A$1:$A$1001,customers!$I$1:$I$1001,,0)</f>
        <v>Yes</v>
      </c>
    </row>
    <row r="444" spans="1:16" x14ac:dyDescent="0.3">
      <c r="A444" s="3" t="s">
        <v>2980</v>
      </c>
      <c r="B444" s="5">
        <v>44384</v>
      </c>
      <c r="C444" s="3" t="s">
        <v>2981</v>
      </c>
      <c r="D444" s="4" t="s">
        <v>6173</v>
      </c>
      <c r="E444" s="3">
        <v>5</v>
      </c>
      <c r="F444" s="3" t="str">
        <f>_xlfn.XLOOKUP(C444,customers!$A$1:$A$1001,customers!$B$1:$B$1001,,0)</f>
        <v>Koralle Heads</v>
      </c>
      <c r="G444" s="3" t="str">
        <f>IF(_xlfn.XLOOKUP(C444,customers!$A$1:$A$1001,customers!$C$1:$C$1001,,0)=0,"", _xlfn.XLOOKUP(C444,customers!$A$1:$A$1001,customers!$C$1:$C$1001,,0))</f>
        <v>kheadsca@jalbum.net</v>
      </c>
      <c r="H444" s="3" t="str">
        <f>_xlfn.XLOOKUP(C444,customers!$A$1:$A$1001,customers!$G$1:$G$1001,,0)</f>
        <v>United States</v>
      </c>
      <c r="I444" s="4" t="str">
        <f>INDEX(products!$A$1:$G$49,MATCH(orders!$D444,products!$A$1:$A$49,0),MATCH(orders!I$1,products!$A$1:$G$1,0))</f>
        <v>Rob</v>
      </c>
      <c r="J444" s="4" t="str">
        <f>INDEX(products!$A$1:$G$49,MATCH(orders!$D444,products!$A$1:$A$49,0),MATCH(orders!J$1,products!$A$1:$G$1,0))</f>
        <v>L</v>
      </c>
      <c r="K444" s="6">
        <f>INDEX(products!$A$1:$G$49,MATCH(orders!$D444,products!$A$1:$A$49,0),MATCH(orders!K$1,products!$A$1:$G$1,0))</f>
        <v>0.5</v>
      </c>
      <c r="L444" s="7">
        <f>INDEX(products!$A$1:$G$49,MATCH(orders!$D444,products!$A$1:$A$49,0),MATCH(orders!L$1,products!$A$1:$G$1,0))</f>
        <v>7.169999999999999</v>
      </c>
      <c r="M444" s="7">
        <f t="shared" si="6"/>
        <v>35.849999999999994</v>
      </c>
      <c r="N444" s="4" t="str" cm="1">
        <f t="array" ref="N444">_xlfn.IFS(I444="Rob","Robusta",I444="Exc","Excelsa",I444="Ara","Arabica",I444="Lib","Liberica")</f>
        <v>Robusta</v>
      </c>
      <c r="O444" s="4" t="str" cm="1">
        <f t="array" ref="O444">_xlfn.IFS(J444="M","Medium",J444="L","Light",J444="D","Dark")</f>
        <v>Light</v>
      </c>
      <c r="P444" s="4" t="str">
        <f>_xlfn.XLOOKUP(CoffeeOrderstable[[#This Row],[Customer ID]],customers!$A$1:$A$1001,customers!$I$1:$I$1001,,0)</f>
        <v>No</v>
      </c>
    </row>
    <row r="445" spans="1:16" x14ac:dyDescent="0.3">
      <c r="A445" s="3" t="s">
        <v>2986</v>
      </c>
      <c r="B445" s="5">
        <v>44250</v>
      </c>
      <c r="C445" s="3" t="s">
        <v>2987</v>
      </c>
      <c r="D445" s="4" t="s">
        <v>6184</v>
      </c>
      <c r="E445" s="3">
        <v>5</v>
      </c>
      <c r="F445" s="3" t="str">
        <f>_xlfn.XLOOKUP(C445,customers!$A$1:$A$1001,customers!$B$1:$B$1001,,0)</f>
        <v>Theo Bowne</v>
      </c>
      <c r="G445" s="3" t="str">
        <f>IF(_xlfn.XLOOKUP(C445,customers!$A$1:$A$1001,customers!$C$1:$C$1001,,0)=0,"", _xlfn.XLOOKUP(C445,customers!$A$1:$A$1001,customers!$C$1:$C$1001,,0))</f>
        <v>tbownecb@unicef.org</v>
      </c>
      <c r="H445" s="3" t="str">
        <f>_xlfn.XLOOKUP(C445,customers!$A$1:$A$1001,customers!$G$1:$G$1001,,0)</f>
        <v>Ireland</v>
      </c>
      <c r="I445" s="4" t="str">
        <f>INDEX(products!$A$1:$G$49,MATCH(orders!$D445,products!$A$1:$A$49,0),MATCH(orders!I$1,products!$A$1:$G$1,0))</f>
        <v>Exc</v>
      </c>
      <c r="J445" s="4" t="str">
        <f>INDEX(products!$A$1:$G$49,MATCH(orders!$D445,products!$A$1:$A$49,0),MATCH(orders!J$1,products!$A$1:$G$1,0))</f>
        <v>L</v>
      </c>
      <c r="K445" s="6">
        <f>INDEX(products!$A$1:$G$49,MATCH(orders!$D445,products!$A$1:$A$49,0),MATCH(orders!K$1,products!$A$1:$G$1,0))</f>
        <v>0.2</v>
      </c>
      <c r="L445" s="7">
        <f>INDEX(products!$A$1:$G$49,MATCH(orders!$D445,products!$A$1:$A$49,0),MATCH(orders!L$1,products!$A$1:$G$1,0))</f>
        <v>4.4550000000000001</v>
      </c>
      <c r="M445" s="7">
        <f t="shared" si="6"/>
        <v>22.274999999999999</v>
      </c>
      <c r="N445" s="4" t="str" cm="1">
        <f t="array" ref="N445">_xlfn.IFS(I445="Rob","Robusta",I445="Exc","Excelsa",I445="Ara","Arabica",I445="Lib","Liberica")</f>
        <v>Excelsa</v>
      </c>
      <c r="O445" s="4" t="str" cm="1">
        <f t="array" ref="O445">_xlfn.IFS(J445="M","Medium",J445="L","Light",J445="D","Dark")</f>
        <v>Light</v>
      </c>
      <c r="P445" s="4" t="str">
        <f>_xlfn.XLOOKUP(CoffeeOrderstable[[#This Row],[Customer ID]],customers!$A$1:$A$1001,customers!$I$1:$I$1001,,0)</f>
        <v>Yes</v>
      </c>
    </row>
    <row r="446" spans="1:16" x14ac:dyDescent="0.3">
      <c r="A446" s="3" t="s">
        <v>2992</v>
      </c>
      <c r="B446" s="5">
        <v>44418</v>
      </c>
      <c r="C446" s="3" t="s">
        <v>2993</v>
      </c>
      <c r="D446" s="4" t="s">
        <v>6156</v>
      </c>
      <c r="E446" s="3">
        <v>6</v>
      </c>
      <c r="F446" s="3" t="str">
        <f>_xlfn.XLOOKUP(C446,customers!$A$1:$A$1001,customers!$B$1:$B$1001,,0)</f>
        <v>Rasia Jacquemard</v>
      </c>
      <c r="G446" s="3" t="str">
        <f>IF(_xlfn.XLOOKUP(C446,customers!$A$1:$A$1001,customers!$C$1:$C$1001,,0)=0,"", _xlfn.XLOOKUP(C446,customers!$A$1:$A$1001,customers!$C$1:$C$1001,,0))</f>
        <v>rjacquemardcc@acquirethisname.com</v>
      </c>
      <c r="H446" s="3" t="str">
        <f>_xlfn.XLOOKUP(C446,customers!$A$1:$A$1001,customers!$G$1:$G$1001,,0)</f>
        <v>Ireland</v>
      </c>
      <c r="I446" s="4" t="str">
        <f>INDEX(products!$A$1:$G$49,MATCH(orders!$D446,products!$A$1:$A$49,0),MATCH(orders!I$1,products!$A$1:$G$1,0))</f>
        <v>Exc</v>
      </c>
      <c r="J446" s="4" t="str">
        <f>INDEX(products!$A$1:$G$49,MATCH(orders!$D446,products!$A$1:$A$49,0),MATCH(orders!J$1,products!$A$1:$G$1,0))</f>
        <v>M</v>
      </c>
      <c r="K446" s="6">
        <f>INDEX(products!$A$1:$G$49,MATCH(orders!$D446,products!$A$1:$A$49,0),MATCH(orders!K$1,products!$A$1:$G$1,0))</f>
        <v>0.2</v>
      </c>
      <c r="L446" s="7">
        <f>INDEX(products!$A$1:$G$49,MATCH(orders!$D446,products!$A$1:$A$49,0),MATCH(orders!L$1,products!$A$1:$G$1,0))</f>
        <v>4.125</v>
      </c>
      <c r="M446" s="7">
        <f t="shared" si="6"/>
        <v>24.75</v>
      </c>
      <c r="N446" s="4" t="str" cm="1">
        <f t="array" ref="N446">_xlfn.IFS(I446="Rob","Robusta",I446="Exc","Excelsa",I446="Ara","Arabica",I446="Lib","Liberica")</f>
        <v>Excelsa</v>
      </c>
      <c r="O446" s="4" t="str" cm="1">
        <f t="array" ref="O446">_xlfn.IFS(J446="M","Medium",J446="L","Light",J446="D","Dark")</f>
        <v>Medium</v>
      </c>
      <c r="P446" s="4" t="str">
        <f>_xlfn.XLOOKUP(CoffeeOrderstable[[#This Row],[Customer ID]],customers!$A$1:$A$1001,customers!$I$1:$I$1001,,0)</f>
        <v>No</v>
      </c>
    </row>
    <row r="447" spans="1:16" x14ac:dyDescent="0.3">
      <c r="A447" s="3" t="s">
        <v>2999</v>
      </c>
      <c r="B447" s="5">
        <v>43784</v>
      </c>
      <c r="C447" s="3" t="s">
        <v>3000</v>
      </c>
      <c r="D447" s="4" t="s">
        <v>6181</v>
      </c>
      <c r="E447" s="3">
        <v>2</v>
      </c>
      <c r="F447" s="3" t="str">
        <f>_xlfn.XLOOKUP(C447,customers!$A$1:$A$1001,customers!$B$1:$B$1001,,0)</f>
        <v>Kizzie Warman</v>
      </c>
      <c r="G447" s="3" t="str">
        <f>IF(_xlfn.XLOOKUP(C447,customers!$A$1:$A$1001,customers!$C$1:$C$1001,,0)=0,"", _xlfn.XLOOKUP(C447,customers!$A$1:$A$1001,customers!$C$1:$C$1001,,0))</f>
        <v>kwarmancd@printfriendly.com</v>
      </c>
      <c r="H447" s="3" t="str">
        <f>_xlfn.XLOOKUP(C447,customers!$A$1:$A$1001,customers!$G$1:$G$1001,,0)</f>
        <v>Ireland</v>
      </c>
      <c r="I447" s="4" t="str">
        <f>INDEX(products!$A$1:$G$49,MATCH(orders!$D447,products!$A$1:$A$49,0),MATCH(orders!I$1,products!$A$1:$G$1,0))</f>
        <v>Lib</v>
      </c>
      <c r="J447" s="4" t="str">
        <f>INDEX(products!$A$1:$G$49,MATCH(orders!$D447,products!$A$1:$A$49,0),MATCH(orders!J$1,products!$A$1:$G$1,0))</f>
        <v>M</v>
      </c>
      <c r="K447" s="6">
        <f>INDEX(products!$A$1:$G$49,MATCH(orders!$D447,products!$A$1:$A$49,0),MATCH(orders!K$1,products!$A$1:$G$1,0))</f>
        <v>2.5</v>
      </c>
      <c r="L447" s="7">
        <f>INDEX(products!$A$1:$G$49,MATCH(orders!$D447,products!$A$1:$A$49,0),MATCH(orders!L$1,products!$A$1:$G$1,0))</f>
        <v>33.464999999999996</v>
      </c>
      <c r="M447" s="7">
        <f t="shared" si="6"/>
        <v>66.929999999999993</v>
      </c>
      <c r="N447" s="4" t="str" cm="1">
        <f t="array" ref="N447">_xlfn.IFS(I447="Rob","Robusta",I447="Exc","Excelsa",I447="Ara","Arabica",I447="Lib","Liberica")</f>
        <v>Liberica</v>
      </c>
      <c r="O447" s="4" t="str" cm="1">
        <f t="array" ref="O447">_xlfn.IFS(J447="M","Medium",J447="L","Light",J447="D","Dark")</f>
        <v>Medium</v>
      </c>
      <c r="P447" s="4" t="str">
        <f>_xlfn.XLOOKUP(CoffeeOrderstable[[#This Row],[Customer ID]],customers!$A$1:$A$1001,customers!$I$1:$I$1001,,0)</f>
        <v>Yes</v>
      </c>
    </row>
    <row r="448" spans="1:16" x14ac:dyDescent="0.3">
      <c r="A448" s="3" t="s">
        <v>3004</v>
      </c>
      <c r="B448" s="5">
        <v>43816</v>
      </c>
      <c r="C448" s="3" t="s">
        <v>3005</v>
      </c>
      <c r="D448" s="4" t="s">
        <v>6160</v>
      </c>
      <c r="E448" s="3">
        <v>1</v>
      </c>
      <c r="F448" s="3" t="str">
        <f>_xlfn.XLOOKUP(C448,customers!$A$1:$A$1001,customers!$B$1:$B$1001,,0)</f>
        <v>Wain Cholomin</v>
      </c>
      <c r="G448" s="3" t="str">
        <f>IF(_xlfn.XLOOKUP(C448,customers!$A$1:$A$1001,customers!$C$1:$C$1001,,0)=0,"", _xlfn.XLOOKUP(C448,customers!$A$1:$A$1001,customers!$C$1:$C$1001,,0))</f>
        <v>wcholomince@about.com</v>
      </c>
      <c r="H448" s="3" t="str">
        <f>_xlfn.XLOOKUP(C448,customers!$A$1:$A$1001,customers!$G$1:$G$1001,,0)</f>
        <v>United Kingdom</v>
      </c>
      <c r="I448" s="4" t="str">
        <f>INDEX(products!$A$1:$G$49,MATCH(orders!$D448,products!$A$1:$A$49,0),MATCH(orders!I$1,products!$A$1:$G$1,0))</f>
        <v>Lib</v>
      </c>
      <c r="J448" s="4" t="str">
        <f>INDEX(products!$A$1:$G$49,MATCH(orders!$D448,products!$A$1:$A$49,0),MATCH(orders!J$1,products!$A$1:$G$1,0))</f>
        <v>M</v>
      </c>
      <c r="K448" s="6">
        <f>INDEX(products!$A$1:$G$49,MATCH(orders!$D448,products!$A$1:$A$49,0),MATCH(orders!K$1,products!$A$1:$G$1,0))</f>
        <v>0.5</v>
      </c>
      <c r="L448" s="7">
        <f>INDEX(products!$A$1:$G$49,MATCH(orders!$D448,products!$A$1:$A$49,0),MATCH(orders!L$1,products!$A$1:$G$1,0))</f>
        <v>8.73</v>
      </c>
      <c r="M448" s="7">
        <f t="shared" si="6"/>
        <v>8.73</v>
      </c>
      <c r="N448" s="4" t="str" cm="1">
        <f t="array" ref="N448">_xlfn.IFS(I448="Rob","Robusta",I448="Exc","Excelsa",I448="Ara","Arabica",I448="Lib","Liberica")</f>
        <v>Liberica</v>
      </c>
      <c r="O448" s="4" t="str" cm="1">
        <f t="array" ref="O448">_xlfn.IFS(J448="M","Medium",J448="L","Light",J448="D","Dark")</f>
        <v>Medium</v>
      </c>
      <c r="P448" s="4" t="str">
        <f>_xlfn.XLOOKUP(CoffeeOrderstable[[#This Row],[Customer ID]],customers!$A$1:$A$1001,customers!$I$1:$I$1001,,0)</f>
        <v>Yes</v>
      </c>
    </row>
    <row r="449" spans="1:16" x14ac:dyDescent="0.3">
      <c r="A449" s="3" t="s">
        <v>3010</v>
      </c>
      <c r="B449" s="5">
        <v>43908</v>
      </c>
      <c r="C449" s="3" t="s">
        <v>3011</v>
      </c>
      <c r="D449" s="4" t="s">
        <v>6146</v>
      </c>
      <c r="E449" s="3">
        <v>3</v>
      </c>
      <c r="F449" s="3" t="str">
        <f>_xlfn.XLOOKUP(C449,customers!$A$1:$A$1001,customers!$B$1:$B$1001,,0)</f>
        <v>Arleen Braidman</v>
      </c>
      <c r="G449" s="3" t="str">
        <f>IF(_xlfn.XLOOKUP(C449,customers!$A$1:$A$1001,customers!$C$1:$C$1001,,0)=0,"", _xlfn.XLOOKUP(C449,customers!$A$1:$A$1001,customers!$C$1:$C$1001,,0))</f>
        <v>abraidmancf@census.gov</v>
      </c>
      <c r="H449" s="3" t="str">
        <f>_xlfn.XLOOKUP(C449,customers!$A$1:$A$1001,customers!$G$1:$G$1001,,0)</f>
        <v>United States</v>
      </c>
      <c r="I449" s="4" t="str">
        <f>INDEX(products!$A$1:$G$49,MATCH(orders!$D449,products!$A$1:$A$49,0),MATCH(orders!I$1,products!$A$1:$G$1,0))</f>
        <v>Rob</v>
      </c>
      <c r="J449" s="4" t="str">
        <f>INDEX(products!$A$1:$G$49,MATCH(orders!$D449,products!$A$1:$A$49,0),MATCH(orders!J$1,products!$A$1:$G$1,0))</f>
        <v>M</v>
      </c>
      <c r="K449" s="6">
        <f>INDEX(products!$A$1:$G$49,MATCH(orders!$D449,products!$A$1:$A$49,0),MATCH(orders!K$1,products!$A$1:$G$1,0))</f>
        <v>0.5</v>
      </c>
      <c r="L449" s="7">
        <f>INDEX(products!$A$1:$G$49,MATCH(orders!$D449,products!$A$1:$A$49,0),MATCH(orders!L$1,products!$A$1:$G$1,0))</f>
        <v>5.97</v>
      </c>
      <c r="M449" s="7">
        <f t="shared" si="6"/>
        <v>17.91</v>
      </c>
      <c r="N449" s="4" t="str" cm="1">
        <f t="array" ref="N449">_xlfn.IFS(I449="Rob","Robusta",I449="Exc","Excelsa",I449="Ara","Arabica",I449="Lib","Liberica")</f>
        <v>Robusta</v>
      </c>
      <c r="O449" s="4" t="str" cm="1">
        <f t="array" ref="O449">_xlfn.IFS(J449="M","Medium",J449="L","Light",J449="D","Dark")</f>
        <v>Medium</v>
      </c>
      <c r="P449" s="4" t="str">
        <f>_xlfn.XLOOKUP(CoffeeOrderstable[[#This Row],[Customer ID]],customers!$A$1:$A$1001,customers!$I$1:$I$1001,,0)</f>
        <v>No</v>
      </c>
    </row>
    <row r="450" spans="1:16" x14ac:dyDescent="0.3">
      <c r="A450" s="3" t="s">
        <v>3015</v>
      </c>
      <c r="B450" s="5">
        <v>44718</v>
      </c>
      <c r="C450" s="3" t="s">
        <v>3016</v>
      </c>
      <c r="D450" s="4" t="s">
        <v>6173</v>
      </c>
      <c r="E450" s="3">
        <v>1</v>
      </c>
      <c r="F450" s="3" t="str">
        <f>_xlfn.XLOOKUP(C450,customers!$A$1:$A$1001,customers!$B$1:$B$1001,,0)</f>
        <v>Pru Durban</v>
      </c>
      <c r="G450" s="3" t="str">
        <f>IF(_xlfn.XLOOKUP(C450,customers!$A$1:$A$1001,customers!$C$1:$C$1001,,0)=0,"", _xlfn.XLOOKUP(C450,customers!$A$1:$A$1001,customers!$C$1:$C$1001,,0))</f>
        <v>pdurbancg@symantec.com</v>
      </c>
      <c r="H450" s="3" t="str">
        <f>_xlfn.XLOOKUP(C450,customers!$A$1:$A$1001,customers!$G$1:$G$1001,,0)</f>
        <v>Ireland</v>
      </c>
      <c r="I450" s="4" t="str">
        <f>INDEX(products!$A$1:$G$49,MATCH(orders!$D450,products!$A$1:$A$49,0),MATCH(orders!I$1,products!$A$1:$G$1,0))</f>
        <v>Rob</v>
      </c>
      <c r="J450" s="4" t="str">
        <f>INDEX(products!$A$1:$G$49,MATCH(orders!$D450,products!$A$1:$A$49,0),MATCH(orders!J$1,products!$A$1:$G$1,0))</f>
        <v>L</v>
      </c>
      <c r="K450" s="6">
        <f>INDEX(products!$A$1:$G$49,MATCH(orders!$D450,products!$A$1:$A$49,0),MATCH(orders!K$1,products!$A$1:$G$1,0))</f>
        <v>0.5</v>
      </c>
      <c r="L450" s="7">
        <f>INDEX(products!$A$1:$G$49,MATCH(orders!$D450,products!$A$1:$A$49,0),MATCH(orders!L$1,products!$A$1:$G$1,0))</f>
        <v>7.169999999999999</v>
      </c>
      <c r="M450" s="7">
        <f t="shared" si="6"/>
        <v>7.169999999999999</v>
      </c>
      <c r="N450" s="4" t="str" cm="1">
        <f t="array" ref="N450">_xlfn.IFS(I450="Rob","Robusta",I450="Exc","Excelsa",I450="Ara","Arabica",I450="Lib","Liberica")</f>
        <v>Robusta</v>
      </c>
      <c r="O450" s="4" t="str" cm="1">
        <f t="array" ref="O450">_xlfn.IFS(J450="M","Medium",J450="L","Light",J450="D","Dark")</f>
        <v>Light</v>
      </c>
      <c r="P450" s="4" t="str">
        <f>_xlfn.XLOOKUP(CoffeeOrderstable[[#This Row],[Customer ID]],customers!$A$1:$A$1001,customers!$I$1:$I$1001,,0)</f>
        <v>No</v>
      </c>
    </row>
    <row r="451" spans="1:16" x14ac:dyDescent="0.3">
      <c r="A451" s="3" t="s">
        <v>3021</v>
      </c>
      <c r="B451" s="5">
        <v>44336</v>
      </c>
      <c r="C451" s="3" t="s">
        <v>3022</v>
      </c>
      <c r="D451" s="4" t="s">
        <v>6163</v>
      </c>
      <c r="E451" s="3">
        <v>2</v>
      </c>
      <c r="F451" s="3" t="str">
        <f>_xlfn.XLOOKUP(C451,customers!$A$1:$A$1001,customers!$B$1:$B$1001,,0)</f>
        <v>Antone Harrold</v>
      </c>
      <c r="G451" s="3" t="str">
        <f>IF(_xlfn.XLOOKUP(C451,customers!$A$1:$A$1001,customers!$C$1:$C$1001,,0)=0,"", _xlfn.XLOOKUP(C451,customers!$A$1:$A$1001,customers!$C$1:$C$1001,,0))</f>
        <v>aharroldch@miibeian.gov.cn</v>
      </c>
      <c r="H451" s="3" t="str">
        <f>_xlfn.XLOOKUP(C451,customers!$A$1:$A$1001,customers!$G$1:$G$1001,,0)</f>
        <v>United States</v>
      </c>
      <c r="I451" s="4" t="str">
        <f>INDEX(products!$A$1:$G$49,MATCH(orders!$D451,products!$A$1:$A$49,0),MATCH(orders!I$1,products!$A$1:$G$1,0))</f>
        <v>Rob</v>
      </c>
      <c r="J451" s="4" t="str">
        <f>INDEX(products!$A$1:$G$49,MATCH(orders!$D451,products!$A$1:$A$49,0),MATCH(orders!J$1,products!$A$1:$G$1,0))</f>
        <v>D</v>
      </c>
      <c r="K451" s="6">
        <f>INDEX(products!$A$1:$G$49,MATCH(orders!$D451,products!$A$1:$A$49,0),MATCH(orders!K$1,products!$A$1:$G$1,0))</f>
        <v>0.2</v>
      </c>
      <c r="L451" s="7">
        <f>INDEX(products!$A$1:$G$49,MATCH(orders!$D451,products!$A$1:$A$49,0),MATCH(orders!L$1,products!$A$1:$G$1,0))</f>
        <v>2.6849999999999996</v>
      </c>
      <c r="M451" s="7">
        <f t="shared" ref="M451:M514" si="7">L451*E451</f>
        <v>5.3699999999999992</v>
      </c>
      <c r="N451" s="4" t="str" cm="1">
        <f t="array" ref="N451">_xlfn.IFS(I451="Rob","Robusta",I451="Exc","Excelsa",I451="Ara","Arabica",I451="Lib","Liberica")</f>
        <v>Robusta</v>
      </c>
      <c r="O451" s="4" t="str" cm="1">
        <f t="array" ref="O451">_xlfn.IFS(J451="M","Medium",J451="L","Light",J451="D","Dark")</f>
        <v>Dark</v>
      </c>
      <c r="P451" s="4" t="str">
        <f>_xlfn.XLOOKUP(CoffeeOrderstable[[#This Row],[Customer ID]],customers!$A$1:$A$1001,customers!$I$1:$I$1001,,0)</f>
        <v>No</v>
      </c>
    </row>
    <row r="452" spans="1:16" x14ac:dyDescent="0.3">
      <c r="A452" s="3" t="s">
        <v>3027</v>
      </c>
      <c r="B452" s="5">
        <v>44207</v>
      </c>
      <c r="C452" s="3" t="s">
        <v>3028</v>
      </c>
      <c r="D452" s="4" t="s">
        <v>6145</v>
      </c>
      <c r="E452" s="3">
        <v>5</v>
      </c>
      <c r="F452" s="3" t="str">
        <f>_xlfn.XLOOKUP(C452,customers!$A$1:$A$1001,customers!$B$1:$B$1001,,0)</f>
        <v>Sim Pamphilon</v>
      </c>
      <c r="G452" s="3" t="str">
        <f>IF(_xlfn.XLOOKUP(C452,customers!$A$1:$A$1001,customers!$C$1:$C$1001,,0)=0,"", _xlfn.XLOOKUP(C452,customers!$A$1:$A$1001,customers!$C$1:$C$1001,,0))</f>
        <v>spamphilonci@mlb.com</v>
      </c>
      <c r="H452" s="3" t="str">
        <f>_xlfn.XLOOKUP(C452,customers!$A$1:$A$1001,customers!$G$1:$G$1001,,0)</f>
        <v>Ireland</v>
      </c>
      <c r="I452" s="4" t="str">
        <f>INDEX(products!$A$1:$G$49,MATCH(orders!$D452,products!$A$1:$A$49,0),MATCH(orders!I$1,products!$A$1:$G$1,0))</f>
        <v>Lib</v>
      </c>
      <c r="J452" s="4" t="str">
        <f>INDEX(products!$A$1:$G$49,MATCH(orders!$D452,products!$A$1:$A$49,0),MATCH(orders!J$1,products!$A$1:$G$1,0))</f>
        <v>L</v>
      </c>
      <c r="K452" s="6">
        <f>INDEX(products!$A$1:$G$49,MATCH(orders!$D452,products!$A$1:$A$49,0),MATCH(orders!K$1,products!$A$1:$G$1,0))</f>
        <v>0.2</v>
      </c>
      <c r="L452" s="7">
        <f>INDEX(products!$A$1:$G$49,MATCH(orders!$D452,products!$A$1:$A$49,0),MATCH(orders!L$1,products!$A$1:$G$1,0))</f>
        <v>4.7549999999999999</v>
      </c>
      <c r="M452" s="7">
        <f t="shared" si="7"/>
        <v>23.774999999999999</v>
      </c>
      <c r="N452" s="4" t="str" cm="1">
        <f t="array" ref="N452">_xlfn.IFS(I452="Rob","Robusta",I452="Exc","Excelsa",I452="Ara","Arabica",I452="Lib","Liberica")</f>
        <v>Liberica</v>
      </c>
      <c r="O452" s="4" t="str" cm="1">
        <f t="array" ref="O452">_xlfn.IFS(J452="M","Medium",J452="L","Light",J452="D","Dark")</f>
        <v>Light</v>
      </c>
      <c r="P452" s="4" t="str">
        <f>_xlfn.XLOOKUP(CoffeeOrderstable[[#This Row],[Customer ID]],customers!$A$1:$A$1001,customers!$I$1:$I$1001,,0)</f>
        <v>No</v>
      </c>
    </row>
    <row r="453" spans="1:16" x14ac:dyDescent="0.3">
      <c r="A453" s="3" t="s">
        <v>3035</v>
      </c>
      <c r="B453" s="5">
        <v>43518</v>
      </c>
      <c r="C453" s="3" t="s">
        <v>3036</v>
      </c>
      <c r="D453" s="4" t="s">
        <v>6149</v>
      </c>
      <c r="E453" s="3">
        <v>2</v>
      </c>
      <c r="F453" s="3" t="str">
        <f>_xlfn.XLOOKUP(C453,customers!$A$1:$A$1001,customers!$B$1:$B$1001,,0)</f>
        <v>Mohandis Spurden</v>
      </c>
      <c r="G453" s="3" t="str">
        <f>IF(_xlfn.XLOOKUP(C453,customers!$A$1:$A$1001,customers!$C$1:$C$1001,,0)=0,"", _xlfn.XLOOKUP(C453,customers!$A$1:$A$1001,customers!$C$1:$C$1001,,0))</f>
        <v>mspurdencj@exblog.jp</v>
      </c>
      <c r="H453" s="3" t="str">
        <f>_xlfn.XLOOKUP(C453,customers!$A$1:$A$1001,customers!$G$1:$G$1001,,0)</f>
        <v>United States</v>
      </c>
      <c r="I453" s="4" t="str">
        <f>INDEX(products!$A$1:$G$49,MATCH(orders!$D453,products!$A$1:$A$49,0),MATCH(orders!I$1,products!$A$1:$G$1,0))</f>
        <v>Rob</v>
      </c>
      <c r="J453" s="4" t="str">
        <f>INDEX(products!$A$1:$G$49,MATCH(orders!$D453,products!$A$1:$A$49,0),MATCH(orders!J$1,products!$A$1:$G$1,0))</f>
        <v>D</v>
      </c>
      <c r="K453" s="6">
        <f>INDEX(products!$A$1:$G$49,MATCH(orders!$D453,products!$A$1:$A$49,0),MATCH(orders!K$1,products!$A$1:$G$1,0))</f>
        <v>2.5</v>
      </c>
      <c r="L453" s="7">
        <f>INDEX(products!$A$1:$G$49,MATCH(orders!$D453,products!$A$1:$A$49,0),MATCH(orders!L$1,products!$A$1:$G$1,0))</f>
        <v>20.584999999999997</v>
      </c>
      <c r="M453" s="7">
        <f t="shared" si="7"/>
        <v>41.169999999999995</v>
      </c>
      <c r="N453" s="4" t="str" cm="1">
        <f t="array" ref="N453">_xlfn.IFS(I453="Rob","Robusta",I453="Exc","Excelsa",I453="Ara","Arabica",I453="Lib","Liberica")</f>
        <v>Robusta</v>
      </c>
      <c r="O453" s="4" t="str" cm="1">
        <f t="array" ref="O453">_xlfn.IFS(J453="M","Medium",J453="L","Light",J453="D","Dark")</f>
        <v>Dark</v>
      </c>
      <c r="P453" s="4" t="str">
        <f>_xlfn.XLOOKUP(CoffeeOrderstable[[#This Row],[Customer ID]],customers!$A$1:$A$1001,customers!$I$1:$I$1001,,0)</f>
        <v>Yes</v>
      </c>
    </row>
    <row r="454" spans="1:16" x14ac:dyDescent="0.3">
      <c r="A454" s="3" t="s">
        <v>3041</v>
      </c>
      <c r="B454" s="5">
        <v>44524</v>
      </c>
      <c r="C454" s="3" t="s">
        <v>3042</v>
      </c>
      <c r="D454" s="4" t="s">
        <v>6167</v>
      </c>
      <c r="E454" s="3">
        <v>3</v>
      </c>
      <c r="F454" s="3" t="str">
        <f>_xlfn.XLOOKUP(C454,customers!$A$1:$A$1001,customers!$B$1:$B$1001,,0)</f>
        <v>Morgen Seson</v>
      </c>
      <c r="G454" s="3" t="str">
        <f>IF(_xlfn.XLOOKUP(C454,customers!$A$1:$A$1001,customers!$C$1:$C$1001,,0)=0,"", _xlfn.XLOOKUP(C454,customers!$A$1:$A$1001,customers!$C$1:$C$1001,,0))</f>
        <v>msesonck@census.gov</v>
      </c>
      <c r="H454" s="3" t="str">
        <f>_xlfn.XLOOKUP(C454,customers!$A$1:$A$1001,customers!$G$1:$G$1001,,0)</f>
        <v>United States</v>
      </c>
      <c r="I454" s="4" t="str">
        <f>INDEX(products!$A$1:$G$49,MATCH(orders!$D454,products!$A$1:$A$49,0),MATCH(orders!I$1,products!$A$1:$G$1,0))</f>
        <v>Ara</v>
      </c>
      <c r="J454" s="4" t="str">
        <f>INDEX(products!$A$1:$G$49,MATCH(orders!$D454,products!$A$1:$A$49,0),MATCH(orders!J$1,products!$A$1:$G$1,0))</f>
        <v>L</v>
      </c>
      <c r="K454" s="6">
        <f>INDEX(products!$A$1:$G$49,MATCH(orders!$D454,products!$A$1:$A$49,0),MATCH(orders!K$1,products!$A$1:$G$1,0))</f>
        <v>0.2</v>
      </c>
      <c r="L454" s="7">
        <f>INDEX(products!$A$1:$G$49,MATCH(orders!$D454,products!$A$1:$A$49,0),MATCH(orders!L$1,products!$A$1:$G$1,0))</f>
        <v>3.8849999999999998</v>
      </c>
      <c r="M454" s="7">
        <f t="shared" si="7"/>
        <v>11.654999999999999</v>
      </c>
      <c r="N454" s="4" t="str" cm="1">
        <f t="array" ref="N454">_xlfn.IFS(I454="Rob","Robusta",I454="Exc","Excelsa",I454="Ara","Arabica",I454="Lib","Liberica")</f>
        <v>Arabica</v>
      </c>
      <c r="O454" s="4" t="str" cm="1">
        <f t="array" ref="O454">_xlfn.IFS(J454="M","Medium",J454="L","Light",J454="D","Dark")</f>
        <v>Light</v>
      </c>
      <c r="P454" s="4" t="str">
        <f>_xlfn.XLOOKUP(CoffeeOrderstable[[#This Row],[Customer ID]],customers!$A$1:$A$1001,customers!$I$1:$I$1001,,0)</f>
        <v>No</v>
      </c>
    </row>
    <row r="455" spans="1:16" x14ac:dyDescent="0.3">
      <c r="A455" s="3" t="s">
        <v>3047</v>
      </c>
      <c r="B455" s="5">
        <v>44579</v>
      </c>
      <c r="C455" s="3" t="s">
        <v>3048</v>
      </c>
      <c r="D455" s="4" t="s">
        <v>6161</v>
      </c>
      <c r="E455" s="3">
        <v>4</v>
      </c>
      <c r="F455" s="3" t="str">
        <f>_xlfn.XLOOKUP(C455,customers!$A$1:$A$1001,customers!$B$1:$B$1001,,0)</f>
        <v>Nalani Pirrone</v>
      </c>
      <c r="G455" s="3" t="str">
        <f>IF(_xlfn.XLOOKUP(C455,customers!$A$1:$A$1001,customers!$C$1:$C$1001,,0)=0,"", _xlfn.XLOOKUP(C455,customers!$A$1:$A$1001,customers!$C$1:$C$1001,,0))</f>
        <v>npirronecl@weibo.com</v>
      </c>
      <c r="H455" s="3" t="str">
        <f>_xlfn.XLOOKUP(C455,customers!$A$1:$A$1001,customers!$G$1:$G$1001,,0)</f>
        <v>United States</v>
      </c>
      <c r="I455" s="4" t="str">
        <f>INDEX(products!$A$1:$G$49,MATCH(orders!$D455,products!$A$1:$A$49,0),MATCH(orders!I$1,products!$A$1:$G$1,0))</f>
        <v>Lib</v>
      </c>
      <c r="J455" s="4" t="str">
        <f>INDEX(products!$A$1:$G$49,MATCH(orders!$D455,products!$A$1:$A$49,0),MATCH(orders!J$1,products!$A$1:$G$1,0))</f>
        <v>L</v>
      </c>
      <c r="K455" s="6">
        <f>INDEX(products!$A$1:$G$49,MATCH(orders!$D455,products!$A$1:$A$49,0),MATCH(orders!K$1,products!$A$1:$G$1,0))</f>
        <v>0.5</v>
      </c>
      <c r="L455" s="7">
        <f>INDEX(products!$A$1:$G$49,MATCH(orders!$D455,products!$A$1:$A$49,0),MATCH(orders!L$1,products!$A$1:$G$1,0))</f>
        <v>9.51</v>
      </c>
      <c r="M455" s="7">
        <f t="shared" si="7"/>
        <v>38.04</v>
      </c>
      <c r="N455" s="4" t="str" cm="1">
        <f t="array" ref="N455">_xlfn.IFS(I455="Rob","Robusta",I455="Exc","Excelsa",I455="Ara","Arabica",I455="Lib","Liberica")</f>
        <v>Liberica</v>
      </c>
      <c r="O455" s="4" t="str" cm="1">
        <f t="array" ref="O455">_xlfn.IFS(J455="M","Medium",J455="L","Light",J455="D","Dark")</f>
        <v>Light</v>
      </c>
      <c r="P455" s="4" t="str">
        <f>_xlfn.XLOOKUP(CoffeeOrderstable[[#This Row],[Customer ID]],customers!$A$1:$A$1001,customers!$I$1:$I$1001,,0)</f>
        <v>No</v>
      </c>
    </row>
    <row r="456" spans="1:16" x14ac:dyDescent="0.3">
      <c r="A456" s="3" t="s">
        <v>3053</v>
      </c>
      <c r="B456" s="5">
        <v>44421</v>
      </c>
      <c r="C456" s="3" t="s">
        <v>3054</v>
      </c>
      <c r="D456" s="4" t="s">
        <v>6149</v>
      </c>
      <c r="E456" s="3">
        <v>4</v>
      </c>
      <c r="F456" s="3" t="str">
        <f>_xlfn.XLOOKUP(C456,customers!$A$1:$A$1001,customers!$B$1:$B$1001,,0)</f>
        <v>Reube Cawley</v>
      </c>
      <c r="G456" s="3" t="str">
        <f>IF(_xlfn.XLOOKUP(C456,customers!$A$1:$A$1001,customers!$C$1:$C$1001,,0)=0,"", _xlfn.XLOOKUP(C456,customers!$A$1:$A$1001,customers!$C$1:$C$1001,,0))</f>
        <v>rcawleycm@yellowbook.com</v>
      </c>
      <c r="H456" s="3" t="str">
        <f>_xlfn.XLOOKUP(C456,customers!$A$1:$A$1001,customers!$G$1:$G$1001,,0)</f>
        <v>Ireland</v>
      </c>
      <c r="I456" s="4" t="str">
        <f>INDEX(products!$A$1:$G$49,MATCH(orders!$D456,products!$A$1:$A$49,0),MATCH(orders!I$1,products!$A$1:$G$1,0))</f>
        <v>Rob</v>
      </c>
      <c r="J456" s="4" t="str">
        <f>INDEX(products!$A$1:$G$49,MATCH(orders!$D456,products!$A$1:$A$49,0),MATCH(orders!J$1,products!$A$1:$G$1,0))</f>
        <v>D</v>
      </c>
      <c r="K456" s="6">
        <f>INDEX(products!$A$1:$G$49,MATCH(orders!$D456,products!$A$1:$A$49,0),MATCH(orders!K$1,products!$A$1:$G$1,0))</f>
        <v>2.5</v>
      </c>
      <c r="L456" s="7">
        <f>INDEX(products!$A$1:$G$49,MATCH(orders!$D456,products!$A$1:$A$49,0),MATCH(orders!L$1,products!$A$1:$G$1,0))</f>
        <v>20.584999999999997</v>
      </c>
      <c r="M456" s="7">
        <f t="shared" si="7"/>
        <v>82.339999999999989</v>
      </c>
      <c r="N456" s="4" t="str" cm="1">
        <f t="array" ref="N456">_xlfn.IFS(I456="Rob","Robusta",I456="Exc","Excelsa",I456="Ara","Arabica",I456="Lib","Liberica")</f>
        <v>Robusta</v>
      </c>
      <c r="O456" s="4" t="str" cm="1">
        <f t="array" ref="O456">_xlfn.IFS(J456="M","Medium",J456="L","Light",J456="D","Dark")</f>
        <v>Dark</v>
      </c>
      <c r="P456" s="4" t="str">
        <f>_xlfn.XLOOKUP(CoffeeOrderstable[[#This Row],[Customer ID]],customers!$A$1:$A$1001,customers!$I$1:$I$1001,,0)</f>
        <v>Yes</v>
      </c>
    </row>
    <row r="457" spans="1:16" x14ac:dyDescent="0.3">
      <c r="A457" s="3" t="s">
        <v>3058</v>
      </c>
      <c r="B457" s="5">
        <v>43841</v>
      </c>
      <c r="C457" s="3" t="s">
        <v>3059</v>
      </c>
      <c r="D457" s="4" t="s">
        <v>6145</v>
      </c>
      <c r="E457" s="3">
        <v>2</v>
      </c>
      <c r="F457" s="3" t="str">
        <f>_xlfn.XLOOKUP(C457,customers!$A$1:$A$1001,customers!$B$1:$B$1001,,0)</f>
        <v>Stan Barribal</v>
      </c>
      <c r="G457" s="3" t="str">
        <f>IF(_xlfn.XLOOKUP(C457,customers!$A$1:$A$1001,customers!$C$1:$C$1001,,0)=0,"", _xlfn.XLOOKUP(C457,customers!$A$1:$A$1001,customers!$C$1:$C$1001,,0))</f>
        <v>sbarribalcn@microsoft.com</v>
      </c>
      <c r="H457" s="3" t="str">
        <f>_xlfn.XLOOKUP(C457,customers!$A$1:$A$1001,customers!$G$1:$G$1001,,0)</f>
        <v>Ireland</v>
      </c>
      <c r="I457" s="4" t="str">
        <f>INDEX(products!$A$1:$G$49,MATCH(orders!$D457,products!$A$1:$A$49,0),MATCH(orders!I$1,products!$A$1:$G$1,0))</f>
        <v>Lib</v>
      </c>
      <c r="J457" s="4" t="str">
        <f>INDEX(products!$A$1:$G$49,MATCH(orders!$D457,products!$A$1:$A$49,0),MATCH(orders!J$1,products!$A$1:$G$1,0))</f>
        <v>L</v>
      </c>
      <c r="K457" s="6">
        <f>INDEX(products!$A$1:$G$49,MATCH(orders!$D457,products!$A$1:$A$49,0),MATCH(orders!K$1,products!$A$1:$G$1,0))</f>
        <v>0.2</v>
      </c>
      <c r="L457" s="7">
        <f>INDEX(products!$A$1:$G$49,MATCH(orders!$D457,products!$A$1:$A$49,0),MATCH(orders!L$1,products!$A$1:$G$1,0))</f>
        <v>4.7549999999999999</v>
      </c>
      <c r="M457" s="7">
        <f t="shared" si="7"/>
        <v>9.51</v>
      </c>
      <c r="N457" s="4" t="str" cm="1">
        <f t="array" ref="N457">_xlfn.IFS(I457="Rob","Robusta",I457="Exc","Excelsa",I457="Ara","Arabica",I457="Lib","Liberica")</f>
        <v>Liberica</v>
      </c>
      <c r="O457" s="4" t="str" cm="1">
        <f t="array" ref="O457">_xlfn.IFS(J457="M","Medium",J457="L","Light",J457="D","Dark")</f>
        <v>Light</v>
      </c>
      <c r="P457" s="4" t="str">
        <f>_xlfn.XLOOKUP(CoffeeOrderstable[[#This Row],[Customer ID]],customers!$A$1:$A$1001,customers!$I$1:$I$1001,,0)</f>
        <v>Yes</v>
      </c>
    </row>
    <row r="458" spans="1:16" x14ac:dyDescent="0.3">
      <c r="A458" s="3" t="s">
        <v>3064</v>
      </c>
      <c r="B458" s="5">
        <v>44017</v>
      </c>
      <c r="C458" s="3" t="s">
        <v>3065</v>
      </c>
      <c r="D458" s="4" t="s">
        <v>6149</v>
      </c>
      <c r="E458" s="3">
        <v>2</v>
      </c>
      <c r="F458" s="3" t="str">
        <f>_xlfn.XLOOKUP(C458,customers!$A$1:$A$1001,customers!$B$1:$B$1001,,0)</f>
        <v>Agnes Adamides</v>
      </c>
      <c r="G458" s="3" t="str">
        <f>IF(_xlfn.XLOOKUP(C458,customers!$A$1:$A$1001,customers!$C$1:$C$1001,,0)=0,"", _xlfn.XLOOKUP(C458,customers!$A$1:$A$1001,customers!$C$1:$C$1001,,0))</f>
        <v>aadamidesco@bizjournals.com</v>
      </c>
      <c r="H458" s="3" t="str">
        <f>_xlfn.XLOOKUP(C458,customers!$A$1:$A$1001,customers!$G$1:$G$1001,,0)</f>
        <v>United Kingdom</v>
      </c>
      <c r="I458" s="4" t="str">
        <f>INDEX(products!$A$1:$G$49,MATCH(orders!$D458,products!$A$1:$A$49,0),MATCH(orders!I$1,products!$A$1:$G$1,0))</f>
        <v>Rob</v>
      </c>
      <c r="J458" s="4" t="str">
        <f>INDEX(products!$A$1:$G$49,MATCH(orders!$D458,products!$A$1:$A$49,0),MATCH(orders!J$1,products!$A$1:$G$1,0))</f>
        <v>D</v>
      </c>
      <c r="K458" s="6">
        <f>INDEX(products!$A$1:$G$49,MATCH(orders!$D458,products!$A$1:$A$49,0),MATCH(orders!K$1,products!$A$1:$G$1,0))</f>
        <v>2.5</v>
      </c>
      <c r="L458" s="7">
        <f>INDEX(products!$A$1:$G$49,MATCH(orders!$D458,products!$A$1:$A$49,0),MATCH(orders!L$1,products!$A$1:$G$1,0))</f>
        <v>20.584999999999997</v>
      </c>
      <c r="M458" s="7">
        <f t="shared" si="7"/>
        <v>41.169999999999995</v>
      </c>
      <c r="N458" s="4" t="str" cm="1">
        <f t="array" ref="N458">_xlfn.IFS(I458="Rob","Robusta",I458="Exc","Excelsa",I458="Ara","Arabica",I458="Lib","Liberica")</f>
        <v>Robusta</v>
      </c>
      <c r="O458" s="4" t="str" cm="1">
        <f t="array" ref="O458">_xlfn.IFS(J458="M","Medium",J458="L","Light",J458="D","Dark")</f>
        <v>Dark</v>
      </c>
      <c r="P458" s="4" t="str">
        <f>_xlfn.XLOOKUP(CoffeeOrderstable[[#This Row],[Customer ID]],customers!$A$1:$A$1001,customers!$I$1:$I$1001,,0)</f>
        <v>No</v>
      </c>
    </row>
    <row r="459" spans="1:16" x14ac:dyDescent="0.3">
      <c r="A459" s="3" t="s">
        <v>3070</v>
      </c>
      <c r="B459" s="5">
        <v>43671</v>
      </c>
      <c r="C459" s="3" t="s">
        <v>3071</v>
      </c>
      <c r="D459" s="4" t="s">
        <v>6161</v>
      </c>
      <c r="E459" s="3">
        <v>5</v>
      </c>
      <c r="F459" s="3" t="str">
        <f>_xlfn.XLOOKUP(C459,customers!$A$1:$A$1001,customers!$B$1:$B$1001,,0)</f>
        <v>Carmelita Thowes</v>
      </c>
      <c r="G459" s="3" t="str">
        <f>IF(_xlfn.XLOOKUP(C459,customers!$A$1:$A$1001,customers!$C$1:$C$1001,,0)=0,"", _xlfn.XLOOKUP(C459,customers!$A$1:$A$1001,customers!$C$1:$C$1001,,0))</f>
        <v>cthowescp@craigslist.org</v>
      </c>
      <c r="H459" s="3" t="str">
        <f>_xlfn.XLOOKUP(C459,customers!$A$1:$A$1001,customers!$G$1:$G$1001,,0)</f>
        <v>United States</v>
      </c>
      <c r="I459" s="4" t="str">
        <f>INDEX(products!$A$1:$G$49,MATCH(orders!$D459,products!$A$1:$A$49,0),MATCH(orders!I$1,products!$A$1:$G$1,0))</f>
        <v>Lib</v>
      </c>
      <c r="J459" s="4" t="str">
        <f>INDEX(products!$A$1:$G$49,MATCH(orders!$D459,products!$A$1:$A$49,0),MATCH(orders!J$1,products!$A$1:$G$1,0))</f>
        <v>L</v>
      </c>
      <c r="K459" s="6">
        <f>INDEX(products!$A$1:$G$49,MATCH(orders!$D459,products!$A$1:$A$49,0),MATCH(orders!K$1,products!$A$1:$G$1,0))</f>
        <v>0.5</v>
      </c>
      <c r="L459" s="7">
        <f>INDEX(products!$A$1:$G$49,MATCH(orders!$D459,products!$A$1:$A$49,0),MATCH(orders!L$1,products!$A$1:$G$1,0))</f>
        <v>9.51</v>
      </c>
      <c r="M459" s="7">
        <f t="shared" si="7"/>
        <v>47.55</v>
      </c>
      <c r="N459" s="4" t="str" cm="1">
        <f t="array" ref="N459">_xlfn.IFS(I459="Rob","Robusta",I459="Exc","Excelsa",I459="Ara","Arabica",I459="Lib","Liberica")</f>
        <v>Liberica</v>
      </c>
      <c r="O459" s="4" t="str" cm="1">
        <f t="array" ref="O459">_xlfn.IFS(J459="M","Medium",J459="L","Light",J459="D","Dark")</f>
        <v>Light</v>
      </c>
      <c r="P459" s="4" t="str">
        <f>_xlfn.XLOOKUP(CoffeeOrderstable[[#This Row],[Customer ID]],customers!$A$1:$A$1001,customers!$I$1:$I$1001,,0)</f>
        <v>No</v>
      </c>
    </row>
    <row r="460" spans="1:16" x14ac:dyDescent="0.3">
      <c r="A460" s="3" t="s">
        <v>3076</v>
      </c>
      <c r="B460" s="5">
        <v>44707</v>
      </c>
      <c r="C460" s="3" t="s">
        <v>3077</v>
      </c>
      <c r="D460" s="4" t="s">
        <v>6155</v>
      </c>
      <c r="E460" s="3">
        <v>4</v>
      </c>
      <c r="F460" s="3" t="str">
        <f>_xlfn.XLOOKUP(C460,customers!$A$1:$A$1001,customers!$B$1:$B$1001,,0)</f>
        <v>Rodolfo Willoway</v>
      </c>
      <c r="G460" s="3" t="str">
        <f>IF(_xlfn.XLOOKUP(C460,customers!$A$1:$A$1001,customers!$C$1:$C$1001,,0)=0,"", _xlfn.XLOOKUP(C460,customers!$A$1:$A$1001,customers!$C$1:$C$1001,,0))</f>
        <v>rwillowaycq@admin.ch</v>
      </c>
      <c r="H460" s="3" t="str">
        <f>_xlfn.XLOOKUP(C460,customers!$A$1:$A$1001,customers!$G$1:$G$1001,,0)</f>
        <v>United States</v>
      </c>
      <c r="I460" s="4" t="str">
        <f>INDEX(products!$A$1:$G$49,MATCH(orders!$D460,products!$A$1:$A$49,0),MATCH(orders!I$1,products!$A$1:$G$1,0))</f>
        <v>Ara</v>
      </c>
      <c r="J460" s="4" t="str">
        <f>INDEX(products!$A$1:$G$49,MATCH(orders!$D460,products!$A$1:$A$49,0),MATCH(orders!J$1,products!$A$1:$G$1,0))</f>
        <v>M</v>
      </c>
      <c r="K460" s="6">
        <f>INDEX(products!$A$1:$G$49,MATCH(orders!$D460,products!$A$1:$A$49,0),MATCH(orders!K$1,products!$A$1:$G$1,0))</f>
        <v>1</v>
      </c>
      <c r="L460" s="7">
        <f>INDEX(products!$A$1:$G$49,MATCH(orders!$D460,products!$A$1:$A$49,0),MATCH(orders!L$1,products!$A$1:$G$1,0))</f>
        <v>11.25</v>
      </c>
      <c r="M460" s="7">
        <f t="shared" si="7"/>
        <v>45</v>
      </c>
      <c r="N460" s="4" t="str" cm="1">
        <f t="array" ref="N460">_xlfn.IFS(I460="Rob","Robusta",I460="Exc","Excelsa",I460="Ara","Arabica",I460="Lib","Liberica")</f>
        <v>Arabica</v>
      </c>
      <c r="O460" s="4" t="str" cm="1">
        <f t="array" ref="O460">_xlfn.IFS(J460="M","Medium",J460="L","Light",J460="D","Dark")</f>
        <v>Medium</v>
      </c>
      <c r="P460" s="4" t="str">
        <f>_xlfn.XLOOKUP(CoffeeOrderstable[[#This Row],[Customer ID]],customers!$A$1:$A$1001,customers!$I$1:$I$1001,,0)</f>
        <v>No</v>
      </c>
    </row>
    <row r="461" spans="1:16" x14ac:dyDescent="0.3">
      <c r="A461" s="3" t="s">
        <v>3082</v>
      </c>
      <c r="B461" s="5">
        <v>43840</v>
      </c>
      <c r="C461" s="3" t="s">
        <v>3083</v>
      </c>
      <c r="D461" s="4" t="s">
        <v>6145</v>
      </c>
      <c r="E461" s="3">
        <v>5</v>
      </c>
      <c r="F461" s="3" t="str">
        <f>_xlfn.XLOOKUP(C461,customers!$A$1:$A$1001,customers!$B$1:$B$1001,,0)</f>
        <v>Alvis Elwin</v>
      </c>
      <c r="G461" s="3" t="str">
        <f>IF(_xlfn.XLOOKUP(C461,customers!$A$1:$A$1001,customers!$C$1:$C$1001,,0)=0,"", _xlfn.XLOOKUP(C461,customers!$A$1:$A$1001,customers!$C$1:$C$1001,,0))</f>
        <v>aelwincr@privacy.gov.au</v>
      </c>
      <c r="H461" s="3" t="str">
        <f>_xlfn.XLOOKUP(C461,customers!$A$1:$A$1001,customers!$G$1:$G$1001,,0)</f>
        <v>United States</v>
      </c>
      <c r="I461" s="4" t="str">
        <f>INDEX(products!$A$1:$G$49,MATCH(orders!$D461,products!$A$1:$A$49,0),MATCH(orders!I$1,products!$A$1:$G$1,0))</f>
        <v>Lib</v>
      </c>
      <c r="J461" s="4" t="str">
        <f>INDEX(products!$A$1:$G$49,MATCH(orders!$D461,products!$A$1:$A$49,0),MATCH(orders!J$1,products!$A$1:$G$1,0))</f>
        <v>L</v>
      </c>
      <c r="K461" s="6">
        <f>INDEX(products!$A$1:$G$49,MATCH(orders!$D461,products!$A$1:$A$49,0),MATCH(orders!K$1,products!$A$1:$G$1,0))</f>
        <v>0.2</v>
      </c>
      <c r="L461" s="7">
        <f>INDEX(products!$A$1:$G$49,MATCH(orders!$D461,products!$A$1:$A$49,0),MATCH(orders!L$1,products!$A$1:$G$1,0))</f>
        <v>4.7549999999999999</v>
      </c>
      <c r="M461" s="7">
        <f t="shared" si="7"/>
        <v>23.774999999999999</v>
      </c>
      <c r="N461" s="4" t="str" cm="1">
        <f t="array" ref="N461">_xlfn.IFS(I461="Rob","Robusta",I461="Exc","Excelsa",I461="Ara","Arabica",I461="Lib","Liberica")</f>
        <v>Liberica</v>
      </c>
      <c r="O461" s="4" t="str" cm="1">
        <f t="array" ref="O461">_xlfn.IFS(J461="M","Medium",J461="L","Light",J461="D","Dark")</f>
        <v>Light</v>
      </c>
      <c r="P461" s="4" t="str">
        <f>_xlfn.XLOOKUP(CoffeeOrderstable[[#This Row],[Customer ID]],customers!$A$1:$A$1001,customers!$I$1:$I$1001,,0)</f>
        <v>No</v>
      </c>
    </row>
    <row r="462" spans="1:16" x14ac:dyDescent="0.3">
      <c r="A462" s="3" t="s">
        <v>3088</v>
      </c>
      <c r="B462" s="5">
        <v>43602</v>
      </c>
      <c r="C462" s="3" t="s">
        <v>3089</v>
      </c>
      <c r="D462" s="4" t="s">
        <v>6172</v>
      </c>
      <c r="E462" s="3">
        <v>3</v>
      </c>
      <c r="F462" s="3" t="str">
        <f>_xlfn.XLOOKUP(C462,customers!$A$1:$A$1001,customers!$B$1:$B$1001,,0)</f>
        <v>Araldo Bilbrook</v>
      </c>
      <c r="G462" s="3" t="str">
        <f>IF(_xlfn.XLOOKUP(C462,customers!$A$1:$A$1001,customers!$C$1:$C$1001,,0)=0,"", _xlfn.XLOOKUP(C462,customers!$A$1:$A$1001,customers!$C$1:$C$1001,,0))</f>
        <v>abilbrookcs@booking.com</v>
      </c>
      <c r="H462" s="3" t="str">
        <f>_xlfn.XLOOKUP(C462,customers!$A$1:$A$1001,customers!$G$1:$G$1001,,0)</f>
        <v>Ireland</v>
      </c>
      <c r="I462" s="4" t="str">
        <f>INDEX(products!$A$1:$G$49,MATCH(orders!$D462,products!$A$1:$A$49,0),MATCH(orders!I$1,products!$A$1:$G$1,0))</f>
        <v>Rob</v>
      </c>
      <c r="J462" s="4" t="str">
        <f>INDEX(products!$A$1:$G$49,MATCH(orders!$D462,products!$A$1:$A$49,0),MATCH(orders!J$1,products!$A$1:$G$1,0))</f>
        <v>D</v>
      </c>
      <c r="K462" s="6">
        <f>INDEX(products!$A$1:$G$49,MATCH(orders!$D462,products!$A$1:$A$49,0),MATCH(orders!K$1,products!$A$1:$G$1,0))</f>
        <v>0.5</v>
      </c>
      <c r="L462" s="7">
        <f>INDEX(products!$A$1:$G$49,MATCH(orders!$D462,products!$A$1:$A$49,0),MATCH(orders!L$1,products!$A$1:$G$1,0))</f>
        <v>5.3699999999999992</v>
      </c>
      <c r="M462" s="7">
        <f t="shared" si="7"/>
        <v>16.11</v>
      </c>
      <c r="N462" s="4" t="str" cm="1">
        <f t="array" ref="N462">_xlfn.IFS(I462="Rob","Robusta",I462="Exc","Excelsa",I462="Ara","Arabica",I462="Lib","Liberica")</f>
        <v>Robusta</v>
      </c>
      <c r="O462" s="4" t="str" cm="1">
        <f t="array" ref="O462">_xlfn.IFS(J462="M","Medium",J462="L","Light",J462="D","Dark")</f>
        <v>Dark</v>
      </c>
      <c r="P462" s="4" t="str">
        <f>_xlfn.XLOOKUP(CoffeeOrderstable[[#This Row],[Customer ID]],customers!$A$1:$A$1001,customers!$I$1:$I$1001,,0)</f>
        <v>Yes</v>
      </c>
    </row>
    <row r="463" spans="1:16" x14ac:dyDescent="0.3">
      <c r="A463" s="3" t="s">
        <v>3094</v>
      </c>
      <c r="B463" s="5">
        <v>44036</v>
      </c>
      <c r="C463" s="3" t="s">
        <v>3095</v>
      </c>
      <c r="D463" s="4" t="s">
        <v>6163</v>
      </c>
      <c r="E463" s="3">
        <v>4</v>
      </c>
      <c r="F463" s="3" t="str">
        <f>_xlfn.XLOOKUP(C463,customers!$A$1:$A$1001,customers!$B$1:$B$1001,,0)</f>
        <v>Ransell McKall</v>
      </c>
      <c r="G463" s="3" t="str">
        <f>IF(_xlfn.XLOOKUP(C463,customers!$A$1:$A$1001,customers!$C$1:$C$1001,,0)=0,"", _xlfn.XLOOKUP(C463,customers!$A$1:$A$1001,customers!$C$1:$C$1001,,0))</f>
        <v>rmckallct@sakura.ne.jp</v>
      </c>
      <c r="H463" s="3" t="str">
        <f>_xlfn.XLOOKUP(C463,customers!$A$1:$A$1001,customers!$G$1:$G$1001,,0)</f>
        <v>United Kingdom</v>
      </c>
      <c r="I463" s="4" t="str">
        <f>INDEX(products!$A$1:$G$49,MATCH(orders!$D463,products!$A$1:$A$49,0),MATCH(orders!I$1,products!$A$1:$G$1,0))</f>
        <v>Rob</v>
      </c>
      <c r="J463" s="4" t="str">
        <f>INDEX(products!$A$1:$G$49,MATCH(orders!$D463,products!$A$1:$A$49,0),MATCH(orders!J$1,products!$A$1:$G$1,0))</f>
        <v>D</v>
      </c>
      <c r="K463" s="6">
        <f>INDEX(products!$A$1:$G$49,MATCH(orders!$D463,products!$A$1:$A$49,0),MATCH(orders!K$1,products!$A$1:$G$1,0))</f>
        <v>0.2</v>
      </c>
      <c r="L463" s="7">
        <f>INDEX(products!$A$1:$G$49,MATCH(orders!$D463,products!$A$1:$A$49,0),MATCH(orders!L$1,products!$A$1:$G$1,0))</f>
        <v>2.6849999999999996</v>
      </c>
      <c r="M463" s="7">
        <f t="shared" si="7"/>
        <v>10.739999999999998</v>
      </c>
      <c r="N463" s="4" t="str" cm="1">
        <f t="array" ref="N463">_xlfn.IFS(I463="Rob","Robusta",I463="Exc","Excelsa",I463="Ara","Arabica",I463="Lib","Liberica")</f>
        <v>Robusta</v>
      </c>
      <c r="O463" s="4" t="str" cm="1">
        <f t="array" ref="O463">_xlfn.IFS(J463="M","Medium",J463="L","Light",J463="D","Dark")</f>
        <v>Dark</v>
      </c>
      <c r="P463" s="4" t="str">
        <f>_xlfn.XLOOKUP(CoffeeOrderstable[[#This Row],[Customer ID]],customers!$A$1:$A$1001,customers!$I$1:$I$1001,,0)</f>
        <v>Yes</v>
      </c>
    </row>
    <row r="464" spans="1:16" x14ac:dyDescent="0.3">
      <c r="A464" s="3" t="s">
        <v>3100</v>
      </c>
      <c r="B464" s="5">
        <v>44124</v>
      </c>
      <c r="C464" s="3" t="s">
        <v>3101</v>
      </c>
      <c r="D464" s="4" t="s">
        <v>6147</v>
      </c>
      <c r="E464" s="3">
        <v>5</v>
      </c>
      <c r="F464" s="3" t="str">
        <f>_xlfn.XLOOKUP(C464,customers!$A$1:$A$1001,customers!$B$1:$B$1001,,0)</f>
        <v>Borg Daile</v>
      </c>
      <c r="G464" s="3" t="str">
        <f>IF(_xlfn.XLOOKUP(C464,customers!$A$1:$A$1001,customers!$C$1:$C$1001,,0)=0,"", _xlfn.XLOOKUP(C464,customers!$A$1:$A$1001,customers!$C$1:$C$1001,,0))</f>
        <v>bdailecu@vistaprint.com</v>
      </c>
      <c r="H464" s="3" t="str">
        <f>_xlfn.XLOOKUP(C464,customers!$A$1:$A$1001,customers!$G$1:$G$1001,,0)</f>
        <v>United States</v>
      </c>
      <c r="I464" s="4" t="str">
        <f>INDEX(products!$A$1:$G$49,MATCH(orders!$D464,products!$A$1:$A$49,0),MATCH(orders!I$1,products!$A$1:$G$1,0))</f>
        <v>Ara</v>
      </c>
      <c r="J464" s="4" t="str">
        <f>INDEX(products!$A$1:$G$49,MATCH(orders!$D464,products!$A$1:$A$49,0),MATCH(orders!J$1,products!$A$1:$G$1,0))</f>
        <v>D</v>
      </c>
      <c r="K464" s="6">
        <f>INDEX(products!$A$1:$G$49,MATCH(orders!$D464,products!$A$1:$A$49,0),MATCH(orders!K$1,products!$A$1:$G$1,0))</f>
        <v>1</v>
      </c>
      <c r="L464" s="7">
        <f>INDEX(products!$A$1:$G$49,MATCH(orders!$D464,products!$A$1:$A$49,0),MATCH(orders!L$1,products!$A$1:$G$1,0))</f>
        <v>9.9499999999999993</v>
      </c>
      <c r="M464" s="7">
        <f t="shared" si="7"/>
        <v>49.75</v>
      </c>
      <c r="N464" s="4" t="str" cm="1">
        <f t="array" ref="N464">_xlfn.IFS(I464="Rob","Robusta",I464="Exc","Excelsa",I464="Ara","Arabica",I464="Lib","Liberica")</f>
        <v>Arabica</v>
      </c>
      <c r="O464" s="4" t="str" cm="1">
        <f t="array" ref="O464">_xlfn.IFS(J464="M","Medium",J464="L","Light",J464="D","Dark")</f>
        <v>Dark</v>
      </c>
      <c r="P464" s="4" t="str">
        <f>_xlfn.XLOOKUP(CoffeeOrderstable[[#This Row],[Customer ID]],customers!$A$1:$A$1001,customers!$I$1:$I$1001,,0)</f>
        <v>Yes</v>
      </c>
    </row>
    <row r="465" spans="1:16" x14ac:dyDescent="0.3">
      <c r="A465" s="3" t="s">
        <v>3106</v>
      </c>
      <c r="B465" s="5">
        <v>43730</v>
      </c>
      <c r="C465" s="3" t="s">
        <v>3107</v>
      </c>
      <c r="D465" s="4" t="s">
        <v>6141</v>
      </c>
      <c r="E465" s="3">
        <v>2</v>
      </c>
      <c r="F465" s="3" t="str">
        <f>_xlfn.XLOOKUP(C465,customers!$A$1:$A$1001,customers!$B$1:$B$1001,,0)</f>
        <v>Adolphe Treherne</v>
      </c>
      <c r="G465" s="3" t="str">
        <f>IF(_xlfn.XLOOKUP(C465,customers!$A$1:$A$1001,customers!$C$1:$C$1001,,0)=0,"", _xlfn.XLOOKUP(C465,customers!$A$1:$A$1001,customers!$C$1:$C$1001,,0))</f>
        <v>atrehernecv@state.tx.us</v>
      </c>
      <c r="H465" s="3" t="str">
        <f>_xlfn.XLOOKUP(C465,customers!$A$1:$A$1001,customers!$G$1:$G$1001,,0)</f>
        <v>Ireland</v>
      </c>
      <c r="I465" s="4" t="str">
        <f>INDEX(products!$A$1:$G$49,MATCH(orders!$D465,products!$A$1:$A$49,0),MATCH(orders!I$1,products!$A$1:$G$1,0))</f>
        <v>Exc</v>
      </c>
      <c r="J465" s="4" t="str">
        <f>INDEX(products!$A$1:$G$49,MATCH(orders!$D465,products!$A$1:$A$49,0),MATCH(orders!J$1,products!$A$1:$G$1,0))</f>
        <v>M</v>
      </c>
      <c r="K465" s="6">
        <f>INDEX(products!$A$1:$G$49,MATCH(orders!$D465,products!$A$1:$A$49,0),MATCH(orders!K$1,products!$A$1:$G$1,0))</f>
        <v>1</v>
      </c>
      <c r="L465" s="7">
        <f>INDEX(products!$A$1:$G$49,MATCH(orders!$D465,products!$A$1:$A$49,0),MATCH(orders!L$1,products!$A$1:$G$1,0))</f>
        <v>13.75</v>
      </c>
      <c r="M465" s="7">
        <f t="shared" si="7"/>
        <v>27.5</v>
      </c>
      <c r="N465" s="4" t="str" cm="1">
        <f t="array" ref="N465">_xlfn.IFS(I465="Rob","Robusta",I465="Exc","Excelsa",I465="Ara","Arabica",I465="Lib","Liberica")</f>
        <v>Excelsa</v>
      </c>
      <c r="O465" s="4" t="str" cm="1">
        <f t="array" ref="O465">_xlfn.IFS(J465="M","Medium",J465="L","Light",J465="D","Dark")</f>
        <v>Medium</v>
      </c>
      <c r="P465" s="4" t="str">
        <f>_xlfn.XLOOKUP(CoffeeOrderstable[[#This Row],[Customer ID]],customers!$A$1:$A$1001,customers!$I$1:$I$1001,,0)</f>
        <v>No</v>
      </c>
    </row>
    <row r="466" spans="1:16" x14ac:dyDescent="0.3">
      <c r="A466" s="3" t="s">
        <v>3112</v>
      </c>
      <c r="B466" s="5">
        <v>43989</v>
      </c>
      <c r="C466" s="3" t="s">
        <v>3113</v>
      </c>
      <c r="D466" s="4" t="s">
        <v>6165</v>
      </c>
      <c r="E466" s="3">
        <v>4</v>
      </c>
      <c r="F466" s="3" t="str">
        <f>_xlfn.XLOOKUP(C466,customers!$A$1:$A$1001,customers!$B$1:$B$1001,,0)</f>
        <v>Annetta Brentnall</v>
      </c>
      <c r="G466" s="3" t="str">
        <f>IF(_xlfn.XLOOKUP(C466,customers!$A$1:$A$1001,customers!$C$1:$C$1001,,0)=0,"", _xlfn.XLOOKUP(C466,customers!$A$1:$A$1001,customers!$C$1:$C$1001,,0))</f>
        <v>abrentnallcw@biglobe.ne.jp</v>
      </c>
      <c r="H466" s="3" t="str">
        <f>_xlfn.XLOOKUP(C466,customers!$A$1:$A$1001,customers!$G$1:$G$1001,,0)</f>
        <v>United Kingdom</v>
      </c>
      <c r="I466" s="4" t="str">
        <f>INDEX(products!$A$1:$G$49,MATCH(orders!$D466,products!$A$1:$A$49,0),MATCH(orders!I$1,products!$A$1:$G$1,0))</f>
        <v>Lib</v>
      </c>
      <c r="J466" s="4" t="str">
        <f>INDEX(products!$A$1:$G$49,MATCH(orders!$D466,products!$A$1:$A$49,0),MATCH(orders!J$1,products!$A$1:$G$1,0))</f>
        <v>D</v>
      </c>
      <c r="K466" s="6">
        <f>INDEX(products!$A$1:$G$49,MATCH(orders!$D466,products!$A$1:$A$49,0),MATCH(orders!K$1,products!$A$1:$G$1,0))</f>
        <v>2.5</v>
      </c>
      <c r="L466" s="7">
        <f>INDEX(products!$A$1:$G$49,MATCH(orders!$D466,products!$A$1:$A$49,0),MATCH(orders!L$1,products!$A$1:$G$1,0))</f>
        <v>29.784999999999997</v>
      </c>
      <c r="M466" s="7">
        <f t="shared" si="7"/>
        <v>119.13999999999999</v>
      </c>
      <c r="N466" s="4" t="str" cm="1">
        <f t="array" ref="N466">_xlfn.IFS(I466="Rob","Robusta",I466="Exc","Excelsa",I466="Ara","Arabica",I466="Lib","Liberica")</f>
        <v>Liberica</v>
      </c>
      <c r="O466" s="4" t="str" cm="1">
        <f t="array" ref="O466">_xlfn.IFS(J466="M","Medium",J466="L","Light",J466="D","Dark")</f>
        <v>Dark</v>
      </c>
      <c r="P466" s="4" t="str">
        <f>_xlfn.XLOOKUP(CoffeeOrderstable[[#This Row],[Customer ID]],customers!$A$1:$A$1001,customers!$I$1:$I$1001,,0)</f>
        <v>No</v>
      </c>
    </row>
    <row r="467" spans="1:16" x14ac:dyDescent="0.3">
      <c r="A467" s="3" t="s">
        <v>3118</v>
      </c>
      <c r="B467" s="5">
        <v>43814</v>
      </c>
      <c r="C467" s="3" t="s">
        <v>3119</v>
      </c>
      <c r="D467" s="4" t="s">
        <v>6149</v>
      </c>
      <c r="E467" s="3">
        <v>1</v>
      </c>
      <c r="F467" s="3" t="str">
        <f>_xlfn.XLOOKUP(C467,customers!$A$1:$A$1001,customers!$B$1:$B$1001,,0)</f>
        <v>Dick Drinkall</v>
      </c>
      <c r="G467" s="3" t="str">
        <f>IF(_xlfn.XLOOKUP(C467,customers!$A$1:$A$1001,customers!$C$1:$C$1001,,0)=0,"", _xlfn.XLOOKUP(C467,customers!$A$1:$A$1001,customers!$C$1:$C$1001,,0))</f>
        <v>ddrinkallcx@psu.edu</v>
      </c>
      <c r="H467" s="3" t="str">
        <f>_xlfn.XLOOKUP(C467,customers!$A$1:$A$1001,customers!$G$1:$G$1001,,0)</f>
        <v>United States</v>
      </c>
      <c r="I467" s="4" t="str">
        <f>INDEX(products!$A$1:$G$49,MATCH(orders!$D467,products!$A$1:$A$49,0),MATCH(orders!I$1,products!$A$1:$G$1,0))</f>
        <v>Rob</v>
      </c>
      <c r="J467" s="4" t="str">
        <f>INDEX(products!$A$1:$G$49,MATCH(orders!$D467,products!$A$1:$A$49,0),MATCH(orders!J$1,products!$A$1:$G$1,0))</f>
        <v>D</v>
      </c>
      <c r="K467" s="6">
        <f>INDEX(products!$A$1:$G$49,MATCH(orders!$D467,products!$A$1:$A$49,0),MATCH(orders!K$1,products!$A$1:$G$1,0))</f>
        <v>2.5</v>
      </c>
      <c r="L467" s="7">
        <f>INDEX(products!$A$1:$G$49,MATCH(orders!$D467,products!$A$1:$A$49,0),MATCH(orders!L$1,products!$A$1:$G$1,0))</f>
        <v>20.584999999999997</v>
      </c>
      <c r="M467" s="7">
        <f t="shared" si="7"/>
        <v>20.584999999999997</v>
      </c>
      <c r="N467" s="4" t="str" cm="1">
        <f t="array" ref="N467">_xlfn.IFS(I467="Rob","Robusta",I467="Exc","Excelsa",I467="Ara","Arabica",I467="Lib","Liberica")</f>
        <v>Robusta</v>
      </c>
      <c r="O467" s="4" t="str" cm="1">
        <f t="array" ref="O467">_xlfn.IFS(J467="M","Medium",J467="L","Light",J467="D","Dark")</f>
        <v>Dark</v>
      </c>
      <c r="P467" s="4" t="str">
        <f>_xlfn.XLOOKUP(CoffeeOrderstable[[#This Row],[Customer ID]],customers!$A$1:$A$1001,customers!$I$1:$I$1001,,0)</f>
        <v>Yes</v>
      </c>
    </row>
    <row r="468" spans="1:16" x14ac:dyDescent="0.3">
      <c r="A468" s="3" t="s">
        <v>3124</v>
      </c>
      <c r="B468" s="5">
        <v>44171</v>
      </c>
      <c r="C468" s="3" t="s">
        <v>3125</v>
      </c>
      <c r="D468" s="4" t="s">
        <v>6154</v>
      </c>
      <c r="E468" s="3">
        <v>3</v>
      </c>
      <c r="F468" s="3" t="str">
        <f>_xlfn.XLOOKUP(C468,customers!$A$1:$A$1001,customers!$B$1:$B$1001,,0)</f>
        <v>Dagny Kornel</v>
      </c>
      <c r="G468" s="3" t="str">
        <f>IF(_xlfn.XLOOKUP(C468,customers!$A$1:$A$1001,customers!$C$1:$C$1001,,0)=0,"", _xlfn.XLOOKUP(C468,customers!$A$1:$A$1001,customers!$C$1:$C$1001,,0))</f>
        <v>dkornelcy@cyberchimps.com</v>
      </c>
      <c r="H468" s="3" t="str">
        <f>_xlfn.XLOOKUP(C468,customers!$A$1:$A$1001,customers!$G$1:$G$1001,,0)</f>
        <v>United States</v>
      </c>
      <c r="I468" s="4" t="str">
        <f>INDEX(products!$A$1:$G$49,MATCH(orders!$D468,products!$A$1:$A$49,0),MATCH(orders!I$1,products!$A$1:$G$1,0))</f>
        <v>Ara</v>
      </c>
      <c r="J468" s="4" t="str">
        <f>INDEX(products!$A$1:$G$49,MATCH(orders!$D468,products!$A$1:$A$49,0),MATCH(orders!J$1,products!$A$1:$G$1,0))</f>
        <v>D</v>
      </c>
      <c r="K468" s="6">
        <f>INDEX(products!$A$1:$G$49,MATCH(orders!$D468,products!$A$1:$A$49,0),MATCH(orders!K$1,products!$A$1:$G$1,0))</f>
        <v>0.2</v>
      </c>
      <c r="L468" s="7">
        <f>INDEX(products!$A$1:$G$49,MATCH(orders!$D468,products!$A$1:$A$49,0),MATCH(orders!L$1,products!$A$1:$G$1,0))</f>
        <v>2.9849999999999999</v>
      </c>
      <c r="M468" s="7">
        <f t="shared" si="7"/>
        <v>8.9550000000000001</v>
      </c>
      <c r="N468" s="4" t="str" cm="1">
        <f t="array" ref="N468">_xlfn.IFS(I468="Rob","Robusta",I468="Exc","Excelsa",I468="Ara","Arabica",I468="Lib","Liberica")</f>
        <v>Arabica</v>
      </c>
      <c r="O468" s="4" t="str" cm="1">
        <f t="array" ref="O468">_xlfn.IFS(J468="M","Medium",J468="L","Light",J468="D","Dark")</f>
        <v>Dark</v>
      </c>
      <c r="P468" s="4" t="str">
        <f>_xlfn.XLOOKUP(CoffeeOrderstable[[#This Row],[Customer ID]],customers!$A$1:$A$1001,customers!$I$1:$I$1001,,0)</f>
        <v>Yes</v>
      </c>
    </row>
    <row r="469" spans="1:16" x14ac:dyDescent="0.3">
      <c r="A469" s="3" t="s">
        <v>3130</v>
      </c>
      <c r="B469" s="5">
        <v>44536</v>
      </c>
      <c r="C469" s="3" t="s">
        <v>3131</v>
      </c>
      <c r="D469" s="4" t="s">
        <v>6158</v>
      </c>
      <c r="E469" s="3">
        <v>1</v>
      </c>
      <c r="F469" s="3" t="str">
        <f>_xlfn.XLOOKUP(C469,customers!$A$1:$A$1001,customers!$B$1:$B$1001,,0)</f>
        <v>Rhona Lequeux</v>
      </c>
      <c r="G469" s="3" t="str">
        <f>IF(_xlfn.XLOOKUP(C469,customers!$A$1:$A$1001,customers!$C$1:$C$1001,,0)=0,"", _xlfn.XLOOKUP(C469,customers!$A$1:$A$1001,customers!$C$1:$C$1001,,0))</f>
        <v>rlequeuxcz@newyorker.com</v>
      </c>
      <c r="H469" s="3" t="str">
        <f>_xlfn.XLOOKUP(C469,customers!$A$1:$A$1001,customers!$G$1:$G$1001,,0)</f>
        <v>United States</v>
      </c>
      <c r="I469" s="4" t="str">
        <f>INDEX(products!$A$1:$G$49,MATCH(orders!$D469,products!$A$1:$A$49,0),MATCH(orders!I$1,products!$A$1:$G$1,0))</f>
        <v>Ara</v>
      </c>
      <c r="J469" s="4" t="str">
        <f>INDEX(products!$A$1:$G$49,MATCH(orders!$D469,products!$A$1:$A$49,0),MATCH(orders!J$1,products!$A$1:$G$1,0))</f>
        <v>D</v>
      </c>
      <c r="K469" s="6">
        <f>INDEX(products!$A$1:$G$49,MATCH(orders!$D469,products!$A$1:$A$49,0),MATCH(orders!K$1,products!$A$1:$G$1,0))</f>
        <v>0.5</v>
      </c>
      <c r="L469" s="7">
        <f>INDEX(products!$A$1:$G$49,MATCH(orders!$D469,products!$A$1:$A$49,0),MATCH(orders!L$1,products!$A$1:$G$1,0))</f>
        <v>5.97</v>
      </c>
      <c r="M469" s="7">
        <f t="shared" si="7"/>
        <v>5.97</v>
      </c>
      <c r="N469" s="4" t="str" cm="1">
        <f t="array" ref="N469">_xlfn.IFS(I469="Rob","Robusta",I469="Exc","Excelsa",I469="Ara","Arabica",I469="Lib","Liberica")</f>
        <v>Arabica</v>
      </c>
      <c r="O469" s="4" t="str" cm="1">
        <f t="array" ref="O469">_xlfn.IFS(J469="M","Medium",J469="L","Light",J469="D","Dark")</f>
        <v>Dark</v>
      </c>
      <c r="P469" s="4" t="str">
        <f>_xlfn.XLOOKUP(CoffeeOrderstable[[#This Row],[Customer ID]],customers!$A$1:$A$1001,customers!$I$1:$I$1001,,0)</f>
        <v>No</v>
      </c>
    </row>
    <row r="470" spans="1:16" x14ac:dyDescent="0.3">
      <c r="A470" s="3" t="s">
        <v>3136</v>
      </c>
      <c r="B470" s="5">
        <v>44023</v>
      </c>
      <c r="C470" s="3" t="s">
        <v>3137</v>
      </c>
      <c r="D470" s="4" t="s">
        <v>6141</v>
      </c>
      <c r="E470" s="3">
        <v>3</v>
      </c>
      <c r="F470" s="3" t="str">
        <f>_xlfn.XLOOKUP(C470,customers!$A$1:$A$1001,customers!$B$1:$B$1001,,0)</f>
        <v>Julius Mccaull</v>
      </c>
      <c r="G470" s="3" t="str">
        <f>IF(_xlfn.XLOOKUP(C470,customers!$A$1:$A$1001,customers!$C$1:$C$1001,,0)=0,"", _xlfn.XLOOKUP(C470,customers!$A$1:$A$1001,customers!$C$1:$C$1001,,0))</f>
        <v>jmccaulld0@parallels.com</v>
      </c>
      <c r="H470" s="3" t="str">
        <f>_xlfn.XLOOKUP(C470,customers!$A$1:$A$1001,customers!$G$1:$G$1001,,0)</f>
        <v>United States</v>
      </c>
      <c r="I470" s="4" t="str">
        <f>INDEX(products!$A$1:$G$49,MATCH(orders!$D470,products!$A$1:$A$49,0),MATCH(orders!I$1,products!$A$1:$G$1,0))</f>
        <v>Exc</v>
      </c>
      <c r="J470" s="4" t="str">
        <f>INDEX(products!$A$1:$G$49,MATCH(orders!$D470,products!$A$1:$A$49,0),MATCH(orders!J$1,products!$A$1:$G$1,0))</f>
        <v>M</v>
      </c>
      <c r="K470" s="6">
        <f>INDEX(products!$A$1:$G$49,MATCH(orders!$D470,products!$A$1:$A$49,0),MATCH(orders!K$1,products!$A$1:$G$1,0))</f>
        <v>1</v>
      </c>
      <c r="L470" s="7">
        <f>INDEX(products!$A$1:$G$49,MATCH(orders!$D470,products!$A$1:$A$49,0),MATCH(orders!L$1,products!$A$1:$G$1,0))</f>
        <v>13.75</v>
      </c>
      <c r="M470" s="7">
        <f t="shared" si="7"/>
        <v>41.25</v>
      </c>
      <c r="N470" s="4" t="str" cm="1">
        <f t="array" ref="N470">_xlfn.IFS(I470="Rob","Robusta",I470="Exc","Excelsa",I470="Ara","Arabica",I470="Lib","Liberica")</f>
        <v>Excelsa</v>
      </c>
      <c r="O470" s="4" t="str" cm="1">
        <f t="array" ref="O470">_xlfn.IFS(J470="M","Medium",J470="L","Light",J470="D","Dark")</f>
        <v>Medium</v>
      </c>
      <c r="P470" s="4" t="str">
        <f>_xlfn.XLOOKUP(CoffeeOrderstable[[#This Row],[Customer ID]],customers!$A$1:$A$1001,customers!$I$1:$I$1001,,0)</f>
        <v>Yes</v>
      </c>
    </row>
    <row r="471" spans="1:16" x14ac:dyDescent="0.3">
      <c r="A471" s="3" t="s">
        <v>3141</v>
      </c>
      <c r="B471" s="5">
        <v>44375</v>
      </c>
      <c r="C471" s="3" t="s">
        <v>3194</v>
      </c>
      <c r="D471" s="4" t="s">
        <v>6184</v>
      </c>
      <c r="E471" s="3">
        <v>5</v>
      </c>
      <c r="F471" s="3" t="str">
        <f>_xlfn.XLOOKUP(C471,customers!$A$1:$A$1001,customers!$B$1:$B$1001,,0)</f>
        <v>Ailey Brash</v>
      </c>
      <c r="G471" s="3" t="str">
        <f>IF(_xlfn.XLOOKUP(C471,customers!$A$1:$A$1001,customers!$C$1:$C$1001,,0)=0,"", _xlfn.XLOOKUP(C471,customers!$A$1:$A$1001,customers!$C$1:$C$1001,,0))</f>
        <v>abrashda@plala.or.jp</v>
      </c>
      <c r="H471" s="3" t="str">
        <f>_xlfn.XLOOKUP(C471,customers!$A$1:$A$1001,customers!$G$1:$G$1001,,0)</f>
        <v>United States</v>
      </c>
      <c r="I471" s="4" t="str">
        <f>INDEX(products!$A$1:$G$49,MATCH(orders!$D471,products!$A$1:$A$49,0),MATCH(orders!I$1,products!$A$1:$G$1,0))</f>
        <v>Exc</v>
      </c>
      <c r="J471" s="4" t="str">
        <f>INDEX(products!$A$1:$G$49,MATCH(orders!$D471,products!$A$1:$A$49,0),MATCH(orders!J$1,products!$A$1:$G$1,0))</f>
        <v>L</v>
      </c>
      <c r="K471" s="6">
        <f>INDEX(products!$A$1:$G$49,MATCH(orders!$D471,products!$A$1:$A$49,0),MATCH(orders!K$1,products!$A$1:$G$1,0))</f>
        <v>0.2</v>
      </c>
      <c r="L471" s="7">
        <f>INDEX(products!$A$1:$G$49,MATCH(orders!$D471,products!$A$1:$A$49,0),MATCH(orders!L$1,products!$A$1:$G$1,0))</f>
        <v>4.4550000000000001</v>
      </c>
      <c r="M471" s="7">
        <f t="shared" si="7"/>
        <v>22.274999999999999</v>
      </c>
      <c r="N471" s="4" t="str" cm="1">
        <f t="array" ref="N471">_xlfn.IFS(I471="Rob","Robusta",I471="Exc","Excelsa",I471="Ara","Arabica",I471="Lib","Liberica")</f>
        <v>Excelsa</v>
      </c>
      <c r="O471" s="4" t="str" cm="1">
        <f t="array" ref="O471">_xlfn.IFS(J471="M","Medium",J471="L","Light",J471="D","Dark")</f>
        <v>Light</v>
      </c>
      <c r="P471" s="4" t="str">
        <f>_xlfn.XLOOKUP(CoffeeOrderstable[[#This Row],[Customer ID]],customers!$A$1:$A$1001,customers!$I$1:$I$1001,,0)</f>
        <v>Yes</v>
      </c>
    </row>
    <row r="472" spans="1:16" x14ac:dyDescent="0.3">
      <c r="A472" s="3" t="s">
        <v>3147</v>
      </c>
      <c r="B472" s="5">
        <v>44656</v>
      </c>
      <c r="C472" s="3" t="s">
        <v>3148</v>
      </c>
      <c r="D472" s="4" t="s">
        <v>6157</v>
      </c>
      <c r="E472" s="3">
        <v>1</v>
      </c>
      <c r="F472" s="3" t="str">
        <f>_xlfn.XLOOKUP(C472,customers!$A$1:$A$1001,customers!$B$1:$B$1001,,0)</f>
        <v>Alberto Hutchinson</v>
      </c>
      <c r="G472" s="3" t="str">
        <f>IF(_xlfn.XLOOKUP(C472,customers!$A$1:$A$1001,customers!$C$1:$C$1001,,0)=0,"", _xlfn.XLOOKUP(C472,customers!$A$1:$A$1001,customers!$C$1:$C$1001,,0))</f>
        <v>ahutchinsond2@imgur.com</v>
      </c>
      <c r="H472" s="3" t="str">
        <f>_xlfn.XLOOKUP(C472,customers!$A$1:$A$1001,customers!$G$1:$G$1001,,0)</f>
        <v>United States</v>
      </c>
      <c r="I472" s="4" t="str">
        <f>INDEX(products!$A$1:$G$49,MATCH(orders!$D472,products!$A$1:$A$49,0),MATCH(orders!I$1,products!$A$1:$G$1,0))</f>
        <v>Ara</v>
      </c>
      <c r="J472" s="4" t="str">
        <f>INDEX(products!$A$1:$G$49,MATCH(orders!$D472,products!$A$1:$A$49,0),MATCH(orders!J$1,products!$A$1:$G$1,0))</f>
        <v>M</v>
      </c>
      <c r="K472" s="6">
        <f>INDEX(products!$A$1:$G$49,MATCH(orders!$D472,products!$A$1:$A$49,0),MATCH(orders!K$1,products!$A$1:$G$1,0))</f>
        <v>0.5</v>
      </c>
      <c r="L472" s="7">
        <f>INDEX(products!$A$1:$G$49,MATCH(orders!$D472,products!$A$1:$A$49,0),MATCH(orders!L$1,products!$A$1:$G$1,0))</f>
        <v>6.75</v>
      </c>
      <c r="M472" s="7">
        <f t="shared" si="7"/>
        <v>6.75</v>
      </c>
      <c r="N472" s="4" t="str" cm="1">
        <f t="array" ref="N472">_xlfn.IFS(I472="Rob","Robusta",I472="Exc","Excelsa",I472="Ara","Arabica",I472="Lib","Liberica")</f>
        <v>Arabica</v>
      </c>
      <c r="O472" s="4" t="str" cm="1">
        <f t="array" ref="O472">_xlfn.IFS(J472="M","Medium",J472="L","Light",J472="D","Dark")</f>
        <v>Medium</v>
      </c>
      <c r="P472" s="4" t="str">
        <f>_xlfn.XLOOKUP(CoffeeOrderstable[[#This Row],[Customer ID]],customers!$A$1:$A$1001,customers!$I$1:$I$1001,,0)</f>
        <v>Yes</v>
      </c>
    </row>
    <row r="473" spans="1:16" x14ac:dyDescent="0.3">
      <c r="A473" s="3" t="s">
        <v>3153</v>
      </c>
      <c r="B473" s="5">
        <v>44644</v>
      </c>
      <c r="C473" s="3" t="s">
        <v>3154</v>
      </c>
      <c r="D473" s="4" t="s">
        <v>6181</v>
      </c>
      <c r="E473" s="3">
        <v>4</v>
      </c>
      <c r="F473" s="3" t="str">
        <f>_xlfn.XLOOKUP(C473,customers!$A$1:$A$1001,customers!$B$1:$B$1001,,0)</f>
        <v>Lamond Gheeraert</v>
      </c>
      <c r="G473" s="3" t="str">
        <f>IF(_xlfn.XLOOKUP(C473,customers!$A$1:$A$1001,customers!$C$1:$C$1001,,0)=0,"", _xlfn.XLOOKUP(C473,customers!$A$1:$A$1001,customers!$C$1:$C$1001,,0))</f>
        <v/>
      </c>
      <c r="H473" s="3" t="str">
        <f>_xlfn.XLOOKUP(C473,customers!$A$1:$A$1001,customers!$G$1:$G$1001,,0)</f>
        <v>United States</v>
      </c>
      <c r="I473" s="4" t="str">
        <f>INDEX(products!$A$1:$G$49,MATCH(orders!$D473,products!$A$1:$A$49,0),MATCH(orders!I$1,products!$A$1:$G$1,0))</f>
        <v>Lib</v>
      </c>
      <c r="J473" s="4" t="str">
        <f>INDEX(products!$A$1:$G$49,MATCH(orders!$D473,products!$A$1:$A$49,0),MATCH(orders!J$1,products!$A$1:$G$1,0))</f>
        <v>M</v>
      </c>
      <c r="K473" s="6">
        <f>INDEX(products!$A$1:$G$49,MATCH(orders!$D473,products!$A$1:$A$49,0),MATCH(orders!K$1,products!$A$1:$G$1,0))</f>
        <v>2.5</v>
      </c>
      <c r="L473" s="7">
        <f>INDEX(products!$A$1:$G$49,MATCH(orders!$D473,products!$A$1:$A$49,0),MATCH(orders!L$1,products!$A$1:$G$1,0))</f>
        <v>33.464999999999996</v>
      </c>
      <c r="M473" s="7">
        <f t="shared" si="7"/>
        <v>133.85999999999999</v>
      </c>
      <c r="N473" s="4" t="str" cm="1">
        <f t="array" ref="N473">_xlfn.IFS(I473="Rob","Robusta",I473="Exc","Excelsa",I473="Ara","Arabica",I473="Lib","Liberica")</f>
        <v>Liberica</v>
      </c>
      <c r="O473" s="4" t="str" cm="1">
        <f t="array" ref="O473">_xlfn.IFS(J473="M","Medium",J473="L","Light",J473="D","Dark")</f>
        <v>Medium</v>
      </c>
      <c r="P473" s="4" t="str">
        <f>_xlfn.XLOOKUP(CoffeeOrderstable[[#This Row],[Customer ID]],customers!$A$1:$A$1001,customers!$I$1:$I$1001,,0)</f>
        <v>Yes</v>
      </c>
    </row>
    <row r="474" spans="1:16" x14ac:dyDescent="0.3">
      <c r="A474" s="3" t="s">
        <v>3158</v>
      </c>
      <c r="B474" s="5">
        <v>43869</v>
      </c>
      <c r="C474" s="3" t="s">
        <v>3159</v>
      </c>
      <c r="D474" s="4" t="s">
        <v>6154</v>
      </c>
      <c r="E474" s="3">
        <v>2</v>
      </c>
      <c r="F474" s="3" t="str">
        <f>_xlfn.XLOOKUP(C474,customers!$A$1:$A$1001,customers!$B$1:$B$1001,,0)</f>
        <v>Roxine Drivers</v>
      </c>
      <c r="G474" s="3" t="str">
        <f>IF(_xlfn.XLOOKUP(C474,customers!$A$1:$A$1001,customers!$C$1:$C$1001,,0)=0,"", _xlfn.XLOOKUP(C474,customers!$A$1:$A$1001,customers!$C$1:$C$1001,,0))</f>
        <v>rdriversd4@hexun.com</v>
      </c>
      <c r="H474" s="3" t="str">
        <f>_xlfn.XLOOKUP(C474,customers!$A$1:$A$1001,customers!$G$1:$G$1001,,0)</f>
        <v>United States</v>
      </c>
      <c r="I474" s="4" t="str">
        <f>INDEX(products!$A$1:$G$49,MATCH(orders!$D474,products!$A$1:$A$49,0),MATCH(orders!I$1,products!$A$1:$G$1,0))</f>
        <v>Ara</v>
      </c>
      <c r="J474" s="4" t="str">
        <f>INDEX(products!$A$1:$G$49,MATCH(orders!$D474,products!$A$1:$A$49,0),MATCH(orders!J$1,products!$A$1:$G$1,0))</f>
        <v>D</v>
      </c>
      <c r="K474" s="6">
        <f>INDEX(products!$A$1:$G$49,MATCH(orders!$D474,products!$A$1:$A$49,0),MATCH(orders!K$1,products!$A$1:$G$1,0))</f>
        <v>0.2</v>
      </c>
      <c r="L474" s="7">
        <f>INDEX(products!$A$1:$G$49,MATCH(orders!$D474,products!$A$1:$A$49,0),MATCH(orders!L$1,products!$A$1:$G$1,0))</f>
        <v>2.9849999999999999</v>
      </c>
      <c r="M474" s="7">
        <f t="shared" si="7"/>
        <v>5.97</v>
      </c>
      <c r="N474" s="4" t="str" cm="1">
        <f t="array" ref="N474">_xlfn.IFS(I474="Rob","Robusta",I474="Exc","Excelsa",I474="Ara","Arabica",I474="Lib","Liberica")</f>
        <v>Arabica</v>
      </c>
      <c r="O474" s="4" t="str" cm="1">
        <f t="array" ref="O474">_xlfn.IFS(J474="M","Medium",J474="L","Light",J474="D","Dark")</f>
        <v>Dark</v>
      </c>
      <c r="P474" s="4" t="str">
        <f>_xlfn.XLOOKUP(CoffeeOrderstable[[#This Row],[Customer ID]],customers!$A$1:$A$1001,customers!$I$1:$I$1001,,0)</f>
        <v>No</v>
      </c>
    </row>
    <row r="475" spans="1:16" x14ac:dyDescent="0.3">
      <c r="A475" s="3" t="s">
        <v>3164</v>
      </c>
      <c r="B475" s="5">
        <v>44603</v>
      </c>
      <c r="C475" s="3" t="s">
        <v>3165</v>
      </c>
      <c r="D475" s="4" t="s">
        <v>6140</v>
      </c>
      <c r="E475" s="3">
        <v>2</v>
      </c>
      <c r="F475" s="3" t="str">
        <f>_xlfn.XLOOKUP(C475,customers!$A$1:$A$1001,customers!$B$1:$B$1001,,0)</f>
        <v>Heloise Zeal</v>
      </c>
      <c r="G475" s="3" t="str">
        <f>IF(_xlfn.XLOOKUP(C475,customers!$A$1:$A$1001,customers!$C$1:$C$1001,,0)=0,"", _xlfn.XLOOKUP(C475,customers!$A$1:$A$1001,customers!$C$1:$C$1001,,0))</f>
        <v>hzeald5@google.de</v>
      </c>
      <c r="H475" s="3" t="str">
        <f>_xlfn.XLOOKUP(C475,customers!$A$1:$A$1001,customers!$G$1:$G$1001,,0)</f>
        <v>United States</v>
      </c>
      <c r="I475" s="4" t="str">
        <f>INDEX(products!$A$1:$G$49,MATCH(orders!$D475,products!$A$1:$A$49,0),MATCH(orders!I$1,products!$A$1:$G$1,0))</f>
        <v>Ara</v>
      </c>
      <c r="J475" s="4" t="str">
        <f>INDEX(products!$A$1:$G$49,MATCH(orders!$D475,products!$A$1:$A$49,0),MATCH(orders!J$1,products!$A$1:$G$1,0))</f>
        <v>L</v>
      </c>
      <c r="K475" s="6">
        <f>INDEX(products!$A$1:$G$49,MATCH(orders!$D475,products!$A$1:$A$49,0),MATCH(orders!K$1,products!$A$1:$G$1,0))</f>
        <v>1</v>
      </c>
      <c r="L475" s="7">
        <f>INDEX(products!$A$1:$G$49,MATCH(orders!$D475,products!$A$1:$A$49,0),MATCH(orders!L$1,products!$A$1:$G$1,0))</f>
        <v>12.95</v>
      </c>
      <c r="M475" s="7">
        <f t="shared" si="7"/>
        <v>25.9</v>
      </c>
      <c r="N475" s="4" t="str" cm="1">
        <f t="array" ref="N475">_xlfn.IFS(I475="Rob","Robusta",I475="Exc","Excelsa",I475="Ara","Arabica",I475="Lib","Liberica")</f>
        <v>Arabica</v>
      </c>
      <c r="O475" s="4" t="str" cm="1">
        <f t="array" ref="O475">_xlfn.IFS(J475="M","Medium",J475="L","Light",J475="D","Dark")</f>
        <v>Light</v>
      </c>
      <c r="P475" s="4" t="str">
        <f>_xlfn.XLOOKUP(CoffeeOrderstable[[#This Row],[Customer ID]],customers!$A$1:$A$1001,customers!$I$1:$I$1001,,0)</f>
        <v>No</v>
      </c>
    </row>
    <row r="476" spans="1:16" x14ac:dyDescent="0.3">
      <c r="A476" s="3" t="s">
        <v>3170</v>
      </c>
      <c r="B476" s="5">
        <v>44014</v>
      </c>
      <c r="C476" s="3" t="s">
        <v>3171</v>
      </c>
      <c r="D476" s="4" t="s">
        <v>6166</v>
      </c>
      <c r="E476" s="3">
        <v>1</v>
      </c>
      <c r="F476" s="3" t="str">
        <f>_xlfn.XLOOKUP(C476,customers!$A$1:$A$1001,customers!$B$1:$B$1001,,0)</f>
        <v>Granger Smallcombe</v>
      </c>
      <c r="G476" s="3" t="str">
        <f>IF(_xlfn.XLOOKUP(C476,customers!$A$1:$A$1001,customers!$C$1:$C$1001,,0)=0,"", _xlfn.XLOOKUP(C476,customers!$A$1:$A$1001,customers!$C$1:$C$1001,,0))</f>
        <v>gsmallcombed6@ucla.edu</v>
      </c>
      <c r="H476" s="3" t="str">
        <f>_xlfn.XLOOKUP(C476,customers!$A$1:$A$1001,customers!$G$1:$G$1001,,0)</f>
        <v>Ireland</v>
      </c>
      <c r="I476" s="4" t="str">
        <f>INDEX(products!$A$1:$G$49,MATCH(orders!$D476,products!$A$1:$A$49,0),MATCH(orders!I$1,products!$A$1:$G$1,0))</f>
        <v>Exc</v>
      </c>
      <c r="J476" s="4" t="str">
        <f>INDEX(products!$A$1:$G$49,MATCH(orders!$D476,products!$A$1:$A$49,0),MATCH(orders!J$1,products!$A$1:$G$1,0))</f>
        <v>M</v>
      </c>
      <c r="K476" s="6">
        <f>INDEX(products!$A$1:$G$49,MATCH(orders!$D476,products!$A$1:$A$49,0),MATCH(orders!K$1,products!$A$1:$G$1,0))</f>
        <v>2.5</v>
      </c>
      <c r="L476" s="7">
        <f>INDEX(products!$A$1:$G$49,MATCH(orders!$D476,products!$A$1:$A$49,0),MATCH(orders!L$1,products!$A$1:$G$1,0))</f>
        <v>31.624999999999996</v>
      </c>
      <c r="M476" s="7">
        <f t="shared" si="7"/>
        <v>31.624999999999996</v>
      </c>
      <c r="N476" s="4" t="str" cm="1">
        <f t="array" ref="N476">_xlfn.IFS(I476="Rob","Robusta",I476="Exc","Excelsa",I476="Ara","Arabica",I476="Lib","Liberica")</f>
        <v>Excelsa</v>
      </c>
      <c r="O476" s="4" t="str" cm="1">
        <f t="array" ref="O476">_xlfn.IFS(J476="M","Medium",J476="L","Light",J476="D","Dark")</f>
        <v>Medium</v>
      </c>
      <c r="P476" s="4" t="str">
        <f>_xlfn.XLOOKUP(CoffeeOrderstable[[#This Row],[Customer ID]],customers!$A$1:$A$1001,customers!$I$1:$I$1001,,0)</f>
        <v>Yes</v>
      </c>
    </row>
    <row r="477" spans="1:16" x14ac:dyDescent="0.3">
      <c r="A477" s="3" t="s">
        <v>3176</v>
      </c>
      <c r="B477" s="5">
        <v>44767</v>
      </c>
      <c r="C477" s="3" t="s">
        <v>3177</v>
      </c>
      <c r="D477" s="4" t="s">
        <v>6159</v>
      </c>
      <c r="E477" s="3">
        <v>2</v>
      </c>
      <c r="F477" s="3" t="str">
        <f>_xlfn.XLOOKUP(C477,customers!$A$1:$A$1001,customers!$B$1:$B$1001,,0)</f>
        <v>Daryn Dibley</v>
      </c>
      <c r="G477" s="3" t="str">
        <f>IF(_xlfn.XLOOKUP(C477,customers!$A$1:$A$1001,customers!$C$1:$C$1001,,0)=0,"", _xlfn.XLOOKUP(C477,customers!$A$1:$A$1001,customers!$C$1:$C$1001,,0))</f>
        <v>ddibleyd7@feedburner.com</v>
      </c>
      <c r="H477" s="3" t="str">
        <f>_xlfn.XLOOKUP(C477,customers!$A$1:$A$1001,customers!$G$1:$G$1001,,0)</f>
        <v>United States</v>
      </c>
      <c r="I477" s="4" t="str">
        <f>INDEX(products!$A$1:$G$49,MATCH(orders!$D477,products!$A$1:$A$49,0),MATCH(orders!I$1,products!$A$1:$G$1,0))</f>
        <v>Lib</v>
      </c>
      <c r="J477" s="4" t="str">
        <f>INDEX(products!$A$1:$G$49,MATCH(orders!$D477,products!$A$1:$A$49,0),MATCH(orders!J$1,products!$A$1:$G$1,0))</f>
        <v>M</v>
      </c>
      <c r="K477" s="6">
        <f>INDEX(products!$A$1:$G$49,MATCH(orders!$D477,products!$A$1:$A$49,0),MATCH(orders!K$1,products!$A$1:$G$1,0))</f>
        <v>0.2</v>
      </c>
      <c r="L477" s="7">
        <f>INDEX(products!$A$1:$G$49,MATCH(orders!$D477,products!$A$1:$A$49,0),MATCH(orders!L$1,products!$A$1:$G$1,0))</f>
        <v>4.3650000000000002</v>
      </c>
      <c r="M477" s="7">
        <f t="shared" si="7"/>
        <v>8.73</v>
      </c>
      <c r="N477" s="4" t="str" cm="1">
        <f t="array" ref="N477">_xlfn.IFS(I477="Rob","Robusta",I477="Exc","Excelsa",I477="Ara","Arabica",I477="Lib","Liberica")</f>
        <v>Liberica</v>
      </c>
      <c r="O477" s="4" t="str" cm="1">
        <f t="array" ref="O477">_xlfn.IFS(J477="M","Medium",J477="L","Light",J477="D","Dark")</f>
        <v>Medium</v>
      </c>
      <c r="P477" s="4" t="str">
        <f>_xlfn.XLOOKUP(CoffeeOrderstable[[#This Row],[Customer ID]],customers!$A$1:$A$1001,customers!$I$1:$I$1001,,0)</f>
        <v>No</v>
      </c>
    </row>
    <row r="478" spans="1:16" x14ac:dyDescent="0.3">
      <c r="A478" s="3" t="s">
        <v>3181</v>
      </c>
      <c r="B478" s="5">
        <v>44274</v>
      </c>
      <c r="C478" s="3" t="s">
        <v>3182</v>
      </c>
      <c r="D478" s="4" t="s">
        <v>6184</v>
      </c>
      <c r="E478" s="3">
        <v>6</v>
      </c>
      <c r="F478" s="3" t="str">
        <f>_xlfn.XLOOKUP(C478,customers!$A$1:$A$1001,customers!$B$1:$B$1001,,0)</f>
        <v>Gardy Dimitriou</v>
      </c>
      <c r="G478" s="3" t="str">
        <f>IF(_xlfn.XLOOKUP(C478,customers!$A$1:$A$1001,customers!$C$1:$C$1001,,0)=0,"", _xlfn.XLOOKUP(C478,customers!$A$1:$A$1001,customers!$C$1:$C$1001,,0))</f>
        <v>gdimitrioud8@chronoengine.com</v>
      </c>
      <c r="H478" s="3" t="str">
        <f>_xlfn.XLOOKUP(C478,customers!$A$1:$A$1001,customers!$G$1:$G$1001,,0)</f>
        <v>United States</v>
      </c>
      <c r="I478" s="4" t="str">
        <f>INDEX(products!$A$1:$G$49,MATCH(orders!$D478,products!$A$1:$A$49,0),MATCH(orders!I$1,products!$A$1:$G$1,0))</f>
        <v>Exc</v>
      </c>
      <c r="J478" s="4" t="str">
        <f>INDEX(products!$A$1:$G$49,MATCH(orders!$D478,products!$A$1:$A$49,0),MATCH(orders!J$1,products!$A$1:$G$1,0))</f>
        <v>L</v>
      </c>
      <c r="K478" s="6">
        <f>INDEX(products!$A$1:$G$49,MATCH(orders!$D478,products!$A$1:$A$49,0),MATCH(orders!K$1,products!$A$1:$G$1,0))</f>
        <v>0.2</v>
      </c>
      <c r="L478" s="7">
        <f>INDEX(products!$A$1:$G$49,MATCH(orders!$D478,products!$A$1:$A$49,0),MATCH(orders!L$1,products!$A$1:$G$1,0))</f>
        <v>4.4550000000000001</v>
      </c>
      <c r="M478" s="7">
        <f t="shared" si="7"/>
        <v>26.73</v>
      </c>
      <c r="N478" s="4" t="str" cm="1">
        <f t="array" ref="N478">_xlfn.IFS(I478="Rob","Robusta",I478="Exc","Excelsa",I478="Ara","Arabica",I478="Lib","Liberica")</f>
        <v>Excelsa</v>
      </c>
      <c r="O478" s="4" t="str" cm="1">
        <f t="array" ref="O478">_xlfn.IFS(J478="M","Medium",J478="L","Light",J478="D","Dark")</f>
        <v>Light</v>
      </c>
      <c r="P478" s="4" t="str">
        <f>_xlfn.XLOOKUP(CoffeeOrderstable[[#This Row],[Customer ID]],customers!$A$1:$A$1001,customers!$I$1:$I$1001,,0)</f>
        <v>Yes</v>
      </c>
    </row>
    <row r="479" spans="1:16" x14ac:dyDescent="0.3">
      <c r="A479" s="3" t="s">
        <v>3187</v>
      </c>
      <c r="B479" s="5">
        <v>43962</v>
      </c>
      <c r="C479" s="3" t="s">
        <v>3188</v>
      </c>
      <c r="D479" s="4" t="s">
        <v>6159</v>
      </c>
      <c r="E479" s="3">
        <v>6</v>
      </c>
      <c r="F479" s="3" t="str">
        <f>_xlfn.XLOOKUP(C479,customers!$A$1:$A$1001,customers!$B$1:$B$1001,,0)</f>
        <v>Fanny Flanagan</v>
      </c>
      <c r="G479" s="3" t="str">
        <f>IF(_xlfn.XLOOKUP(C479,customers!$A$1:$A$1001,customers!$C$1:$C$1001,,0)=0,"", _xlfn.XLOOKUP(C479,customers!$A$1:$A$1001,customers!$C$1:$C$1001,,0))</f>
        <v>fflanagand9@woothemes.com</v>
      </c>
      <c r="H479" s="3" t="str">
        <f>_xlfn.XLOOKUP(C479,customers!$A$1:$A$1001,customers!$G$1:$G$1001,,0)</f>
        <v>United States</v>
      </c>
      <c r="I479" s="4" t="str">
        <f>INDEX(products!$A$1:$G$49,MATCH(orders!$D479,products!$A$1:$A$49,0),MATCH(orders!I$1,products!$A$1:$G$1,0))</f>
        <v>Lib</v>
      </c>
      <c r="J479" s="4" t="str">
        <f>INDEX(products!$A$1:$G$49,MATCH(orders!$D479,products!$A$1:$A$49,0),MATCH(orders!J$1,products!$A$1:$G$1,0))</f>
        <v>M</v>
      </c>
      <c r="K479" s="6">
        <f>INDEX(products!$A$1:$G$49,MATCH(orders!$D479,products!$A$1:$A$49,0),MATCH(orders!K$1,products!$A$1:$G$1,0))</f>
        <v>0.2</v>
      </c>
      <c r="L479" s="7">
        <f>INDEX(products!$A$1:$G$49,MATCH(orders!$D479,products!$A$1:$A$49,0),MATCH(orders!L$1,products!$A$1:$G$1,0))</f>
        <v>4.3650000000000002</v>
      </c>
      <c r="M479" s="7">
        <f t="shared" si="7"/>
        <v>26.19</v>
      </c>
      <c r="N479" s="4" t="str" cm="1">
        <f t="array" ref="N479">_xlfn.IFS(I479="Rob","Robusta",I479="Exc","Excelsa",I479="Ara","Arabica",I479="Lib","Liberica")</f>
        <v>Liberica</v>
      </c>
      <c r="O479" s="4" t="str" cm="1">
        <f t="array" ref="O479">_xlfn.IFS(J479="M","Medium",J479="L","Light",J479="D","Dark")</f>
        <v>Medium</v>
      </c>
      <c r="P479" s="4" t="str">
        <f>_xlfn.XLOOKUP(CoffeeOrderstable[[#This Row],[Customer ID]],customers!$A$1:$A$1001,customers!$I$1:$I$1001,,0)</f>
        <v>No</v>
      </c>
    </row>
    <row r="480" spans="1:16" x14ac:dyDescent="0.3">
      <c r="A480" s="3" t="s">
        <v>3193</v>
      </c>
      <c r="B480" s="5">
        <v>43624</v>
      </c>
      <c r="C480" s="3" t="s">
        <v>3194</v>
      </c>
      <c r="D480" s="4" t="s">
        <v>6177</v>
      </c>
      <c r="E480" s="3">
        <v>6</v>
      </c>
      <c r="F480" s="3" t="str">
        <f>_xlfn.XLOOKUP(C480,customers!$A$1:$A$1001,customers!$B$1:$B$1001,,0)</f>
        <v>Ailey Brash</v>
      </c>
      <c r="G480" s="3" t="str">
        <f>IF(_xlfn.XLOOKUP(C480,customers!$A$1:$A$1001,customers!$C$1:$C$1001,,0)=0,"", _xlfn.XLOOKUP(C480,customers!$A$1:$A$1001,customers!$C$1:$C$1001,,0))</f>
        <v>abrashda@plala.or.jp</v>
      </c>
      <c r="H480" s="3" t="str">
        <f>_xlfn.XLOOKUP(C480,customers!$A$1:$A$1001,customers!$G$1:$G$1001,,0)</f>
        <v>United States</v>
      </c>
      <c r="I480" s="4" t="str">
        <f>INDEX(products!$A$1:$G$49,MATCH(orders!$D480,products!$A$1:$A$49,0),MATCH(orders!I$1,products!$A$1:$G$1,0))</f>
        <v>Rob</v>
      </c>
      <c r="J480" s="4" t="str">
        <f>INDEX(products!$A$1:$G$49,MATCH(orders!$D480,products!$A$1:$A$49,0),MATCH(orders!J$1,products!$A$1:$G$1,0))</f>
        <v>D</v>
      </c>
      <c r="K480" s="6">
        <f>INDEX(products!$A$1:$G$49,MATCH(orders!$D480,products!$A$1:$A$49,0),MATCH(orders!K$1,products!$A$1:$G$1,0))</f>
        <v>1</v>
      </c>
      <c r="L480" s="7">
        <f>INDEX(products!$A$1:$G$49,MATCH(orders!$D480,products!$A$1:$A$49,0),MATCH(orders!L$1,products!$A$1:$G$1,0))</f>
        <v>8.9499999999999993</v>
      </c>
      <c r="M480" s="7">
        <f t="shared" si="7"/>
        <v>53.699999999999996</v>
      </c>
      <c r="N480" s="4" t="str" cm="1">
        <f t="array" ref="N480">_xlfn.IFS(I480="Rob","Robusta",I480="Exc","Excelsa",I480="Ara","Arabica",I480="Lib","Liberica")</f>
        <v>Robusta</v>
      </c>
      <c r="O480" s="4" t="str" cm="1">
        <f t="array" ref="O480">_xlfn.IFS(J480="M","Medium",J480="L","Light",J480="D","Dark")</f>
        <v>Dark</v>
      </c>
      <c r="P480" s="4" t="str">
        <f>_xlfn.XLOOKUP(CoffeeOrderstable[[#This Row],[Customer ID]],customers!$A$1:$A$1001,customers!$I$1:$I$1001,,0)</f>
        <v>Yes</v>
      </c>
    </row>
    <row r="481" spans="1:16" x14ac:dyDescent="0.3">
      <c r="A481" s="3" t="s">
        <v>3193</v>
      </c>
      <c r="B481" s="5">
        <v>43624</v>
      </c>
      <c r="C481" s="3" t="s">
        <v>3194</v>
      </c>
      <c r="D481" s="4" t="s">
        <v>6166</v>
      </c>
      <c r="E481" s="3">
        <v>4</v>
      </c>
      <c r="F481" s="3" t="str">
        <f>_xlfn.XLOOKUP(C481,customers!$A$1:$A$1001,customers!$B$1:$B$1001,,0)</f>
        <v>Ailey Brash</v>
      </c>
      <c r="G481" s="3" t="str">
        <f>IF(_xlfn.XLOOKUP(C481,customers!$A$1:$A$1001,customers!$C$1:$C$1001,,0)=0,"", _xlfn.XLOOKUP(C481,customers!$A$1:$A$1001,customers!$C$1:$C$1001,,0))</f>
        <v>abrashda@plala.or.jp</v>
      </c>
      <c r="H481" s="3" t="str">
        <f>_xlfn.XLOOKUP(C481,customers!$A$1:$A$1001,customers!$G$1:$G$1001,,0)</f>
        <v>United States</v>
      </c>
      <c r="I481" s="4" t="str">
        <f>INDEX(products!$A$1:$G$49,MATCH(orders!$D481,products!$A$1:$A$49,0),MATCH(orders!I$1,products!$A$1:$G$1,0))</f>
        <v>Exc</v>
      </c>
      <c r="J481" s="4" t="str">
        <f>INDEX(products!$A$1:$G$49,MATCH(orders!$D481,products!$A$1:$A$49,0),MATCH(orders!J$1,products!$A$1:$G$1,0))</f>
        <v>M</v>
      </c>
      <c r="K481" s="6">
        <f>INDEX(products!$A$1:$G$49,MATCH(orders!$D481,products!$A$1:$A$49,0),MATCH(orders!K$1,products!$A$1:$G$1,0))</f>
        <v>2.5</v>
      </c>
      <c r="L481" s="7">
        <f>INDEX(products!$A$1:$G$49,MATCH(orders!$D481,products!$A$1:$A$49,0),MATCH(orders!L$1,products!$A$1:$G$1,0))</f>
        <v>31.624999999999996</v>
      </c>
      <c r="M481" s="7">
        <f t="shared" si="7"/>
        <v>126.49999999999999</v>
      </c>
      <c r="N481" s="4" t="str" cm="1">
        <f t="array" ref="N481">_xlfn.IFS(I481="Rob","Robusta",I481="Exc","Excelsa",I481="Ara","Arabica",I481="Lib","Liberica")</f>
        <v>Excelsa</v>
      </c>
      <c r="O481" s="4" t="str" cm="1">
        <f t="array" ref="O481">_xlfn.IFS(J481="M","Medium",J481="L","Light",J481="D","Dark")</f>
        <v>Medium</v>
      </c>
      <c r="P481" s="4" t="str">
        <f>_xlfn.XLOOKUP(CoffeeOrderstable[[#This Row],[Customer ID]],customers!$A$1:$A$1001,customers!$I$1:$I$1001,,0)</f>
        <v>Yes</v>
      </c>
    </row>
    <row r="482" spans="1:16" x14ac:dyDescent="0.3">
      <c r="A482" s="3" t="s">
        <v>3193</v>
      </c>
      <c r="B482" s="5">
        <v>43624</v>
      </c>
      <c r="C482" s="3" t="s">
        <v>3194</v>
      </c>
      <c r="D482" s="4" t="s">
        <v>6156</v>
      </c>
      <c r="E482" s="3">
        <v>1</v>
      </c>
      <c r="F482" s="3" t="str">
        <f>_xlfn.XLOOKUP(C482,customers!$A$1:$A$1001,customers!$B$1:$B$1001,,0)</f>
        <v>Ailey Brash</v>
      </c>
      <c r="G482" s="3" t="str">
        <f>IF(_xlfn.XLOOKUP(C482,customers!$A$1:$A$1001,customers!$C$1:$C$1001,,0)=0,"", _xlfn.XLOOKUP(C482,customers!$A$1:$A$1001,customers!$C$1:$C$1001,,0))</f>
        <v>abrashda@plala.or.jp</v>
      </c>
      <c r="H482" s="3" t="str">
        <f>_xlfn.XLOOKUP(C482,customers!$A$1:$A$1001,customers!$G$1:$G$1001,,0)</f>
        <v>United States</v>
      </c>
      <c r="I482" s="4" t="str">
        <f>INDEX(products!$A$1:$G$49,MATCH(orders!$D482,products!$A$1:$A$49,0),MATCH(orders!I$1,products!$A$1:$G$1,0))</f>
        <v>Exc</v>
      </c>
      <c r="J482" s="4" t="str">
        <f>INDEX(products!$A$1:$G$49,MATCH(orders!$D482,products!$A$1:$A$49,0),MATCH(orders!J$1,products!$A$1:$G$1,0))</f>
        <v>M</v>
      </c>
      <c r="K482" s="6">
        <f>INDEX(products!$A$1:$G$49,MATCH(orders!$D482,products!$A$1:$A$49,0),MATCH(orders!K$1,products!$A$1:$G$1,0))</f>
        <v>0.2</v>
      </c>
      <c r="L482" s="7">
        <f>INDEX(products!$A$1:$G$49,MATCH(orders!$D482,products!$A$1:$A$49,0),MATCH(orders!L$1,products!$A$1:$G$1,0))</f>
        <v>4.125</v>
      </c>
      <c r="M482" s="7">
        <f t="shared" si="7"/>
        <v>4.125</v>
      </c>
      <c r="N482" s="4" t="str" cm="1">
        <f t="array" ref="N482">_xlfn.IFS(I482="Rob","Robusta",I482="Exc","Excelsa",I482="Ara","Arabica",I482="Lib","Liberica")</f>
        <v>Excelsa</v>
      </c>
      <c r="O482" s="4" t="str" cm="1">
        <f t="array" ref="O482">_xlfn.IFS(J482="M","Medium",J482="L","Light",J482="D","Dark")</f>
        <v>Medium</v>
      </c>
      <c r="P482" s="4" t="str">
        <f>_xlfn.XLOOKUP(CoffeeOrderstable[[#This Row],[Customer ID]],customers!$A$1:$A$1001,customers!$I$1:$I$1001,,0)</f>
        <v>Yes</v>
      </c>
    </row>
    <row r="483" spans="1:16" x14ac:dyDescent="0.3">
      <c r="A483" s="3" t="s">
        <v>3208</v>
      </c>
      <c r="B483" s="5">
        <v>43747</v>
      </c>
      <c r="C483" s="3" t="s">
        <v>3209</v>
      </c>
      <c r="D483" s="4" t="s">
        <v>6179</v>
      </c>
      <c r="E483" s="3">
        <v>2</v>
      </c>
      <c r="F483" s="3" t="str">
        <f>_xlfn.XLOOKUP(C483,customers!$A$1:$A$1001,customers!$B$1:$B$1001,,0)</f>
        <v>Nanny Izhakov</v>
      </c>
      <c r="G483" s="3" t="str">
        <f>IF(_xlfn.XLOOKUP(C483,customers!$A$1:$A$1001,customers!$C$1:$C$1001,,0)=0,"", _xlfn.XLOOKUP(C483,customers!$A$1:$A$1001,customers!$C$1:$C$1001,,0))</f>
        <v>nizhakovdd@aol.com</v>
      </c>
      <c r="H483" s="3" t="str">
        <f>_xlfn.XLOOKUP(C483,customers!$A$1:$A$1001,customers!$G$1:$G$1001,,0)</f>
        <v>United Kingdom</v>
      </c>
      <c r="I483" s="4" t="str">
        <f>INDEX(products!$A$1:$G$49,MATCH(orders!$D483,products!$A$1:$A$49,0),MATCH(orders!I$1,products!$A$1:$G$1,0))</f>
        <v>Rob</v>
      </c>
      <c r="J483" s="4" t="str">
        <f>INDEX(products!$A$1:$G$49,MATCH(orders!$D483,products!$A$1:$A$49,0),MATCH(orders!J$1,products!$A$1:$G$1,0))</f>
        <v>L</v>
      </c>
      <c r="K483" s="6">
        <f>INDEX(products!$A$1:$G$49,MATCH(orders!$D483,products!$A$1:$A$49,0),MATCH(orders!K$1,products!$A$1:$G$1,0))</f>
        <v>1</v>
      </c>
      <c r="L483" s="7">
        <f>INDEX(products!$A$1:$G$49,MATCH(orders!$D483,products!$A$1:$A$49,0),MATCH(orders!L$1,products!$A$1:$G$1,0))</f>
        <v>11.95</v>
      </c>
      <c r="M483" s="7">
        <f t="shared" si="7"/>
        <v>23.9</v>
      </c>
      <c r="N483" s="4" t="str" cm="1">
        <f t="array" ref="N483">_xlfn.IFS(I483="Rob","Robusta",I483="Exc","Excelsa",I483="Ara","Arabica",I483="Lib","Liberica")</f>
        <v>Robusta</v>
      </c>
      <c r="O483" s="4" t="str" cm="1">
        <f t="array" ref="O483">_xlfn.IFS(J483="M","Medium",J483="L","Light",J483="D","Dark")</f>
        <v>Light</v>
      </c>
      <c r="P483" s="4" t="str">
        <f>_xlfn.XLOOKUP(CoffeeOrderstable[[#This Row],[Customer ID]],customers!$A$1:$A$1001,customers!$I$1:$I$1001,,0)</f>
        <v>No</v>
      </c>
    </row>
    <row r="484" spans="1:16" x14ac:dyDescent="0.3">
      <c r="A484" s="3" t="s">
        <v>3214</v>
      </c>
      <c r="B484" s="5">
        <v>44247</v>
      </c>
      <c r="C484" s="3" t="s">
        <v>3215</v>
      </c>
      <c r="D484" s="4" t="s">
        <v>6185</v>
      </c>
      <c r="E484" s="3">
        <v>5</v>
      </c>
      <c r="F484" s="3" t="str">
        <f>_xlfn.XLOOKUP(C484,customers!$A$1:$A$1001,customers!$B$1:$B$1001,,0)</f>
        <v>Stanly Keets</v>
      </c>
      <c r="G484" s="3" t="str">
        <f>IF(_xlfn.XLOOKUP(C484,customers!$A$1:$A$1001,customers!$C$1:$C$1001,,0)=0,"", _xlfn.XLOOKUP(C484,customers!$A$1:$A$1001,customers!$C$1:$C$1001,,0))</f>
        <v>skeetsde@answers.com</v>
      </c>
      <c r="H484" s="3" t="str">
        <f>_xlfn.XLOOKUP(C484,customers!$A$1:$A$1001,customers!$G$1:$G$1001,,0)</f>
        <v>United States</v>
      </c>
      <c r="I484" s="4" t="str">
        <f>INDEX(products!$A$1:$G$49,MATCH(orders!$D484,products!$A$1:$A$49,0),MATCH(orders!I$1,products!$A$1:$G$1,0))</f>
        <v>Exc</v>
      </c>
      <c r="J484" s="4" t="str">
        <f>INDEX(products!$A$1:$G$49,MATCH(orders!$D484,products!$A$1:$A$49,0),MATCH(orders!J$1,products!$A$1:$G$1,0))</f>
        <v>D</v>
      </c>
      <c r="K484" s="6">
        <f>INDEX(products!$A$1:$G$49,MATCH(orders!$D484,products!$A$1:$A$49,0),MATCH(orders!K$1,products!$A$1:$G$1,0))</f>
        <v>2.5</v>
      </c>
      <c r="L484" s="7">
        <f>INDEX(products!$A$1:$G$49,MATCH(orders!$D484,products!$A$1:$A$49,0),MATCH(orders!L$1,products!$A$1:$G$1,0))</f>
        <v>27.945</v>
      </c>
      <c r="M484" s="7">
        <f t="shared" si="7"/>
        <v>139.72499999999999</v>
      </c>
      <c r="N484" s="4" t="str" cm="1">
        <f t="array" ref="N484">_xlfn.IFS(I484="Rob","Robusta",I484="Exc","Excelsa",I484="Ara","Arabica",I484="Lib","Liberica")</f>
        <v>Excelsa</v>
      </c>
      <c r="O484" s="4" t="str" cm="1">
        <f t="array" ref="O484">_xlfn.IFS(J484="M","Medium",J484="L","Light",J484="D","Dark")</f>
        <v>Dark</v>
      </c>
      <c r="P484" s="4" t="str">
        <f>_xlfn.XLOOKUP(CoffeeOrderstable[[#This Row],[Customer ID]],customers!$A$1:$A$1001,customers!$I$1:$I$1001,,0)</f>
        <v>Yes</v>
      </c>
    </row>
    <row r="485" spans="1:16" x14ac:dyDescent="0.3">
      <c r="A485" s="3" t="s">
        <v>3220</v>
      </c>
      <c r="B485" s="5">
        <v>43790</v>
      </c>
      <c r="C485" s="3" t="s">
        <v>3221</v>
      </c>
      <c r="D485" s="4" t="s">
        <v>6165</v>
      </c>
      <c r="E485" s="3">
        <v>2</v>
      </c>
      <c r="F485" s="3" t="str">
        <f>_xlfn.XLOOKUP(C485,customers!$A$1:$A$1001,customers!$B$1:$B$1001,,0)</f>
        <v>Orion Dyott</v>
      </c>
      <c r="G485" s="3" t="str">
        <f>IF(_xlfn.XLOOKUP(C485,customers!$A$1:$A$1001,customers!$C$1:$C$1001,,0)=0,"", _xlfn.XLOOKUP(C485,customers!$A$1:$A$1001,customers!$C$1:$C$1001,,0))</f>
        <v/>
      </c>
      <c r="H485" s="3" t="str">
        <f>_xlfn.XLOOKUP(C485,customers!$A$1:$A$1001,customers!$G$1:$G$1001,,0)</f>
        <v>United States</v>
      </c>
      <c r="I485" s="4" t="str">
        <f>INDEX(products!$A$1:$G$49,MATCH(orders!$D485,products!$A$1:$A$49,0),MATCH(orders!I$1,products!$A$1:$G$1,0))</f>
        <v>Lib</v>
      </c>
      <c r="J485" s="4" t="str">
        <f>INDEX(products!$A$1:$G$49,MATCH(orders!$D485,products!$A$1:$A$49,0),MATCH(orders!J$1,products!$A$1:$G$1,0))</f>
        <v>D</v>
      </c>
      <c r="K485" s="6">
        <f>INDEX(products!$A$1:$G$49,MATCH(orders!$D485,products!$A$1:$A$49,0),MATCH(orders!K$1,products!$A$1:$G$1,0))</f>
        <v>2.5</v>
      </c>
      <c r="L485" s="7">
        <f>INDEX(products!$A$1:$G$49,MATCH(orders!$D485,products!$A$1:$A$49,0),MATCH(orders!L$1,products!$A$1:$G$1,0))</f>
        <v>29.784999999999997</v>
      </c>
      <c r="M485" s="7">
        <f t="shared" si="7"/>
        <v>59.569999999999993</v>
      </c>
      <c r="N485" s="4" t="str" cm="1">
        <f t="array" ref="N485">_xlfn.IFS(I485="Rob","Robusta",I485="Exc","Excelsa",I485="Ara","Arabica",I485="Lib","Liberica")</f>
        <v>Liberica</v>
      </c>
      <c r="O485" s="4" t="str" cm="1">
        <f t="array" ref="O485">_xlfn.IFS(J485="M","Medium",J485="L","Light",J485="D","Dark")</f>
        <v>Dark</v>
      </c>
      <c r="P485" s="4" t="str">
        <f>_xlfn.XLOOKUP(CoffeeOrderstable[[#This Row],[Customer ID]],customers!$A$1:$A$1001,customers!$I$1:$I$1001,,0)</f>
        <v>Yes</v>
      </c>
    </row>
    <row r="486" spans="1:16" x14ac:dyDescent="0.3">
      <c r="A486" s="3" t="s">
        <v>3225</v>
      </c>
      <c r="B486" s="5">
        <v>44479</v>
      </c>
      <c r="C486" s="3" t="s">
        <v>3226</v>
      </c>
      <c r="D486" s="4" t="s">
        <v>6161</v>
      </c>
      <c r="E486" s="3">
        <v>6</v>
      </c>
      <c r="F486" s="3" t="str">
        <f>_xlfn.XLOOKUP(C486,customers!$A$1:$A$1001,customers!$B$1:$B$1001,,0)</f>
        <v>Keefer Cake</v>
      </c>
      <c r="G486" s="3" t="str">
        <f>IF(_xlfn.XLOOKUP(C486,customers!$A$1:$A$1001,customers!$C$1:$C$1001,,0)=0,"", _xlfn.XLOOKUP(C486,customers!$A$1:$A$1001,customers!$C$1:$C$1001,,0))</f>
        <v>kcakedg@huffingtonpost.com</v>
      </c>
      <c r="H486" s="3" t="str">
        <f>_xlfn.XLOOKUP(C486,customers!$A$1:$A$1001,customers!$G$1:$G$1001,,0)</f>
        <v>United States</v>
      </c>
      <c r="I486" s="4" t="str">
        <f>INDEX(products!$A$1:$G$49,MATCH(orders!$D486,products!$A$1:$A$49,0),MATCH(orders!I$1,products!$A$1:$G$1,0))</f>
        <v>Lib</v>
      </c>
      <c r="J486" s="4" t="str">
        <f>INDEX(products!$A$1:$G$49,MATCH(orders!$D486,products!$A$1:$A$49,0),MATCH(orders!J$1,products!$A$1:$G$1,0))</f>
        <v>L</v>
      </c>
      <c r="K486" s="6">
        <f>INDEX(products!$A$1:$G$49,MATCH(orders!$D486,products!$A$1:$A$49,0),MATCH(orders!K$1,products!$A$1:$G$1,0))</f>
        <v>0.5</v>
      </c>
      <c r="L486" s="7">
        <f>INDEX(products!$A$1:$G$49,MATCH(orders!$D486,products!$A$1:$A$49,0),MATCH(orders!L$1,products!$A$1:$G$1,0))</f>
        <v>9.51</v>
      </c>
      <c r="M486" s="7">
        <f t="shared" si="7"/>
        <v>57.06</v>
      </c>
      <c r="N486" s="4" t="str" cm="1">
        <f t="array" ref="N486">_xlfn.IFS(I486="Rob","Robusta",I486="Exc","Excelsa",I486="Ara","Arabica",I486="Lib","Liberica")</f>
        <v>Liberica</v>
      </c>
      <c r="O486" s="4" t="str" cm="1">
        <f t="array" ref="O486">_xlfn.IFS(J486="M","Medium",J486="L","Light",J486="D","Dark")</f>
        <v>Light</v>
      </c>
      <c r="P486" s="4" t="str">
        <f>_xlfn.XLOOKUP(CoffeeOrderstable[[#This Row],[Customer ID]],customers!$A$1:$A$1001,customers!$I$1:$I$1001,,0)</f>
        <v>No</v>
      </c>
    </row>
    <row r="487" spans="1:16" x14ac:dyDescent="0.3">
      <c r="A487" s="3" t="s">
        <v>3230</v>
      </c>
      <c r="B487" s="5">
        <v>44413</v>
      </c>
      <c r="C487" s="3" t="s">
        <v>3231</v>
      </c>
      <c r="D487" s="4" t="s">
        <v>6178</v>
      </c>
      <c r="E487" s="3">
        <v>6</v>
      </c>
      <c r="F487" s="3" t="str">
        <f>_xlfn.XLOOKUP(C487,customers!$A$1:$A$1001,customers!$B$1:$B$1001,,0)</f>
        <v>Morna Hansed</v>
      </c>
      <c r="G487" s="3" t="str">
        <f>IF(_xlfn.XLOOKUP(C487,customers!$A$1:$A$1001,customers!$C$1:$C$1001,,0)=0,"", _xlfn.XLOOKUP(C487,customers!$A$1:$A$1001,customers!$C$1:$C$1001,,0))</f>
        <v>mhanseddh@instagram.com</v>
      </c>
      <c r="H487" s="3" t="str">
        <f>_xlfn.XLOOKUP(C487,customers!$A$1:$A$1001,customers!$G$1:$G$1001,,0)</f>
        <v>Ireland</v>
      </c>
      <c r="I487" s="4" t="str">
        <f>INDEX(products!$A$1:$G$49,MATCH(orders!$D487,products!$A$1:$A$49,0),MATCH(orders!I$1,products!$A$1:$G$1,0))</f>
        <v>Rob</v>
      </c>
      <c r="J487" s="4" t="str">
        <f>INDEX(products!$A$1:$G$49,MATCH(orders!$D487,products!$A$1:$A$49,0),MATCH(orders!J$1,products!$A$1:$G$1,0))</f>
        <v>L</v>
      </c>
      <c r="K487" s="6">
        <f>INDEX(products!$A$1:$G$49,MATCH(orders!$D487,products!$A$1:$A$49,0),MATCH(orders!K$1,products!$A$1:$G$1,0))</f>
        <v>0.2</v>
      </c>
      <c r="L487" s="7">
        <f>INDEX(products!$A$1:$G$49,MATCH(orders!$D487,products!$A$1:$A$49,0),MATCH(orders!L$1,products!$A$1:$G$1,0))</f>
        <v>3.5849999999999995</v>
      </c>
      <c r="M487" s="7">
        <f t="shared" si="7"/>
        <v>21.509999999999998</v>
      </c>
      <c r="N487" s="4" t="str" cm="1">
        <f t="array" ref="N487">_xlfn.IFS(I487="Rob","Robusta",I487="Exc","Excelsa",I487="Ara","Arabica",I487="Lib","Liberica")</f>
        <v>Robusta</v>
      </c>
      <c r="O487" s="4" t="str" cm="1">
        <f t="array" ref="O487">_xlfn.IFS(J487="M","Medium",J487="L","Light",J487="D","Dark")</f>
        <v>Light</v>
      </c>
      <c r="P487" s="4" t="str">
        <f>_xlfn.XLOOKUP(CoffeeOrderstable[[#This Row],[Customer ID]],customers!$A$1:$A$1001,customers!$I$1:$I$1001,,0)</f>
        <v>Yes</v>
      </c>
    </row>
    <row r="488" spans="1:16" x14ac:dyDescent="0.3">
      <c r="A488" s="3" t="s">
        <v>3236</v>
      </c>
      <c r="B488" s="5">
        <v>44043</v>
      </c>
      <c r="C488" s="3" t="s">
        <v>3237</v>
      </c>
      <c r="D488" s="4" t="s">
        <v>6160</v>
      </c>
      <c r="E488" s="3">
        <v>6</v>
      </c>
      <c r="F488" s="3" t="str">
        <f>_xlfn.XLOOKUP(C488,customers!$A$1:$A$1001,customers!$B$1:$B$1001,,0)</f>
        <v>Franny Kienlein</v>
      </c>
      <c r="G488" s="3" t="str">
        <f>IF(_xlfn.XLOOKUP(C488,customers!$A$1:$A$1001,customers!$C$1:$C$1001,,0)=0,"", _xlfn.XLOOKUP(C488,customers!$A$1:$A$1001,customers!$C$1:$C$1001,,0))</f>
        <v>fkienleindi@trellian.com</v>
      </c>
      <c r="H488" s="3" t="str">
        <f>_xlfn.XLOOKUP(C488,customers!$A$1:$A$1001,customers!$G$1:$G$1001,,0)</f>
        <v>Ireland</v>
      </c>
      <c r="I488" s="4" t="str">
        <f>INDEX(products!$A$1:$G$49,MATCH(orders!$D488,products!$A$1:$A$49,0),MATCH(orders!I$1,products!$A$1:$G$1,0))</f>
        <v>Lib</v>
      </c>
      <c r="J488" s="4" t="str">
        <f>INDEX(products!$A$1:$G$49,MATCH(orders!$D488,products!$A$1:$A$49,0),MATCH(orders!J$1,products!$A$1:$G$1,0))</f>
        <v>M</v>
      </c>
      <c r="K488" s="6">
        <f>INDEX(products!$A$1:$G$49,MATCH(orders!$D488,products!$A$1:$A$49,0),MATCH(orders!K$1,products!$A$1:$G$1,0))</f>
        <v>0.5</v>
      </c>
      <c r="L488" s="7">
        <f>INDEX(products!$A$1:$G$49,MATCH(orders!$D488,products!$A$1:$A$49,0),MATCH(orders!L$1,products!$A$1:$G$1,0))</f>
        <v>8.73</v>
      </c>
      <c r="M488" s="7">
        <f t="shared" si="7"/>
        <v>52.38</v>
      </c>
      <c r="N488" s="4" t="str" cm="1">
        <f t="array" ref="N488">_xlfn.IFS(I488="Rob","Robusta",I488="Exc","Excelsa",I488="Ara","Arabica",I488="Lib","Liberica")</f>
        <v>Liberica</v>
      </c>
      <c r="O488" s="4" t="str" cm="1">
        <f t="array" ref="O488">_xlfn.IFS(J488="M","Medium",J488="L","Light",J488="D","Dark")</f>
        <v>Medium</v>
      </c>
      <c r="P488" s="4" t="str">
        <f>_xlfn.XLOOKUP(CoffeeOrderstable[[#This Row],[Customer ID]],customers!$A$1:$A$1001,customers!$I$1:$I$1001,,0)</f>
        <v>Yes</v>
      </c>
    </row>
    <row r="489" spans="1:16" x14ac:dyDescent="0.3">
      <c r="A489" s="3" t="s">
        <v>3242</v>
      </c>
      <c r="B489" s="5">
        <v>44093</v>
      </c>
      <c r="C489" s="3" t="s">
        <v>3243</v>
      </c>
      <c r="D489" s="4" t="s">
        <v>6183</v>
      </c>
      <c r="E489" s="3">
        <v>6</v>
      </c>
      <c r="F489" s="3" t="str">
        <f>_xlfn.XLOOKUP(C489,customers!$A$1:$A$1001,customers!$B$1:$B$1001,,0)</f>
        <v>Klarika Egglestone</v>
      </c>
      <c r="G489" s="3" t="str">
        <f>IF(_xlfn.XLOOKUP(C489,customers!$A$1:$A$1001,customers!$C$1:$C$1001,,0)=0,"", _xlfn.XLOOKUP(C489,customers!$A$1:$A$1001,customers!$C$1:$C$1001,,0))</f>
        <v>kegglestonedj@sphinn.com</v>
      </c>
      <c r="H489" s="3" t="str">
        <f>_xlfn.XLOOKUP(C489,customers!$A$1:$A$1001,customers!$G$1:$G$1001,,0)</f>
        <v>Ireland</v>
      </c>
      <c r="I489" s="4" t="str">
        <f>INDEX(products!$A$1:$G$49,MATCH(orders!$D489,products!$A$1:$A$49,0),MATCH(orders!I$1,products!$A$1:$G$1,0))</f>
        <v>Exc</v>
      </c>
      <c r="J489" s="4" t="str">
        <f>INDEX(products!$A$1:$G$49,MATCH(orders!$D489,products!$A$1:$A$49,0),MATCH(orders!J$1,products!$A$1:$G$1,0))</f>
        <v>D</v>
      </c>
      <c r="K489" s="6">
        <f>INDEX(products!$A$1:$G$49,MATCH(orders!$D489,products!$A$1:$A$49,0),MATCH(orders!K$1,products!$A$1:$G$1,0))</f>
        <v>1</v>
      </c>
      <c r="L489" s="7">
        <f>INDEX(products!$A$1:$G$49,MATCH(orders!$D489,products!$A$1:$A$49,0),MATCH(orders!L$1,products!$A$1:$G$1,0))</f>
        <v>12.15</v>
      </c>
      <c r="M489" s="7">
        <f t="shared" si="7"/>
        <v>72.900000000000006</v>
      </c>
      <c r="N489" s="4" t="str" cm="1">
        <f t="array" ref="N489">_xlfn.IFS(I489="Rob","Robusta",I489="Exc","Excelsa",I489="Ara","Arabica",I489="Lib","Liberica")</f>
        <v>Excelsa</v>
      </c>
      <c r="O489" s="4" t="str" cm="1">
        <f t="array" ref="O489">_xlfn.IFS(J489="M","Medium",J489="L","Light",J489="D","Dark")</f>
        <v>Dark</v>
      </c>
      <c r="P489" s="4" t="str">
        <f>_xlfn.XLOOKUP(CoffeeOrderstable[[#This Row],[Customer ID]],customers!$A$1:$A$1001,customers!$I$1:$I$1001,,0)</f>
        <v>No</v>
      </c>
    </row>
    <row r="490" spans="1:16" x14ac:dyDescent="0.3">
      <c r="A490" s="3" t="s">
        <v>3248</v>
      </c>
      <c r="B490" s="5">
        <v>43954</v>
      </c>
      <c r="C490" s="3" t="s">
        <v>3249</v>
      </c>
      <c r="D490" s="4" t="s">
        <v>6174</v>
      </c>
      <c r="E490" s="3">
        <v>5</v>
      </c>
      <c r="F490" s="3" t="str">
        <f>_xlfn.XLOOKUP(C490,customers!$A$1:$A$1001,customers!$B$1:$B$1001,,0)</f>
        <v>Becky Semkins</v>
      </c>
      <c r="G490" s="3" t="str">
        <f>IF(_xlfn.XLOOKUP(C490,customers!$A$1:$A$1001,customers!$C$1:$C$1001,,0)=0,"", _xlfn.XLOOKUP(C490,customers!$A$1:$A$1001,customers!$C$1:$C$1001,,0))</f>
        <v>bsemkinsdk@unc.edu</v>
      </c>
      <c r="H490" s="3" t="str">
        <f>_xlfn.XLOOKUP(C490,customers!$A$1:$A$1001,customers!$G$1:$G$1001,,0)</f>
        <v>Ireland</v>
      </c>
      <c r="I490" s="4" t="str">
        <f>INDEX(products!$A$1:$G$49,MATCH(orders!$D490,products!$A$1:$A$49,0),MATCH(orders!I$1,products!$A$1:$G$1,0))</f>
        <v>Rob</v>
      </c>
      <c r="J490" s="4" t="str">
        <f>INDEX(products!$A$1:$G$49,MATCH(orders!$D490,products!$A$1:$A$49,0),MATCH(orders!J$1,products!$A$1:$G$1,0))</f>
        <v>M</v>
      </c>
      <c r="K490" s="6">
        <f>INDEX(products!$A$1:$G$49,MATCH(orders!$D490,products!$A$1:$A$49,0),MATCH(orders!K$1,products!$A$1:$G$1,0))</f>
        <v>0.2</v>
      </c>
      <c r="L490" s="7">
        <f>INDEX(products!$A$1:$G$49,MATCH(orders!$D490,products!$A$1:$A$49,0),MATCH(orders!L$1,products!$A$1:$G$1,0))</f>
        <v>2.9849999999999999</v>
      </c>
      <c r="M490" s="7">
        <f t="shared" si="7"/>
        <v>14.924999999999999</v>
      </c>
      <c r="N490" s="4" t="str" cm="1">
        <f t="array" ref="N490">_xlfn.IFS(I490="Rob","Robusta",I490="Exc","Excelsa",I490="Ara","Arabica",I490="Lib","Liberica")</f>
        <v>Robusta</v>
      </c>
      <c r="O490" s="4" t="str" cm="1">
        <f t="array" ref="O490">_xlfn.IFS(J490="M","Medium",J490="L","Light",J490="D","Dark")</f>
        <v>Medium</v>
      </c>
      <c r="P490" s="4" t="str">
        <f>_xlfn.XLOOKUP(CoffeeOrderstable[[#This Row],[Customer ID]],customers!$A$1:$A$1001,customers!$I$1:$I$1001,,0)</f>
        <v>Yes</v>
      </c>
    </row>
    <row r="491" spans="1:16" x14ac:dyDescent="0.3">
      <c r="A491" s="3" t="s">
        <v>3254</v>
      </c>
      <c r="B491" s="5">
        <v>43654</v>
      </c>
      <c r="C491" s="3" t="s">
        <v>3255</v>
      </c>
      <c r="D491" s="4" t="s">
        <v>6170</v>
      </c>
      <c r="E491" s="3">
        <v>6</v>
      </c>
      <c r="F491" s="3" t="str">
        <f>_xlfn.XLOOKUP(C491,customers!$A$1:$A$1001,customers!$B$1:$B$1001,,0)</f>
        <v>Sean Lorenzetti</v>
      </c>
      <c r="G491" s="3" t="str">
        <f>IF(_xlfn.XLOOKUP(C491,customers!$A$1:$A$1001,customers!$C$1:$C$1001,,0)=0,"", _xlfn.XLOOKUP(C491,customers!$A$1:$A$1001,customers!$C$1:$C$1001,,0))</f>
        <v>slorenzettidl@is.gd</v>
      </c>
      <c r="H491" s="3" t="str">
        <f>_xlfn.XLOOKUP(C491,customers!$A$1:$A$1001,customers!$G$1:$G$1001,,0)</f>
        <v>United States</v>
      </c>
      <c r="I491" s="4" t="str">
        <f>INDEX(products!$A$1:$G$49,MATCH(orders!$D491,products!$A$1:$A$49,0),MATCH(orders!I$1,products!$A$1:$G$1,0))</f>
        <v>Lib</v>
      </c>
      <c r="J491" s="4" t="str">
        <f>INDEX(products!$A$1:$G$49,MATCH(orders!$D491,products!$A$1:$A$49,0),MATCH(orders!J$1,products!$A$1:$G$1,0))</f>
        <v>L</v>
      </c>
      <c r="K491" s="6">
        <f>INDEX(products!$A$1:$G$49,MATCH(orders!$D491,products!$A$1:$A$49,0),MATCH(orders!K$1,products!$A$1:$G$1,0))</f>
        <v>1</v>
      </c>
      <c r="L491" s="7">
        <f>INDEX(products!$A$1:$G$49,MATCH(orders!$D491,products!$A$1:$A$49,0),MATCH(orders!L$1,products!$A$1:$G$1,0))</f>
        <v>15.85</v>
      </c>
      <c r="M491" s="7">
        <f t="shared" si="7"/>
        <v>95.1</v>
      </c>
      <c r="N491" s="4" t="str" cm="1">
        <f t="array" ref="N491">_xlfn.IFS(I491="Rob","Robusta",I491="Exc","Excelsa",I491="Ara","Arabica",I491="Lib","Liberica")</f>
        <v>Liberica</v>
      </c>
      <c r="O491" s="4" t="str" cm="1">
        <f t="array" ref="O491">_xlfn.IFS(J491="M","Medium",J491="L","Light",J491="D","Dark")</f>
        <v>Light</v>
      </c>
      <c r="P491" s="4" t="str">
        <f>_xlfn.XLOOKUP(CoffeeOrderstable[[#This Row],[Customer ID]],customers!$A$1:$A$1001,customers!$I$1:$I$1001,,0)</f>
        <v>No</v>
      </c>
    </row>
    <row r="492" spans="1:16" x14ac:dyDescent="0.3">
      <c r="A492" s="3" t="s">
        <v>3260</v>
      </c>
      <c r="B492" s="5">
        <v>43764</v>
      </c>
      <c r="C492" s="3" t="s">
        <v>3261</v>
      </c>
      <c r="D492" s="4" t="s">
        <v>6169</v>
      </c>
      <c r="E492" s="3">
        <v>2</v>
      </c>
      <c r="F492" s="3" t="str">
        <f>_xlfn.XLOOKUP(C492,customers!$A$1:$A$1001,customers!$B$1:$B$1001,,0)</f>
        <v>Bob Giannazzi</v>
      </c>
      <c r="G492" s="3" t="str">
        <f>IF(_xlfn.XLOOKUP(C492,customers!$A$1:$A$1001,customers!$C$1:$C$1001,,0)=0,"", _xlfn.XLOOKUP(C492,customers!$A$1:$A$1001,customers!$C$1:$C$1001,,0))</f>
        <v>bgiannazzidm@apple.com</v>
      </c>
      <c r="H492" s="3" t="str">
        <f>_xlfn.XLOOKUP(C492,customers!$A$1:$A$1001,customers!$G$1:$G$1001,,0)</f>
        <v>United States</v>
      </c>
      <c r="I492" s="4" t="str">
        <f>INDEX(products!$A$1:$G$49,MATCH(orders!$D492,products!$A$1:$A$49,0),MATCH(orders!I$1,products!$A$1:$G$1,0))</f>
        <v>Lib</v>
      </c>
      <c r="J492" s="4" t="str">
        <f>INDEX(products!$A$1:$G$49,MATCH(orders!$D492,products!$A$1:$A$49,0),MATCH(orders!J$1,products!$A$1:$G$1,0))</f>
        <v>D</v>
      </c>
      <c r="K492" s="6">
        <f>INDEX(products!$A$1:$G$49,MATCH(orders!$D492,products!$A$1:$A$49,0),MATCH(orders!K$1,products!$A$1:$G$1,0))</f>
        <v>0.5</v>
      </c>
      <c r="L492" s="7">
        <f>INDEX(products!$A$1:$G$49,MATCH(orders!$D492,products!$A$1:$A$49,0),MATCH(orders!L$1,products!$A$1:$G$1,0))</f>
        <v>7.77</v>
      </c>
      <c r="M492" s="7">
        <f t="shared" si="7"/>
        <v>15.54</v>
      </c>
      <c r="N492" s="4" t="str" cm="1">
        <f t="array" ref="N492">_xlfn.IFS(I492="Rob","Robusta",I492="Exc","Excelsa",I492="Ara","Arabica",I492="Lib","Liberica")</f>
        <v>Liberica</v>
      </c>
      <c r="O492" s="4" t="str" cm="1">
        <f t="array" ref="O492">_xlfn.IFS(J492="M","Medium",J492="L","Light",J492="D","Dark")</f>
        <v>Dark</v>
      </c>
      <c r="P492" s="4" t="str">
        <f>_xlfn.XLOOKUP(CoffeeOrderstable[[#This Row],[Customer ID]],customers!$A$1:$A$1001,customers!$I$1:$I$1001,,0)</f>
        <v>No</v>
      </c>
    </row>
    <row r="493" spans="1:16" x14ac:dyDescent="0.3">
      <c r="A493" s="3" t="s">
        <v>3266</v>
      </c>
      <c r="B493" s="5">
        <v>44101</v>
      </c>
      <c r="C493" s="3" t="s">
        <v>3267</v>
      </c>
      <c r="D493" s="4" t="s">
        <v>6150</v>
      </c>
      <c r="E493" s="3">
        <v>6</v>
      </c>
      <c r="F493" s="3" t="str">
        <f>_xlfn.XLOOKUP(C493,customers!$A$1:$A$1001,customers!$B$1:$B$1001,,0)</f>
        <v>Kendra Backshell</v>
      </c>
      <c r="G493" s="3" t="str">
        <f>IF(_xlfn.XLOOKUP(C493,customers!$A$1:$A$1001,customers!$C$1:$C$1001,,0)=0,"", _xlfn.XLOOKUP(C493,customers!$A$1:$A$1001,customers!$C$1:$C$1001,,0))</f>
        <v/>
      </c>
      <c r="H493" s="3" t="str">
        <f>_xlfn.XLOOKUP(C493,customers!$A$1:$A$1001,customers!$G$1:$G$1001,,0)</f>
        <v>United States</v>
      </c>
      <c r="I493" s="4" t="str">
        <f>INDEX(products!$A$1:$G$49,MATCH(orders!$D493,products!$A$1:$A$49,0),MATCH(orders!I$1,products!$A$1:$G$1,0))</f>
        <v>Lib</v>
      </c>
      <c r="J493" s="4" t="str">
        <f>INDEX(products!$A$1:$G$49,MATCH(orders!$D493,products!$A$1:$A$49,0),MATCH(orders!J$1,products!$A$1:$G$1,0))</f>
        <v>D</v>
      </c>
      <c r="K493" s="6">
        <f>INDEX(products!$A$1:$G$49,MATCH(orders!$D493,products!$A$1:$A$49,0),MATCH(orders!K$1,products!$A$1:$G$1,0))</f>
        <v>0.2</v>
      </c>
      <c r="L493" s="7">
        <f>INDEX(products!$A$1:$G$49,MATCH(orders!$D493,products!$A$1:$A$49,0),MATCH(orders!L$1,products!$A$1:$G$1,0))</f>
        <v>3.8849999999999998</v>
      </c>
      <c r="M493" s="7">
        <f t="shared" si="7"/>
        <v>23.31</v>
      </c>
      <c r="N493" s="4" t="str" cm="1">
        <f t="array" ref="N493">_xlfn.IFS(I493="Rob","Robusta",I493="Exc","Excelsa",I493="Ara","Arabica",I493="Lib","Liberica")</f>
        <v>Liberica</v>
      </c>
      <c r="O493" s="4" t="str" cm="1">
        <f t="array" ref="O493">_xlfn.IFS(J493="M","Medium",J493="L","Light",J493="D","Dark")</f>
        <v>Dark</v>
      </c>
      <c r="P493" s="4" t="str">
        <f>_xlfn.XLOOKUP(CoffeeOrderstable[[#This Row],[Customer ID]],customers!$A$1:$A$1001,customers!$I$1:$I$1001,,0)</f>
        <v>No</v>
      </c>
    </row>
    <row r="494" spans="1:16" x14ac:dyDescent="0.3">
      <c r="A494" s="3" t="s">
        <v>3271</v>
      </c>
      <c r="B494" s="5">
        <v>44620</v>
      </c>
      <c r="C494" s="3" t="s">
        <v>3272</v>
      </c>
      <c r="D494" s="4" t="s">
        <v>6156</v>
      </c>
      <c r="E494" s="3">
        <v>1</v>
      </c>
      <c r="F494" s="3" t="str">
        <f>_xlfn.XLOOKUP(C494,customers!$A$1:$A$1001,customers!$B$1:$B$1001,,0)</f>
        <v>Uriah Lethbrig</v>
      </c>
      <c r="G494" s="3" t="str">
        <f>IF(_xlfn.XLOOKUP(C494,customers!$A$1:$A$1001,customers!$C$1:$C$1001,,0)=0,"", _xlfn.XLOOKUP(C494,customers!$A$1:$A$1001,customers!$C$1:$C$1001,,0))</f>
        <v>ulethbrigdo@hc360.com</v>
      </c>
      <c r="H494" s="3" t="str">
        <f>_xlfn.XLOOKUP(C494,customers!$A$1:$A$1001,customers!$G$1:$G$1001,,0)</f>
        <v>United States</v>
      </c>
      <c r="I494" s="4" t="str">
        <f>INDEX(products!$A$1:$G$49,MATCH(orders!$D494,products!$A$1:$A$49,0),MATCH(orders!I$1,products!$A$1:$G$1,0))</f>
        <v>Exc</v>
      </c>
      <c r="J494" s="4" t="str">
        <f>INDEX(products!$A$1:$G$49,MATCH(orders!$D494,products!$A$1:$A$49,0),MATCH(orders!J$1,products!$A$1:$G$1,0))</f>
        <v>M</v>
      </c>
      <c r="K494" s="6">
        <f>INDEX(products!$A$1:$G$49,MATCH(orders!$D494,products!$A$1:$A$49,0),MATCH(orders!K$1,products!$A$1:$G$1,0))</f>
        <v>0.2</v>
      </c>
      <c r="L494" s="7">
        <f>INDEX(products!$A$1:$G$49,MATCH(orders!$D494,products!$A$1:$A$49,0),MATCH(orders!L$1,products!$A$1:$G$1,0))</f>
        <v>4.125</v>
      </c>
      <c r="M494" s="7">
        <f t="shared" si="7"/>
        <v>4.125</v>
      </c>
      <c r="N494" s="4" t="str" cm="1">
        <f t="array" ref="N494">_xlfn.IFS(I494="Rob","Robusta",I494="Exc","Excelsa",I494="Ara","Arabica",I494="Lib","Liberica")</f>
        <v>Excelsa</v>
      </c>
      <c r="O494" s="4" t="str" cm="1">
        <f t="array" ref="O494">_xlfn.IFS(J494="M","Medium",J494="L","Light",J494="D","Dark")</f>
        <v>Medium</v>
      </c>
      <c r="P494" s="4" t="str">
        <f>_xlfn.XLOOKUP(CoffeeOrderstable[[#This Row],[Customer ID]],customers!$A$1:$A$1001,customers!$I$1:$I$1001,,0)</f>
        <v>Yes</v>
      </c>
    </row>
    <row r="495" spans="1:16" x14ac:dyDescent="0.3">
      <c r="A495" s="3" t="s">
        <v>3277</v>
      </c>
      <c r="B495" s="5">
        <v>44090</v>
      </c>
      <c r="C495" s="3" t="s">
        <v>3278</v>
      </c>
      <c r="D495" s="4" t="s">
        <v>6146</v>
      </c>
      <c r="E495" s="3">
        <v>6</v>
      </c>
      <c r="F495" s="3" t="str">
        <f>_xlfn.XLOOKUP(C495,customers!$A$1:$A$1001,customers!$B$1:$B$1001,,0)</f>
        <v>Sky Farnish</v>
      </c>
      <c r="G495" s="3" t="str">
        <f>IF(_xlfn.XLOOKUP(C495,customers!$A$1:$A$1001,customers!$C$1:$C$1001,,0)=0,"", _xlfn.XLOOKUP(C495,customers!$A$1:$A$1001,customers!$C$1:$C$1001,,0))</f>
        <v>sfarnishdp@dmoz.org</v>
      </c>
      <c r="H495" s="3" t="str">
        <f>_xlfn.XLOOKUP(C495,customers!$A$1:$A$1001,customers!$G$1:$G$1001,,0)</f>
        <v>United Kingdom</v>
      </c>
      <c r="I495" s="4" t="str">
        <f>INDEX(products!$A$1:$G$49,MATCH(orders!$D495,products!$A$1:$A$49,0),MATCH(orders!I$1,products!$A$1:$G$1,0))</f>
        <v>Rob</v>
      </c>
      <c r="J495" s="4" t="str">
        <f>INDEX(products!$A$1:$G$49,MATCH(orders!$D495,products!$A$1:$A$49,0),MATCH(orders!J$1,products!$A$1:$G$1,0))</f>
        <v>M</v>
      </c>
      <c r="K495" s="6">
        <f>INDEX(products!$A$1:$G$49,MATCH(orders!$D495,products!$A$1:$A$49,0),MATCH(orders!K$1,products!$A$1:$G$1,0))</f>
        <v>0.5</v>
      </c>
      <c r="L495" s="7">
        <f>INDEX(products!$A$1:$G$49,MATCH(orders!$D495,products!$A$1:$A$49,0),MATCH(orders!L$1,products!$A$1:$G$1,0))</f>
        <v>5.97</v>
      </c>
      <c r="M495" s="7">
        <f t="shared" si="7"/>
        <v>35.82</v>
      </c>
      <c r="N495" s="4" t="str" cm="1">
        <f t="array" ref="N495">_xlfn.IFS(I495="Rob","Robusta",I495="Exc","Excelsa",I495="Ara","Arabica",I495="Lib","Liberica")</f>
        <v>Robusta</v>
      </c>
      <c r="O495" s="4" t="str" cm="1">
        <f t="array" ref="O495">_xlfn.IFS(J495="M","Medium",J495="L","Light",J495="D","Dark")</f>
        <v>Medium</v>
      </c>
      <c r="P495" s="4" t="str">
        <f>_xlfn.XLOOKUP(CoffeeOrderstable[[#This Row],[Customer ID]],customers!$A$1:$A$1001,customers!$I$1:$I$1001,,0)</f>
        <v>No</v>
      </c>
    </row>
    <row r="496" spans="1:16" x14ac:dyDescent="0.3">
      <c r="A496" s="3" t="s">
        <v>3283</v>
      </c>
      <c r="B496" s="5">
        <v>44132</v>
      </c>
      <c r="C496" s="3" t="s">
        <v>3284</v>
      </c>
      <c r="D496" s="4" t="s">
        <v>6170</v>
      </c>
      <c r="E496" s="3">
        <v>2</v>
      </c>
      <c r="F496" s="3" t="str">
        <f>_xlfn.XLOOKUP(C496,customers!$A$1:$A$1001,customers!$B$1:$B$1001,,0)</f>
        <v>Felicia Jecock</v>
      </c>
      <c r="G496" s="3" t="str">
        <f>IF(_xlfn.XLOOKUP(C496,customers!$A$1:$A$1001,customers!$C$1:$C$1001,,0)=0,"", _xlfn.XLOOKUP(C496,customers!$A$1:$A$1001,customers!$C$1:$C$1001,,0))</f>
        <v>fjecockdq@unicef.org</v>
      </c>
      <c r="H496" s="3" t="str">
        <f>_xlfn.XLOOKUP(C496,customers!$A$1:$A$1001,customers!$G$1:$G$1001,,0)</f>
        <v>United States</v>
      </c>
      <c r="I496" s="4" t="str">
        <f>INDEX(products!$A$1:$G$49,MATCH(orders!$D496,products!$A$1:$A$49,0),MATCH(orders!I$1,products!$A$1:$G$1,0))</f>
        <v>Lib</v>
      </c>
      <c r="J496" s="4" t="str">
        <f>INDEX(products!$A$1:$G$49,MATCH(orders!$D496,products!$A$1:$A$49,0),MATCH(orders!J$1,products!$A$1:$G$1,0))</f>
        <v>L</v>
      </c>
      <c r="K496" s="6">
        <f>INDEX(products!$A$1:$G$49,MATCH(orders!$D496,products!$A$1:$A$49,0),MATCH(orders!K$1,products!$A$1:$G$1,0))</f>
        <v>1</v>
      </c>
      <c r="L496" s="7">
        <f>INDEX(products!$A$1:$G$49,MATCH(orders!$D496,products!$A$1:$A$49,0),MATCH(orders!L$1,products!$A$1:$G$1,0))</f>
        <v>15.85</v>
      </c>
      <c r="M496" s="7">
        <f t="shared" si="7"/>
        <v>31.7</v>
      </c>
      <c r="N496" s="4" t="str" cm="1">
        <f t="array" ref="N496">_xlfn.IFS(I496="Rob","Robusta",I496="Exc","Excelsa",I496="Ara","Arabica",I496="Lib","Liberica")</f>
        <v>Liberica</v>
      </c>
      <c r="O496" s="4" t="str" cm="1">
        <f t="array" ref="O496">_xlfn.IFS(J496="M","Medium",J496="L","Light",J496="D","Dark")</f>
        <v>Light</v>
      </c>
      <c r="P496" s="4" t="str">
        <f>_xlfn.XLOOKUP(CoffeeOrderstable[[#This Row],[Customer ID]],customers!$A$1:$A$1001,customers!$I$1:$I$1001,,0)</f>
        <v>No</v>
      </c>
    </row>
    <row r="497" spans="1:16" x14ac:dyDescent="0.3">
      <c r="A497" s="3" t="s">
        <v>3289</v>
      </c>
      <c r="B497" s="5">
        <v>43710</v>
      </c>
      <c r="C497" s="3" t="s">
        <v>3290</v>
      </c>
      <c r="D497" s="4" t="s">
        <v>6170</v>
      </c>
      <c r="E497" s="3">
        <v>5</v>
      </c>
      <c r="F497" s="3" t="str">
        <f>_xlfn.XLOOKUP(C497,customers!$A$1:$A$1001,customers!$B$1:$B$1001,,0)</f>
        <v>Currey MacAllister</v>
      </c>
      <c r="G497" s="3" t="str">
        <f>IF(_xlfn.XLOOKUP(C497,customers!$A$1:$A$1001,customers!$C$1:$C$1001,,0)=0,"", _xlfn.XLOOKUP(C497,customers!$A$1:$A$1001,customers!$C$1:$C$1001,,0))</f>
        <v/>
      </c>
      <c r="H497" s="3" t="str">
        <f>_xlfn.XLOOKUP(C497,customers!$A$1:$A$1001,customers!$G$1:$G$1001,,0)</f>
        <v>United States</v>
      </c>
      <c r="I497" s="4" t="str">
        <f>INDEX(products!$A$1:$G$49,MATCH(orders!$D497,products!$A$1:$A$49,0),MATCH(orders!I$1,products!$A$1:$G$1,0))</f>
        <v>Lib</v>
      </c>
      <c r="J497" s="4" t="str">
        <f>INDEX(products!$A$1:$G$49,MATCH(orders!$D497,products!$A$1:$A$49,0),MATCH(orders!J$1,products!$A$1:$G$1,0))</f>
        <v>L</v>
      </c>
      <c r="K497" s="6">
        <f>INDEX(products!$A$1:$G$49,MATCH(orders!$D497,products!$A$1:$A$49,0),MATCH(orders!K$1,products!$A$1:$G$1,0))</f>
        <v>1</v>
      </c>
      <c r="L497" s="7">
        <f>INDEX(products!$A$1:$G$49,MATCH(orders!$D497,products!$A$1:$A$49,0),MATCH(orders!L$1,products!$A$1:$G$1,0))</f>
        <v>15.85</v>
      </c>
      <c r="M497" s="7">
        <f t="shared" si="7"/>
        <v>79.25</v>
      </c>
      <c r="N497" s="4" t="str" cm="1">
        <f t="array" ref="N497">_xlfn.IFS(I497="Rob","Robusta",I497="Exc","Excelsa",I497="Ara","Arabica",I497="Lib","Liberica")</f>
        <v>Liberica</v>
      </c>
      <c r="O497" s="4" t="str" cm="1">
        <f t="array" ref="O497">_xlfn.IFS(J497="M","Medium",J497="L","Light",J497="D","Dark")</f>
        <v>Light</v>
      </c>
      <c r="P497" s="4" t="str">
        <f>_xlfn.XLOOKUP(CoffeeOrderstable[[#This Row],[Customer ID]],customers!$A$1:$A$1001,customers!$I$1:$I$1001,,0)</f>
        <v>Yes</v>
      </c>
    </row>
    <row r="498" spans="1:16" x14ac:dyDescent="0.3">
      <c r="A498" s="3" t="s">
        <v>3294</v>
      </c>
      <c r="B498" s="5">
        <v>44438</v>
      </c>
      <c r="C498" s="3" t="s">
        <v>3295</v>
      </c>
      <c r="D498" s="4" t="s">
        <v>6153</v>
      </c>
      <c r="E498" s="3">
        <v>3</v>
      </c>
      <c r="F498" s="3" t="str">
        <f>_xlfn.XLOOKUP(C498,customers!$A$1:$A$1001,customers!$B$1:$B$1001,,0)</f>
        <v>Hamlen Pallister</v>
      </c>
      <c r="G498" s="3" t="str">
        <f>IF(_xlfn.XLOOKUP(C498,customers!$A$1:$A$1001,customers!$C$1:$C$1001,,0)=0,"", _xlfn.XLOOKUP(C498,customers!$A$1:$A$1001,customers!$C$1:$C$1001,,0))</f>
        <v>hpallisterds@ning.com</v>
      </c>
      <c r="H498" s="3" t="str">
        <f>_xlfn.XLOOKUP(C498,customers!$A$1:$A$1001,customers!$G$1:$G$1001,,0)</f>
        <v>United States</v>
      </c>
      <c r="I498" s="4" t="str">
        <f>INDEX(products!$A$1:$G$49,MATCH(orders!$D498,products!$A$1:$A$49,0),MATCH(orders!I$1,products!$A$1:$G$1,0))</f>
        <v>Exc</v>
      </c>
      <c r="J498" s="4" t="str">
        <f>INDEX(products!$A$1:$G$49,MATCH(orders!$D498,products!$A$1:$A$49,0),MATCH(orders!J$1,products!$A$1:$G$1,0))</f>
        <v>D</v>
      </c>
      <c r="K498" s="6">
        <f>INDEX(products!$A$1:$G$49,MATCH(orders!$D498,products!$A$1:$A$49,0),MATCH(orders!K$1,products!$A$1:$G$1,0))</f>
        <v>0.2</v>
      </c>
      <c r="L498" s="7">
        <f>INDEX(products!$A$1:$G$49,MATCH(orders!$D498,products!$A$1:$A$49,0),MATCH(orders!L$1,products!$A$1:$G$1,0))</f>
        <v>3.645</v>
      </c>
      <c r="M498" s="7">
        <f t="shared" si="7"/>
        <v>10.935</v>
      </c>
      <c r="N498" s="4" t="str" cm="1">
        <f t="array" ref="N498">_xlfn.IFS(I498="Rob","Robusta",I498="Exc","Excelsa",I498="Ara","Arabica",I498="Lib","Liberica")</f>
        <v>Excelsa</v>
      </c>
      <c r="O498" s="4" t="str" cm="1">
        <f t="array" ref="O498">_xlfn.IFS(J498="M","Medium",J498="L","Light",J498="D","Dark")</f>
        <v>Dark</v>
      </c>
      <c r="P498" s="4" t="str">
        <f>_xlfn.XLOOKUP(CoffeeOrderstable[[#This Row],[Customer ID]],customers!$A$1:$A$1001,customers!$I$1:$I$1001,,0)</f>
        <v>No</v>
      </c>
    </row>
    <row r="499" spans="1:16" x14ac:dyDescent="0.3">
      <c r="A499" s="3" t="s">
        <v>3300</v>
      </c>
      <c r="B499" s="5">
        <v>44351</v>
      </c>
      <c r="C499" s="3" t="s">
        <v>3301</v>
      </c>
      <c r="D499" s="4" t="s">
        <v>6147</v>
      </c>
      <c r="E499" s="3">
        <v>4</v>
      </c>
      <c r="F499" s="3" t="str">
        <f>_xlfn.XLOOKUP(C499,customers!$A$1:$A$1001,customers!$B$1:$B$1001,,0)</f>
        <v>Chantal Mersh</v>
      </c>
      <c r="G499" s="3" t="str">
        <f>IF(_xlfn.XLOOKUP(C499,customers!$A$1:$A$1001,customers!$C$1:$C$1001,,0)=0,"", _xlfn.XLOOKUP(C499,customers!$A$1:$A$1001,customers!$C$1:$C$1001,,0))</f>
        <v>cmershdt@drupal.org</v>
      </c>
      <c r="H499" s="3" t="str">
        <f>_xlfn.XLOOKUP(C499,customers!$A$1:$A$1001,customers!$G$1:$G$1001,,0)</f>
        <v>Ireland</v>
      </c>
      <c r="I499" s="4" t="str">
        <f>INDEX(products!$A$1:$G$49,MATCH(orders!$D499,products!$A$1:$A$49,0),MATCH(orders!I$1,products!$A$1:$G$1,0))</f>
        <v>Ara</v>
      </c>
      <c r="J499" s="4" t="str">
        <f>INDEX(products!$A$1:$G$49,MATCH(orders!$D499,products!$A$1:$A$49,0),MATCH(orders!J$1,products!$A$1:$G$1,0))</f>
        <v>D</v>
      </c>
      <c r="K499" s="6">
        <f>INDEX(products!$A$1:$G$49,MATCH(orders!$D499,products!$A$1:$A$49,0),MATCH(orders!K$1,products!$A$1:$G$1,0))</f>
        <v>1</v>
      </c>
      <c r="L499" s="7">
        <f>INDEX(products!$A$1:$G$49,MATCH(orders!$D499,products!$A$1:$A$49,0),MATCH(orders!L$1,products!$A$1:$G$1,0))</f>
        <v>9.9499999999999993</v>
      </c>
      <c r="M499" s="7">
        <f t="shared" si="7"/>
        <v>39.799999999999997</v>
      </c>
      <c r="N499" s="4" t="str" cm="1">
        <f t="array" ref="N499">_xlfn.IFS(I499="Rob","Robusta",I499="Exc","Excelsa",I499="Ara","Arabica",I499="Lib","Liberica")</f>
        <v>Arabica</v>
      </c>
      <c r="O499" s="4" t="str" cm="1">
        <f t="array" ref="O499">_xlfn.IFS(J499="M","Medium",J499="L","Light",J499="D","Dark")</f>
        <v>Dark</v>
      </c>
      <c r="P499" s="4" t="str">
        <f>_xlfn.XLOOKUP(CoffeeOrderstable[[#This Row],[Customer ID]],customers!$A$1:$A$1001,customers!$I$1:$I$1001,,0)</f>
        <v>No</v>
      </c>
    </row>
    <row r="500" spans="1:16" x14ac:dyDescent="0.3">
      <c r="A500" s="3" t="s">
        <v>3307</v>
      </c>
      <c r="B500" s="5">
        <v>44159</v>
      </c>
      <c r="C500" s="3" t="s">
        <v>3368</v>
      </c>
      <c r="D500" s="4" t="s">
        <v>6138</v>
      </c>
      <c r="E500" s="3">
        <v>5</v>
      </c>
      <c r="F500" s="3" t="str">
        <f>_xlfn.XLOOKUP(C500,customers!$A$1:$A$1001,customers!$B$1:$B$1001,,0)</f>
        <v>Marja Urion</v>
      </c>
      <c r="G500" s="3" t="str">
        <f>IF(_xlfn.XLOOKUP(C500,customers!$A$1:$A$1001,customers!$C$1:$C$1001,,0)=0,"", _xlfn.XLOOKUP(C500,customers!$A$1:$A$1001,customers!$C$1:$C$1001,,0))</f>
        <v>murione5@alexa.com</v>
      </c>
      <c r="H500" s="3" t="str">
        <f>_xlfn.XLOOKUP(C500,customers!$A$1:$A$1001,customers!$G$1:$G$1001,,0)</f>
        <v>Ireland</v>
      </c>
      <c r="I500" s="4" t="str">
        <f>INDEX(products!$A$1:$G$49,MATCH(orders!$D500,products!$A$1:$A$49,0),MATCH(orders!I$1,products!$A$1:$G$1,0))</f>
        <v>Rob</v>
      </c>
      <c r="J500" s="4" t="str">
        <f>INDEX(products!$A$1:$G$49,MATCH(orders!$D500,products!$A$1:$A$49,0),MATCH(orders!J$1,products!$A$1:$G$1,0))</f>
        <v>M</v>
      </c>
      <c r="K500" s="6">
        <f>INDEX(products!$A$1:$G$49,MATCH(orders!$D500,products!$A$1:$A$49,0),MATCH(orders!K$1,products!$A$1:$G$1,0))</f>
        <v>1</v>
      </c>
      <c r="L500" s="7">
        <f>INDEX(products!$A$1:$G$49,MATCH(orders!$D500,products!$A$1:$A$49,0),MATCH(orders!L$1,products!$A$1:$G$1,0))</f>
        <v>9.9499999999999993</v>
      </c>
      <c r="M500" s="7">
        <f t="shared" si="7"/>
        <v>49.75</v>
      </c>
      <c r="N500" s="4" t="str" cm="1">
        <f t="array" ref="N500">_xlfn.IFS(I500="Rob","Robusta",I500="Exc","Excelsa",I500="Ara","Arabica",I500="Lib","Liberica")</f>
        <v>Robusta</v>
      </c>
      <c r="O500" s="4" t="str" cm="1">
        <f t="array" ref="O500">_xlfn.IFS(J500="M","Medium",J500="L","Light",J500="D","Dark")</f>
        <v>Medium</v>
      </c>
      <c r="P500" s="4" t="str">
        <f>_xlfn.XLOOKUP(CoffeeOrderstable[[#This Row],[Customer ID]],customers!$A$1:$A$1001,customers!$I$1:$I$1001,,0)</f>
        <v>Yes</v>
      </c>
    </row>
    <row r="501" spans="1:16" x14ac:dyDescent="0.3">
      <c r="A501" s="3" t="s">
        <v>3313</v>
      </c>
      <c r="B501" s="5">
        <v>44003</v>
      </c>
      <c r="C501" s="3" t="s">
        <v>3314</v>
      </c>
      <c r="D501" s="4" t="s">
        <v>6163</v>
      </c>
      <c r="E501" s="3">
        <v>3</v>
      </c>
      <c r="F501" s="3" t="str">
        <f>_xlfn.XLOOKUP(C501,customers!$A$1:$A$1001,customers!$B$1:$B$1001,,0)</f>
        <v>Malynda Purbrick</v>
      </c>
      <c r="G501" s="3" t="str">
        <f>IF(_xlfn.XLOOKUP(C501,customers!$A$1:$A$1001,customers!$C$1:$C$1001,,0)=0,"", _xlfn.XLOOKUP(C501,customers!$A$1:$A$1001,customers!$C$1:$C$1001,,0))</f>
        <v/>
      </c>
      <c r="H501" s="3" t="str">
        <f>_xlfn.XLOOKUP(C501,customers!$A$1:$A$1001,customers!$G$1:$G$1001,,0)</f>
        <v>Ireland</v>
      </c>
      <c r="I501" s="4" t="str">
        <f>INDEX(products!$A$1:$G$49,MATCH(orders!$D501,products!$A$1:$A$49,0),MATCH(orders!I$1,products!$A$1:$G$1,0))</f>
        <v>Rob</v>
      </c>
      <c r="J501" s="4" t="str">
        <f>INDEX(products!$A$1:$G$49,MATCH(orders!$D501,products!$A$1:$A$49,0),MATCH(orders!J$1,products!$A$1:$G$1,0))</f>
        <v>D</v>
      </c>
      <c r="K501" s="6">
        <f>INDEX(products!$A$1:$G$49,MATCH(orders!$D501,products!$A$1:$A$49,0),MATCH(orders!K$1,products!$A$1:$G$1,0))</f>
        <v>0.2</v>
      </c>
      <c r="L501" s="7">
        <f>INDEX(products!$A$1:$G$49,MATCH(orders!$D501,products!$A$1:$A$49,0),MATCH(orders!L$1,products!$A$1:$G$1,0))</f>
        <v>2.6849999999999996</v>
      </c>
      <c r="M501" s="7">
        <f t="shared" si="7"/>
        <v>8.0549999999999997</v>
      </c>
      <c r="N501" s="4" t="str" cm="1">
        <f t="array" ref="N501">_xlfn.IFS(I501="Rob","Robusta",I501="Exc","Excelsa",I501="Ara","Arabica",I501="Lib","Liberica")</f>
        <v>Robusta</v>
      </c>
      <c r="O501" s="4" t="str" cm="1">
        <f t="array" ref="O501">_xlfn.IFS(J501="M","Medium",J501="L","Light",J501="D","Dark")</f>
        <v>Dark</v>
      </c>
      <c r="P501" s="4" t="str">
        <f>_xlfn.XLOOKUP(CoffeeOrderstable[[#This Row],[Customer ID]],customers!$A$1:$A$1001,customers!$I$1:$I$1001,,0)</f>
        <v>Yes</v>
      </c>
    </row>
    <row r="502" spans="1:16" x14ac:dyDescent="0.3">
      <c r="A502" s="3" t="s">
        <v>3318</v>
      </c>
      <c r="B502" s="5">
        <v>44025</v>
      </c>
      <c r="C502" s="3" t="s">
        <v>3319</v>
      </c>
      <c r="D502" s="4" t="s">
        <v>6179</v>
      </c>
      <c r="E502" s="3">
        <v>4</v>
      </c>
      <c r="F502" s="3" t="str">
        <f>_xlfn.XLOOKUP(C502,customers!$A$1:$A$1001,customers!$B$1:$B$1001,,0)</f>
        <v>Alf Housaman</v>
      </c>
      <c r="G502" s="3" t="str">
        <f>IF(_xlfn.XLOOKUP(C502,customers!$A$1:$A$1001,customers!$C$1:$C$1001,,0)=0,"", _xlfn.XLOOKUP(C502,customers!$A$1:$A$1001,customers!$C$1:$C$1001,,0))</f>
        <v/>
      </c>
      <c r="H502" s="3" t="str">
        <f>_xlfn.XLOOKUP(C502,customers!$A$1:$A$1001,customers!$G$1:$G$1001,,0)</f>
        <v>United States</v>
      </c>
      <c r="I502" s="4" t="str">
        <f>INDEX(products!$A$1:$G$49,MATCH(orders!$D502,products!$A$1:$A$49,0),MATCH(orders!I$1,products!$A$1:$G$1,0))</f>
        <v>Rob</v>
      </c>
      <c r="J502" s="4" t="str">
        <f>INDEX(products!$A$1:$G$49,MATCH(orders!$D502,products!$A$1:$A$49,0),MATCH(orders!J$1,products!$A$1:$G$1,0))</f>
        <v>L</v>
      </c>
      <c r="K502" s="6">
        <f>INDEX(products!$A$1:$G$49,MATCH(orders!$D502,products!$A$1:$A$49,0),MATCH(orders!K$1,products!$A$1:$G$1,0))</f>
        <v>1</v>
      </c>
      <c r="L502" s="7">
        <f>INDEX(products!$A$1:$G$49,MATCH(orders!$D502,products!$A$1:$A$49,0),MATCH(orders!L$1,products!$A$1:$G$1,0))</f>
        <v>11.95</v>
      </c>
      <c r="M502" s="7">
        <f t="shared" si="7"/>
        <v>47.8</v>
      </c>
      <c r="N502" s="4" t="str" cm="1">
        <f t="array" ref="N502">_xlfn.IFS(I502="Rob","Robusta",I502="Exc","Excelsa",I502="Ara","Arabica",I502="Lib","Liberica")</f>
        <v>Robusta</v>
      </c>
      <c r="O502" s="4" t="str" cm="1">
        <f t="array" ref="O502">_xlfn.IFS(J502="M","Medium",J502="L","Light",J502="D","Dark")</f>
        <v>Light</v>
      </c>
      <c r="P502" s="4" t="str">
        <f>_xlfn.XLOOKUP(CoffeeOrderstable[[#This Row],[Customer ID]],customers!$A$1:$A$1001,customers!$I$1:$I$1001,,0)</f>
        <v>No</v>
      </c>
    </row>
    <row r="503" spans="1:16" x14ac:dyDescent="0.3">
      <c r="A503" s="3" t="s">
        <v>3323</v>
      </c>
      <c r="B503" s="5">
        <v>43467</v>
      </c>
      <c r="C503" s="3" t="s">
        <v>3324</v>
      </c>
      <c r="D503" s="4" t="s">
        <v>6174</v>
      </c>
      <c r="E503" s="3">
        <v>4</v>
      </c>
      <c r="F503" s="3" t="str">
        <f>_xlfn.XLOOKUP(C503,customers!$A$1:$A$1001,customers!$B$1:$B$1001,,0)</f>
        <v>Gladi Ducker</v>
      </c>
      <c r="G503" s="3" t="str">
        <f>IF(_xlfn.XLOOKUP(C503,customers!$A$1:$A$1001,customers!$C$1:$C$1001,,0)=0,"", _xlfn.XLOOKUP(C503,customers!$A$1:$A$1001,customers!$C$1:$C$1001,,0))</f>
        <v>gduckerdx@patch.com</v>
      </c>
      <c r="H503" s="3" t="str">
        <f>_xlfn.XLOOKUP(C503,customers!$A$1:$A$1001,customers!$G$1:$G$1001,,0)</f>
        <v>United Kingdom</v>
      </c>
      <c r="I503" s="4" t="str">
        <f>INDEX(products!$A$1:$G$49,MATCH(orders!$D503,products!$A$1:$A$49,0),MATCH(orders!I$1,products!$A$1:$G$1,0))</f>
        <v>Rob</v>
      </c>
      <c r="J503" s="4" t="str">
        <f>INDEX(products!$A$1:$G$49,MATCH(orders!$D503,products!$A$1:$A$49,0),MATCH(orders!J$1,products!$A$1:$G$1,0))</f>
        <v>M</v>
      </c>
      <c r="K503" s="6">
        <f>INDEX(products!$A$1:$G$49,MATCH(orders!$D503,products!$A$1:$A$49,0),MATCH(orders!K$1,products!$A$1:$G$1,0))</f>
        <v>0.2</v>
      </c>
      <c r="L503" s="7">
        <f>INDEX(products!$A$1:$G$49,MATCH(orders!$D503,products!$A$1:$A$49,0),MATCH(orders!L$1,products!$A$1:$G$1,0))</f>
        <v>2.9849999999999999</v>
      </c>
      <c r="M503" s="7">
        <f t="shared" si="7"/>
        <v>11.94</v>
      </c>
      <c r="N503" s="4" t="str" cm="1">
        <f t="array" ref="N503">_xlfn.IFS(I503="Rob","Robusta",I503="Exc","Excelsa",I503="Ara","Arabica",I503="Lib","Liberica")</f>
        <v>Robusta</v>
      </c>
      <c r="O503" s="4" t="str" cm="1">
        <f t="array" ref="O503">_xlfn.IFS(J503="M","Medium",J503="L","Light",J503="D","Dark")</f>
        <v>Medium</v>
      </c>
      <c r="P503" s="4" t="str">
        <f>_xlfn.XLOOKUP(CoffeeOrderstable[[#This Row],[Customer ID]],customers!$A$1:$A$1001,customers!$I$1:$I$1001,,0)</f>
        <v>No</v>
      </c>
    </row>
    <row r="504" spans="1:16" x14ac:dyDescent="0.3">
      <c r="A504" s="3" t="s">
        <v>3323</v>
      </c>
      <c r="B504" s="5">
        <v>43467</v>
      </c>
      <c r="C504" s="3" t="s">
        <v>3324</v>
      </c>
      <c r="D504" s="4" t="s">
        <v>6156</v>
      </c>
      <c r="E504" s="3">
        <v>4</v>
      </c>
      <c r="F504" s="3" t="str">
        <f>_xlfn.XLOOKUP(C504,customers!$A$1:$A$1001,customers!$B$1:$B$1001,,0)</f>
        <v>Gladi Ducker</v>
      </c>
      <c r="G504" s="3" t="str">
        <f>IF(_xlfn.XLOOKUP(C504,customers!$A$1:$A$1001,customers!$C$1:$C$1001,,0)=0,"", _xlfn.XLOOKUP(C504,customers!$A$1:$A$1001,customers!$C$1:$C$1001,,0))</f>
        <v>gduckerdx@patch.com</v>
      </c>
      <c r="H504" s="3" t="str">
        <f>_xlfn.XLOOKUP(C504,customers!$A$1:$A$1001,customers!$G$1:$G$1001,,0)</f>
        <v>United Kingdom</v>
      </c>
      <c r="I504" s="4" t="str">
        <f>INDEX(products!$A$1:$G$49,MATCH(orders!$D504,products!$A$1:$A$49,0),MATCH(orders!I$1,products!$A$1:$G$1,0))</f>
        <v>Exc</v>
      </c>
      <c r="J504" s="4" t="str">
        <f>INDEX(products!$A$1:$G$49,MATCH(orders!$D504,products!$A$1:$A$49,0),MATCH(orders!J$1,products!$A$1:$G$1,0))</f>
        <v>M</v>
      </c>
      <c r="K504" s="6">
        <f>INDEX(products!$A$1:$G$49,MATCH(orders!$D504,products!$A$1:$A$49,0),MATCH(orders!K$1,products!$A$1:$G$1,0))</f>
        <v>0.2</v>
      </c>
      <c r="L504" s="7">
        <f>INDEX(products!$A$1:$G$49,MATCH(orders!$D504,products!$A$1:$A$49,0),MATCH(orders!L$1,products!$A$1:$G$1,0))</f>
        <v>4.125</v>
      </c>
      <c r="M504" s="7">
        <f t="shared" si="7"/>
        <v>16.5</v>
      </c>
      <c r="N504" s="4" t="str" cm="1">
        <f t="array" ref="N504">_xlfn.IFS(I504="Rob","Robusta",I504="Exc","Excelsa",I504="Ara","Arabica",I504="Lib","Liberica")</f>
        <v>Excelsa</v>
      </c>
      <c r="O504" s="4" t="str" cm="1">
        <f t="array" ref="O504">_xlfn.IFS(J504="M","Medium",J504="L","Light",J504="D","Dark")</f>
        <v>Medium</v>
      </c>
      <c r="P504" s="4" t="str">
        <f>_xlfn.XLOOKUP(CoffeeOrderstable[[#This Row],[Customer ID]],customers!$A$1:$A$1001,customers!$I$1:$I$1001,,0)</f>
        <v>No</v>
      </c>
    </row>
    <row r="505" spans="1:16" x14ac:dyDescent="0.3">
      <c r="A505" s="3" t="s">
        <v>3323</v>
      </c>
      <c r="B505" s="5">
        <v>43467</v>
      </c>
      <c r="C505" s="3" t="s">
        <v>3324</v>
      </c>
      <c r="D505" s="4" t="s">
        <v>6143</v>
      </c>
      <c r="E505" s="3">
        <v>4</v>
      </c>
      <c r="F505" s="3" t="str">
        <f>_xlfn.XLOOKUP(C505,customers!$A$1:$A$1001,customers!$B$1:$B$1001,,0)</f>
        <v>Gladi Ducker</v>
      </c>
      <c r="G505" s="3" t="str">
        <f>IF(_xlfn.XLOOKUP(C505,customers!$A$1:$A$1001,customers!$C$1:$C$1001,,0)=0,"", _xlfn.XLOOKUP(C505,customers!$A$1:$A$1001,customers!$C$1:$C$1001,,0))</f>
        <v>gduckerdx@patch.com</v>
      </c>
      <c r="H505" s="3" t="str">
        <f>_xlfn.XLOOKUP(C505,customers!$A$1:$A$1001,customers!$G$1:$G$1001,,0)</f>
        <v>United Kingdom</v>
      </c>
      <c r="I505" s="4" t="str">
        <f>INDEX(products!$A$1:$G$49,MATCH(orders!$D505,products!$A$1:$A$49,0),MATCH(orders!I$1,products!$A$1:$G$1,0))</f>
        <v>Lib</v>
      </c>
      <c r="J505" s="4" t="str">
        <f>INDEX(products!$A$1:$G$49,MATCH(orders!$D505,products!$A$1:$A$49,0),MATCH(orders!J$1,products!$A$1:$G$1,0))</f>
        <v>D</v>
      </c>
      <c r="K505" s="6">
        <f>INDEX(products!$A$1:$G$49,MATCH(orders!$D505,products!$A$1:$A$49,0),MATCH(orders!K$1,products!$A$1:$G$1,0))</f>
        <v>1</v>
      </c>
      <c r="L505" s="7">
        <f>INDEX(products!$A$1:$G$49,MATCH(orders!$D505,products!$A$1:$A$49,0),MATCH(orders!L$1,products!$A$1:$G$1,0))</f>
        <v>12.95</v>
      </c>
      <c r="M505" s="7">
        <f t="shared" si="7"/>
        <v>51.8</v>
      </c>
      <c r="N505" s="4" t="str" cm="1">
        <f t="array" ref="N505">_xlfn.IFS(I505="Rob","Robusta",I505="Exc","Excelsa",I505="Ara","Arabica",I505="Lib","Liberica")</f>
        <v>Liberica</v>
      </c>
      <c r="O505" s="4" t="str" cm="1">
        <f t="array" ref="O505">_xlfn.IFS(J505="M","Medium",J505="L","Light",J505="D","Dark")</f>
        <v>Dark</v>
      </c>
      <c r="P505" s="4" t="str">
        <f>_xlfn.XLOOKUP(CoffeeOrderstable[[#This Row],[Customer ID]],customers!$A$1:$A$1001,customers!$I$1:$I$1001,,0)</f>
        <v>No</v>
      </c>
    </row>
    <row r="506" spans="1:16" x14ac:dyDescent="0.3">
      <c r="A506" s="3" t="s">
        <v>3323</v>
      </c>
      <c r="B506" s="5">
        <v>43467</v>
      </c>
      <c r="C506" s="3" t="s">
        <v>3324</v>
      </c>
      <c r="D506" s="4" t="s">
        <v>6145</v>
      </c>
      <c r="E506" s="3">
        <v>3</v>
      </c>
      <c r="F506" s="3" t="str">
        <f>_xlfn.XLOOKUP(C506,customers!$A$1:$A$1001,customers!$B$1:$B$1001,,0)</f>
        <v>Gladi Ducker</v>
      </c>
      <c r="G506" s="3" t="str">
        <f>IF(_xlfn.XLOOKUP(C506,customers!$A$1:$A$1001,customers!$C$1:$C$1001,,0)=0,"", _xlfn.XLOOKUP(C506,customers!$A$1:$A$1001,customers!$C$1:$C$1001,,0))</f>
        <v>gduckerdx@patch.com</v>
      </c>
      <c r="H506" s="3" t="str">
        <f>_xlfn.XLOOKUP(C506,customers!$A$1:$A$1001,customers!$G$1:$G$1001,,0)</f>
        <v>United Kingdom</v>
      </c>
      <c r="I506" s="4" t="str">
        <f>INDEX(products!$A$1:$G$49,MATCH(orders!$D506,products!$A$1:$A$49,0),MATCH(orders!I$1,products!$A$1:$G$1,0))</f>
        <v>Lib</v>
      </c>
      <c r="J506" s="4" t="str">
        <f>INDEX(products!$A$1:$G$49,MATCH(orders!$D506,products!$A$1:$A$49,0),MATCH(orders!J$1,products!$A$1:$G$1,0))</f>
        <v>L</v>
      </c>
      <c r="K506" s="6">
        <f>INDEX(products!$A$1:$G$49,MATCH(orders!$D506,products!$A$1:$A$49,0),MATCH(orders!K$1,products!$A$1:$G$1,0))</f>
        <v>0.2</v>
      </c>
      <c r="L506" s="7">
        <f>INDEX(products!$A$1:$G$49,MATCH(orders!$D506,products!$A$1:$A$49,0),MATCH(orders!L$1,products!$A$1:$G$1,0))</f>
        <v>4.7549999999999999</v>
      </c>
      <c r="M506" s="7">
        <f t="shared" si="7"/>
        <v>14.265000000000001</v>
      </c>
      <c r="N506" s="4" t="str" cm="1">
        <f t="array" ref="N506">_xlfn.IFS(I506="Rob","Robusta",I506="Exc","Excelsa",I506="Ara","Arabica",I506="Lib","Liberica")</f>
        <v>Liberica</v>
      </c>
      <c r="O506" s="4" t="str" cm="1">
        <f t="array" ref="O506">_xlfn.IFS(J506="M","Medium",J506="L","Light",J506="D","Dark")</f>
        <v>Light</v>
      </c>
      <c r="P506" s="4" t="str">
        <f>_xlfn.XLOOKUP(CoffeeOrderstable[[#This Row],[Customer ID]],customers!$A$1:$A$1001,customers!$I$1:$I$1001,,0)</f>
        <v>No</v>
      </c>
    </row>
    <row r="507" spans="1:16" x14ac:dyDescent="0.3">
      <c r="A507" s="3" t="s">
        <v>3343</v>
      </c>
      <c r="B507" s="5">
        <v>44609</v>
      </c>
      <c r="C507" s="3" t="s">
        <v>3344</v>
      </c>
      <c r="D507" s="4" t="s">
        <v>6159</v>
      </c>
      <c r="E507" s="3">
        <v>6</v>
      </c>
      <c r="F507" s="3" t="str">
        <f>_xlfn.XLOOKUP(C507,customers!$A$1:$A$1001,customers!$B$1:$B$1001,,0)</f>
        <v>Wain Stearley</v>
      </c>
      <c r="G507" s="3" t="str">
        <f>IF(_xlfn.XLOOKUP(C507,customers!$A$1:$A$1001,customers!$C$1:$C$1001,,0)=0,"", _xlfn.XLOOKUP(C507,customers!$A$1:$A$1001,customers!$C$1:$C$1001,,0))</f>
        <v>wstearleye1@census.gov</v>
      </c>
      <c r="H507" s="3" t="str">
        <f>_xlfn.XLOOKUP(C507,customers!$A$1:$A$1001,customers!$G$1:$G$1001,,0)</f>
        <v>United States</v>
      </c>
      <c r="I507" s="4" t="str">
        <f>INDEX(products!$A$1:$G$49,MATCH(orders!$D507,products!$A$1:$A$49,0),MATCH(orders!I$1,products!$A$1:$G$1,0))</f>
        <v>Lib</v>
      </c>
      <c r="J507" s="4" t="str">
        <f>INDEX(products!$A$1:$G$49,MATCH(orders!$D507,products!$A$1:$A$49,0),MATCH(orders!J$1,products!$A$1:$G$1,0))</f>
        <v>M</v>
      </c>
      <c r="K507" s="6">
        <f>INDEX(products!$A$1:$G$49,MATCH(orders!$D507,products!$A$1:$A$49,0),MATCH(orders!K$1,products!$A$1:$G$1,0))</f>
        <v>0.2</v>
      </c>
      <c r="L507" s="7">
        <f>INDEX(products!$A$1:$G$49,MATCH(orders!$D507,products!$A$1:$A$49,0),MATCH(orders!L$1,products!$A$1:$G$1,0))</f>
        <v>4.3650000000000002</v>
      </c>
      <c r="M507" s="7">
        <f t="shared" si="7"/>
        <v>26.19</v>
      </c>
      <c r="N507" s="4" t="str" cm="1">
        <f t="array" ref="N507">_xlfn.IFS(I507="Rob","Robusta",I507="Exc","Excelsa",I507="Ara","Arabica",I507="Lib","Liberica")</f>
        <v>Liberica</v>
      </c>
      <c r="O507" s="4" t="str" cm="1">
        <f t="array" ref="O507">_xlfn.IFS(J507="M","Medium",J507="L","Light",J507="D","Dark")</f>
        <v>Medium</v>
      </c>
      <c r="P507" s="4" t="str">
        <f>_xlfn.XLOOKUP(CoffeeOrderstable[[#This Row],[Customer ID]],customers!$A$1:$A$1001,customers!$I$1:$I$1001,,0)</f>
        <v>No</v>
      </c>
    </row>
    <row r="508" spans="1:16" x14ac:dyDescent="0.3">
      <c r="A508" s="3" t="s">
        <v>3349</v>
      </c>
      <c r="B508" s="5">
        <v>44184</v>
      </c>
      <c r="C508" s="3" t="s">
        <v>3350</v>
      </c>
      <c r="D508" s="4" t="s">
        <v>6140</v>
      </c>
      <c r="E508" s="3">
        <v>2</v>
      </c>
      <c r="F508" s="3" t="str">
        <f>_xlfn.XLOOKUP(C508,customers!$A$1:$A$1001,customers!$B$1:$B$1001,,0)</f>
        <v>Diane-marie Wincer</v>
      </c>
      <c r="G508" s="3" t="str">
        <f>IF(_xlfn.XLOOKUP(C508,customers!$A$1:$A$1001,customers!$C$1:$C$1001,,0)=0,"", _xlfn.XLOOKUP(C508,customers!$A$1:$A$1001,customers!$C$1:$C$1001,,0))</f>
        <v>dwincere2@marriott.com</v>
      </c>
      <c r="H508" s="3" t="str">
        <f>_xlfn.XLOOKUP(C508,customers!$A$1:$A$1001,customers!$G$1:$G$1001,,0)</f>
        <v>United States</v>
      </c>
      <c r="I508" s="4" t="str">
        <f>INDEX(products!$A$1:$G$49,MATCH(orders!$D508,products!$A$1:$A$49,0),MATCH(orders!I$1,products!$A$1:$G$1,0))</f>
        <v>Ara</v>
      </c>
      <c r="J508" s="4" t="str">
        <f>INDEX(products!$A$1:$G$49,MATCH(orders!$D508,products!$A$1:$A$49,0),MATCH(orders!J$1,products!$A$1:$G$1,0))</f>
        <v>L</v>
      </c>
      <c r="K508" s="6">
        <f>INDEX(products!$A$1:$G$49,MATCH(orders!$D508,products!$A$1:$A$49,0),MATCH(orders!K$1,products!$A$1:$G$1,0))</f>
        <v>1</v>
      </c>
      <c r="L508" s="7">
        <f>INDEX(products!$A$1:$G$49,MATCH(orders!$D508,products!$A$1:$A$49,0),MATCH(orders!L$1,products!$A$1:$G$1,0))</f>
        <v>12.95</v>
      </c>
      <c r="M508" s="7">
        <f t="shared" si="7"/>
        <v>25.9</v>
      </c>
      <c r="N508" s="4" t="str" cm="1">
        <f t="array" ref="N508">_xlfn.IFS(I508="Rob","Robusta",I508="Exc","Excelsa",I508="Ara","Arabica",I508="Lib","Liberica")</f>
        <v>Arabica</v>
      </c>
      <c r="O508" s="4" t="str" cm="1">
        <f t="array" ref="O508">_xlfn.IFS(J508="M","Medium",J508="L","Light",J508="D","Dark")</f>
        <v>Light</v>
      </c>
      <c r="P508" s="4" t="str">
        <f>_xlfn.XLOOKUP(CoffeeOrderstable[[#This Row],[Customer ID]],customers!$A$1:$A$1001,customers!$I$1:$I$1001,,0)</f>
        <v>Yes</v>
      </c>
    </row>
    <row r="509" spans="1:16" x14ac:dyDescent="0.3">
      <c r="A509" s="3" t="s">
        <v>3355</v>
      </c>
      <c r="B509" s="5">
        <v>43516</v>
      </c>
      <c r="C509" s="3" t="s">
        <v>3356</v>
      </c>
      <c r="D509" s="4" t="s">
        <v>6182</v>
      </c>
      <c r="E509" s="3">
        <v>3</v>
      </c>
      <c r="F509" s="3" t="str">
        <f>_xlfn.XLOOKUP(C509,customers!$A$1:$A$1001,customers!$B$1:$B$1001,,0)</f>
        <v>Perry Lyfield</v>
      </c>
      <c r="G509" s="3" t="str">
        <f>IF(_xlfn.XLOOKUP(C509,customers!$A$1:$A$1001,customers!$C$1:$C$1001,,0)=0,"", _xlfn.XLOOKUP(C509,customers!$A$1:$A$1001,customers!$C$1:$C$1001,,0))</f>
        <v>plyfielde3@baidu.com</v>
      </c>
      <c r="H509" s="3" t="str">
        <f>_xlfn.XLOOKUP(C509,customers!$A$1:$A$1001,customers!$G$1:$G$1001,,0)</f>
        <v>United States</v>
      </c>
      <c r="I509" s="4" t="str">
        <f>INDEX(products!$A$1:$G$49,MATCH(orders!$D509,products!$A$1:$A$49,0),MATCH(orders!I$1,products!$A$1:$G$1,0))</f>
        <v>Ara</v>
      </c>
      <c r="J509" s="4" t="str">
        <f>INDEX(products!$A$1:$G$49,MATCH(orders!$D509,products!$A$1:$A$49,0),MATCH(orders!J$1,products!$A$1:$G$1,0))</f>
        <v>L</v>
      </c>
      <c r="K509" s="6">
        <f>INDEX(products!$A$1:$G$49,MATCH(orders!$D509,products!$A$1:$A$49,0),MATCH(orders!K$1,products!$A$1:$G$1,0))</f>
        <v>2.5</v>
      </c>
      <c r="L509" s="7">
        <f>INDEX(products!$A$1:$G$49,MATCH(orders!$D509,products!$A$1:$A$49,0),MATCH(orders!L$1,products!$A$1:$G$1,0))</f>
        <v>29.784999999999997</v>
      </c>
      <c r="M509" s="7">
        <f t="shared" si="7"/>
        <v>89.35499999999999</v>
      </c>
      <c r="N509" s="4" t="str" cm="1">
        <f t="array" ref="N509">_xlfn.IFS(I509="Rob","Robusta",I509="Exc","Excelsa",I509="Ara","Arabica",I509="Lib","Liberica")</f>
        <v>Arabica</v>
      </c>
      <c r="O509" s="4" t="str" cm="1">
        <f t="array" ref="O509">_xlfn.IFS(J509="M","Medium",J509="L","Light",J509="D","Dark")</f>
        <v>Light</v>
      </c>
      <c r="P509" s="4" t="str">
        <f>_xlfn.XLOOKUP(CoffeeOrderstable[[#This Row],[Customer ID]],customers!$A$1:$A$1001,customers!$I$1:$I$1001,,0)</f>
        <v>Yes</v>
      </c>
    </row>
    <row r="510" spans="1:16" x14ac:dyDescent="0.3">
      <c r="A510" s="3" t="s">
        <v>3361</v>
      </c>
      <c r="B510" s="5">
        <v>44210</v>
      </c>
      <c r="C510" s="3" t="s">
        <v>3362</v>
      </c>
      <c r="D510" s="4" t="s">
        <v>6169</v>
      </c>
      <c r="E510" s="3">
        <v>6</v>
      </c>
      <c r="F510" s="3" t="str">
        <f>_xlfn.XLOOKUP(C510,customers!$A$1:$A$1001,customers!$B$1:$B$1001,,0)</f>
        <v>Heall Perris</v>
      </c>
      <c r="G510" s="3" t="str">
        <f>IF(_xlfn.XLOOKUP(C510,customers!$A$1:$A$1001,customers!$C$1:$C$1001,,0)=0,"", _xlfn.XLOOKUP(C510,customers!$A$1:$A$1001,customers!$C$1:$C$1001,,0))</f>
        <v>hperrise4@studiopress.com</v>
      </c>
      <c r="H510" s="3" t="str">
        <f>_xlfn.XLOOKUP(C510,customers!$A$1:$A$1001,customers!$G$1:$G$1001,,0)</f>
        <v>Ireland</v>
      </c>
      <c r="I510" s="4" t="str">
        <f>INDEX(products!$A$1:$G$49,MATCH(orders!$D510,products!$A$1:$A$49,0),MATCH(orders!I$1,products!$A$1:$G$1,0))</f>
        <v>Lib</v>
      </c>
      <c r="J510" s="4" t="str">
        <f>INDEX(products!$A$1:$G$49,MATCH(orders!$D510,products!$A$1:$A$49,0),MATCH(orders!J$1,products!$A$1:$G$1,0))</f>
        <v>D</v>
      </c>
      <c r="K510" s="6">
        <f>INDEX(products!$A$1:$G$49,MATCH(orders!$D510,products!$A$1:$A$49,0),MATCH(orders!K$1,products!$A$1:$G$1,0))</f>
        <v>0.5</v>
      </c>
      <c r="L510" s="7">
        <f>INDEX(products!$A$1:$G$49,MATCH(orders!$D510,products!$A$1:$A$49,0),MATCH(orders!L$1,products!$A$1:$G$1,0))</f>
        <v>7.77</v>
      </c>
      <c r="M510" s="7">
        <f t="shared" si="7"/>
        <v>46.62</v>
      </c>
      <c r="N510" s="4" t="str" cm="1">
        <f t="array" ref="N510">_xlfn.IFS(I510="Rob","Robusta",I510="Exc","Excelsa",I510="Ara","Arabica",I510="Lib","Liberica")</f>
        <v>Liberica</v>
      </c>
      <c r="O510" s="4" t="str" cm="1">
        <f t="array" ref="O510">_xlfn.IFS(J510="M","Medium",J510="L","Light",J510="D","Dark")</f>
        <v>Dark</v>
      </c>
      <c r="P510" s="4" t="str">
        <f>_xlfn.XLOOKUP(CoffeeOrderstable[[#This Row],[Customer ID]],customers!$A$1:$A$1001,customers!$I$1:$I$1001,,0)</f>
        <v>No</v>
      </c>
    </row>
    <row r="511" spans="1:16" x14ac:dyDescent="0.3">
      <c r="A511" s="3" t="s">
        <v>3367</v>
      </c>
      <c r="B511" s="5">
        <v>43785</v>
      </c>
      <c r="C511" s="3" t="s">
        <v>3368</v>
      </c>
      <c r="D511" s="4" t="s">
        <v>6147</v>
      </c>
      <c r="E511" s="3">
        <v>3</v>
      </c>
      <c r="F511" s="3" t="str">
        <f>_xlfn.XLOOKUP(C511,customers!$A$1:$A$1001,customers!$B$1:$B$1001,,0)</f>
        <v>Marja Urion</v>
      </c>
      <c r="G511" s="3" t="str">
        <f>IF(_xlfn.XLOOKUP(C511,customers!$A$1:$A$1001,customers!$C$1:$C$1001,,0)=0,"", _xlfn.XLOOKUP(C511,customers!$A$1:$A$1001,customers!$C$1:$C$1001,,0))</f>
        <v>murione5@alexa.com</v>
      </c>
      <c r="H511" s="3" t="str">
        <f>_xlfn.XLOOKUP(C511,customers!$A$1:$A$1001,customers!$G$1:$G$1001,,0)</f>
        <v>Ireland</v>
      </c>
      <c r="I511" s="4" t="str">
        <f>INDEX(products!$A$1:$G$49,MATCH(orders!$D511,products!$A$1:$A$49,0),MATCH(orders!I$1,products!$A$1:$G$1,0))</f>
        <v>Ara</v>
      </c>
      <c r="J511" s="4" t="str">
        <f>INDEX(products!$A$1:$G$49,MATCH(orders!$D511,products!$A$1:$A$49,0),MATCH(orders!J$1,products!$A$1:$G$1,0))</f>
        <v>D</v>
      </c>
      <c r="K511" s="6">
        <f>INDEX(products!$A$1:$G$49,MATCH(orders!$D511,products!$A$1:$A$49,0),MATCH(orders!K$1,products!$A$1:$G$1,0))</f>
        <v>1</v>
      </c>
      <c r="L511" s="7">
        <f>INDEX(products!$A$1:$G$49,MATCH(orders!$D511,products!$A$1:$A$49,0),MATCH(orders!L$1,products!$A$1:$G$1,0))</f>
        <v>9.9499999999999993</v>
      </c>
      <c r="M511" s="7">
        <f t="shared" si="7"/>
        <v>29.849999999999998</v>
      </c>
      <c r="N511" s="4" t="str" cm="1">
        <f t="array" ref="N511">_xlfn.IFS(I511="Rob","Robusta",I511="Exc","Excelsa",I511="Ara","Arabica",I511="Lib","Liberica")</f>
        <v>Arabica</v>
      </c>
      <c r="O511" s="4" t="str" cm="1">
        <f t="array" ref="O511">_xlfn.IFS(J511="M","Medium",J511="L","Light",J511="D","Dark")</f>
        <v>Dark</v>
      </c>
      <c r="P511" s="4" t="str">
        <f>_xlfn.XLOOKUP(CoffeeOrderstable[[#This Row],[Customer ID]],customers!$A$1:$A$1001,customers!$I$1:$I$1001,,0)</f>
        <v>Yes</v>
      </c>
    </row>
    <row r="512" spans="1:16" x14ac:dyDescent="0.3">
      <c r="A512" s="3" t="s">
        <v>3373</v>
      </c>
      <c r="B512" s="5">
        <v>43803</v>
      </c>
      <c r="C512" s="3" t="s">
        <v>3374</v>
      </c>
      <c r="D512" s="4" t="s">
        <v>6178</v>
      </c>
      <c r="E512" s="3">
        <v>3</v>
      </c>
      <c r="F512" s="3" t="str">
        <f>_xlfn.XLOOKUP(C512,customers!$A$1:$A$1001,customers!$B$1:$B$1001,,0)</f>
        <v>Camellia Kid</v>
      </c>
      <c r="G512" s="3" t="str">
        <f>IF(_xlfn.XLOOKUP(C512,customers!$A$1:$A$1001,customers!$C$1:$C$1001,,0)=0,"", _xlfn.XLOOKUP(C512,customers!$A$1:$A$1001,customers!$C$1:$C$1001,,0))</f>
        <v>ckide6@narod.ru</v>
      </c>
      <c r="H512" s="3" t="str">
        <f>_xlfn.XLOOKUP(C512,customers!$A$1:$A$1001,customers!$G$1:$G$1001,,0)</f>
        <v>Ireland</v>
      </c>
      <c r="I512" s="4" t="str">
        <f>INDEX(products!$A$1:$G$49,MATCH(orders!$D512,products!$A$1:$A$49,0),MATCH(orders!I$1,products!$A$1:$G$1,0))</f>
        <v>Rob</v>
      </c>
      <c r="J512" s="4" t="str">
        <f>INDEX(products!$A$1:$G$49,MATCH(orders!$D512,products!$A$1:$A$49,0),MATCH(orders!J$1,products!$A$1:$G$1,0))</f>
        <v>L</v>
      </c>
      <c r="K512" s="6">
        <f>INDEX(products!$A$1:$G$49,MATCH(orders!$D512,products!$A$1:$A$49,0),MATCH(orders!K$1,products!$A$1:$G$1,0))</f>
        <v>0.2</v>
      </c>
      <c r="L512" s="7">
        <f>INDEX(products!$A$1:$G$49,MATCH(orders!$D512,products!$A$1:$A$49,0),MATCH(orders!L$1,products!$A$1:$G$1,0))</f>
        <v>3.5849999999999995</v>
      </c>
      <c r="M512" s="7">
        <f t="shared" si="7"/>
        <v>10.754999999999999</v>
      </c>
      <c r="N512" s="4" t="str" cm="1">
        <f t="array" ref="N512">_xlfn.IFS(I512="Rob","Robusta",I512="Exc","Excelsa",I512="Ara","Arabica",I512="Lib","Liberica")</f>
        <v>Robusta</v>
      </c>
      <c r="O512" s="4" t="str" cm="1">
        <f t="array" ref="O512">_xlfn.IFS(J512="M","Medium",J512="L","Light",J512="D","Dark")</f>
        <v>Light</v>
      </c>
      <c r="P512" s="4" t="str">
        <f>_xlfn.XLOOKUP(CoffeeOrderstable[[#This Row],[Customer ID]],customers!$A$1:$A$1001,customers!$I$1:$I$1001,,0)</f>
        <v>Yes</v>
      </c>
    </row>
    <row r="513" spans="1:16" x14ac:dyDescent="0.3">
      <c r="A513" s="3" t="s">
        <v>3379</v>
      </c>
      <c r="B513" s="5">
        <v>44043</v>
      </c>
      <c r="C513" s="3" t="s">
        <v>3380</v>
      </c>
      <c r="D513" s="4" t="s">
        <v>6152</v>
      </c>
      <c r="E513" s="3">
        <v>4</v>
      </c>
      <c r="F513" s="3" t="str">
        <f>_xlfn.XLOOKUP(C513,customers!$A$1:$A$1001,customers!$B$1:$B$1001,,0)</f>
        <v>Carolann Beine</v>
      </c>
      <c r="G513" s="3" t="str">
        <f>IF(_xlfn.XLOOKUP(C513,customers!$A$1:$A$1001,customers!$C$1:$C$1001,,0)=0,"", _xlfn.XLOOKUP(C513,customers!$A$1:$A$1001,customers!$C$1:$C$1001,,0))</f>
        <v>cbeinee7@xinhuanet.com</v>
      </c>
      <c r="H513" s="3" t="str">
        <f>_xlfn.XLOOKUP(C513,customers!$A$1:$A$1001,customers!$G$1:$G$1001,,0)</f>
        <v>United States</v>
      </c>
      <c r="I513" s="4" t="str">
        <f>INDEX(products!$A$1:$G$49,MATCH(orders!$D513,products!$A$1:$A$49,0),MATCH(orders!I$1,products!$A$1:$G$1,0))</f>
        <v>Ara</v>
      </c>
      <c r="J513" s="4" t="str">
        <f>INDEX(products!$A$1:$G$49,MATCH(orders!$D513,products!$A$1:$A$49,0),MATCH(orders!J$1,products!$A$1:$G$1,0))</f>
        <v>M</v>
      </c>
      <c r="K513" s="6">
        <f>INDEX(products!$A$1:$G$49,MATCH(orders!$D513,products!$A$1:$A$49,0),MATCH(orders!K$1,products!$A$1:$G$1,0))</f>
        <v>0.2</v>
      </c>
      <c r="L513" s="7">
        <f>INDEX(products!$A$1:$G$49,MATCH(orders!$D513,products!$A$1:$A$49,0),MATCH(orders!L$1,products!$A$1:$G$1,0))</f>
        <v>3.375</v>
      </c>
      <c r="M513" s="7">
        <f t="shared" si="7"/>
        <v>13.5</v>
      </c>
      <c r="N513" s="4" t="str" cm="1">
        <f t="array" ref="N513">_xlfn.IFS(I513="Rob","Robusta",I513="Exc","Excelsa",I513="Ara","Arabica",I513="Lib","Liberica")</f>
        <v>Arabica</v>
      </c>
      <c r="O513" s="4" t="str" cm="1">
        <f t="array" ref="O513">_xlfn.IFS(J513="M","Medium",J513="L","Light",J513="D","Dark")</f>
        <v>Medium</v>
      </c>
      <c r="P513" s="4" t="str">
        <f>_xlfn.XLOOKUP(CoffeeOrderstable[[#This Row],[Customer ID]],customers!$A$1:$A$1001,customers!$I$1:$I$1001,,0)</f>
        <v>Yes</v>
      </c>
    </row>
    <row r="514" spans="1:16" x14ac:dyDescent="0.3">
      <c r="A514" s="3" t="s">
        <v>3385</v>
      </c>
      <c r="B514" s="5">
        <v>43535</v>
      </c>
      <c r="C514" s="3" t="s">
        <v>3386</v>
      </c>
      <c r="D514" s="4" t="s">
        <v>6170</v>
      </c>
      <c r="E514" s="3">
        <v>3</v>
      </c>
      <c r="F514" s="3" t="str">
        <f>_xlfn.XLOOKUP(C514,customers!$A$1:$A$1001,customers!$B$1:$B$1001,,0)</f>
        <v>Celia Bakeup</v>
      </c>
      <c r="G514" s="3" t="str">
        <f>IF(_xlfn.XLOOKUP(C514,customers!$A$1:$A$1001,customers!$C$1:$C$1001,,0)=0,"", _xlfn.XLOOKUP(C514,customers!$A$1:$A$1001,customers!$C$1:$C$1001,,0))</f>
        <v>cbakeupe8@globo.com</v>
      </c>
      <c r="H514" s="3" t="str">
        <f>_xlfn.XLOOKUP(C514,customers!$A$1:$A$1001,customers!$G$1:$G$1001,,0)</f>
        <v>United States</v>
      </c>
      <c r="I514" s="4" t="str">
        <f>INDEX(products!$A$1:$G$49,MATCH(orders!$D514,products!$A$1:$A$49,0),MATCH(orders!I$1,products!$A$1:$G$1,0))</f>
        <v>Lib</v>
      </c>
      <c r="J514" s="4" t="str">
        <f>INDEX(products!$A$1:$G$49,MATCH(orders!$D514,products!$A$1:$A$49,0),MATCH(orders!J$1,products!$A$1:$G$1,0))</f>
        <v>L</v>
      </c>
      <c r="K514" s="6">
        <f>INDEX(products!$A$1:$G$49,MATCH(orders!$D514,products!$A$1:$A$49,0),MATCH(orders!K$1,products!$A$1:$G$1,0))</f>
        <v>1</v>
      </c>
      <c r="L514" s="7">
        <f>INDEX(products!$A$1:$G$49,MATCH(orders!$D514,products!$A$1:$A$49,0),MATCH(orders!L$1,products!$A$1:$G$1,0))</f>
        <v>15.85</v>
      </c>
      <c r="M514" s="7">
        <f t="shared" si="7"/>
        <v>47.55</v>
      </c>
      <c r="N514" s="4" t="str" cm="1">
        <f t="array" ref="N514">_xlfn.IFS(I514="Rob","Robusta",I514="Exc","Excelsa",I514="Ara","Arabica",I514="Lib","Liberica")</f>
        <v>Liberica</v>
      </c>
      <c r="O514" s="4" t="str" cm="1">
        <f t="array" ref="O514">_xlfn.IFS(J514="M","Medium",J514="L","Light",J514="D","Dark")</f>
        <v>Light</v>
      </c>
      <c r="P514" s="4" t="str">
        <f>_xlfn.XLOOKUP(CoffeeOrderstable[[#This Row],[Customer ID]],customers!$A$1:$A$1001,customers!$I$1:$I$1001,,0)</f>
        <v>No</v>
      </c>
    </row>
    <row r="515" spans="1:16" x14ac:dyDescent="0.3">
      <c r="A515" s="3" t="s">
        <v>3391</v>
      </c>
      <c r="B515" s="5">
        <v>44691</v>
      </c>
      <c r="C515" s="3" t="s">
        <v>3392</v>
      </c>
      <c r="D515" s="4" t="s">
        <v>6170</v>
      </c>
      <c r="E515" s="3">
        <v>5</v>
      </c>
      <c r="F515" s="3" t="str">
        <f>_xlfn.XLOOKUP(C515,customers!$A$1:$A$1001,customers!$B$1:$B$1001,,0)</f>
        <v>Nataniel Helkin</v>
      </c>
      <c r="G515" s="3" t="str">
        <f>IF(_xlfn.XLOOKUP(C515,customers!$A$1:$A$1001,customers!$C$1:$C$1001,,0)=0,"", _xlfn.XLOOKUP(C515,customers!$A$1:$A$1001,customers!$C$1:$C$1001,,0))</f>
        <v>nhelkine9@example.com</v>
      </c>
      <c r="H515" s="3" t="str">
        <f>_xlfn.XLOOKUP(C515,customers!$A$1:$A$1001,customers!$G$1:$G$1001,,0)</f>
        <v>United States</v>
      </c>
      <c r="I515" s="4" t="str">
        <f>INDEX(products!$A$1:$G$49,MATCH(orders!$D515,products!$A$1:$A$49,0),MATCH(orders!I$1,products!$A$1:$G$1,0))</f>
        <v>Lib</v>
      </c>
      <c r="J515" s="4" t="str">
        <f>INDEX(products!$A$1:$G$49,MATCH(orders!$D515,products!$A$1:$A$49,0),MATCH(orders!J$1,products!$A$1:$G$1,0))</f>
        <v>L</v>
      </c>
      <c r="K515" s="6">
        <f>INDEX(products!$A$1:$G$49,MATCH(orders!$D515,products!$A$1:$A$49,0),MATCH(orders!K$1,products!$A$1:$G$1,0))</f>
        <v>1</v>
      </c>
      <c r="L515" s="7">
        <f>INDEX(products!$A$1:$G$49,MATCH(orders!$D515,products!$A$1:$A$49,0),MATCH(orders!L$1,products!$A$1:$G$1,0))</f>
        <v>15.85</v>
      </c>
      <c r="M515" s="7">
        <f t="shared" ref="M515:M578" si="8">L515*E515</f>
        <v>79.25</v>
      </c>
      <c r="N515" s="4" t="str" cm="1">
        <f t="array" ref="N515">_xlfn.IFS(I515="Rob","Robusta",I515="Exc","Excelsa",I515="Ara","Arabica",I515="Lib","Liberica")</f>
        <v>Liberica</v>
      </c>
      <c r="O515" s="4" t="str" cm="1">
        <f t="array" ref="O515">_xlfn.IFS(J515="M","Medium",J515="L","Light",J515="D","Dark")</f>
        <v>Light</v>
      </c>
      <c r="P515" s="4" t="str">
        <f>_xlfn.XLOOKUP(CoffeeOrderstable[[#This Row],[Customer ID]],customers!$A$1:$A$1001,customers!$I$1:$I$1001,,0)</f>
        <v>No</v>
      </c>
    </row>
    <row r="516" spans="1:16" x14ac:dyDescent="0.3">
      <c r="A516" s="3" t="s">
        <v>3396</v>
      </c>
      <c r="B516" s="5">
        <v>44555</v>
      </c>
      <c r="C516" s="3" t="s">
        <v>3397</v>
      </c>
      <c r="D516" s="4" t="s">
        <v>6159</v>
      </c>
      <c r="E516" s="3">
        <v>6</v>
      </c>
      <c r="F516" s="3" t="str">
        <f>_xlfn.XLOOKUP(C516,customers!$A$1:$A$1001,customers!$B$1:$B$1001,,0)</f>
        <v>Pippo Witherington</v>
      </c>
      <c r="G516" s="3" t="str">
        <f>IF(_xlfn.XLOOKUP(C516,customers!$A$1:$A$1001,customers!$C$1:$C$1001,,0)=0,"", _xlfn.XLOOKUP(C516,customers!$A$1:$A$1001,customers!$C$1:$C$1001,,0))</f>
        <v>pwitheringtonea@networkadvertising.org</v>
      </c>
      <c r="H516" s="3" t="str">
        <f>_xlfn.XLOOKUP(C516,customers!$A$1:$A$1001,customers!$G$1:$G$1001,,0)</f>
        <v>United States</v>
      </c>
      <c r="I516" s="4" t="str">
        <f>INDEX(products!$A$1:$G$49,MATCH(orders!$D516,products!$A$1:$A$49,0),MATCH(orders!I$1,products!$A$1:$G$1,0))</f>
        <v>Lib</v>
      </c>
      <c r="J516" s="4" t="str">
        <f>INDEX(products!$A$1:$G$49,MATCH(orders!$D516,products!$A$1:$A$49,0),MATCH(orders!J$1,products!$A$1:$G$1,0))</f>
        <v>M</v>
      </c>
      <c r="K516" s="6">
        <f>INDEX(products!$A$1:$G$49,MATCH(orders!$D516,products!$A$1:$A$49,0),MATCH(orders!K$1,products!$A$1:$G$1,0))</f>
        <v>0.2</v>
      </c>
      <c r="L516" s="7">
        <f>INDEX(products!$A$1:$G$49,MATCH(orders!$D516,products!$A$1:$A$49,0),MATCH(orders!L$1,products!$A$1:$G$1,0))</f>
        <v>4.3650000000000002</v>
      </c>
      <c r="M516" s="7">
        <f t="shared" si="8"/>
        <v>26.19</v>
      </c>
      <c r="N516" s="4" t="str" cm="1">
        <f t="array" ref="N516">_xlfn.IFS(I516="Rob","Robusta",I516="Exc","Excelsa",I516="Ara","Arabica",I516="Lib","Liberica")</f>
        <v>Liberica</v>
      </c>
      <c r="O516" s="4" t="str" cm="1">
        <f t="array" ref="O516">_xlfn.IFS(J516="M","Medium",J516="L","Light",J516="D","Dark")</f>
        <v>Medium</v>
      </c>
      <c r="P516" s="4" t="str">
        <f>_xlfn.XLOOKUP(CoffeeOrderstable[[#This Row],[Customer ID]],customers!$A$1:$A$1001,customers!$I$1:$I$1001,,0)</f>
        <v>Yes</v>
      </c>
    </row>
    <row r="517" spans="1:16" x14ac:dyDescent="0.3">
      <c r="A517" s="3" t="s">
        <v>3402</v>
      </c>
      <c r="B517" s="5">
        <v>44673</v>
      </c>
      <c r="C517" s="3" t="s">
        <v>3403</v>
      </c>
      <c r="D517" s="4" t="s">
        <v>6173</v>
      </c>
      <c r="E517" s="3">
        <v>3</v>
      </c>
      <c r="F517" s="3" t="str">
        <f>_xlfn.XLOOKUP(C517,customers!$A$1:$A$1001,customers!$B$1:$B$1001,,0)</f>
        <v>Tildie Tilzey</v>
      </c>
      <c r="G517" s="3" t="str">
        <f>IF(_xlfn.XLOOKUP(C517,customers!$A$1:$A$1001,customers!$C$1:$C$1001,,0)=0,"", _xlfn.XLOOKUP(C517,customers!$A$1:$A$1001,customers!$C$1:$C$1001,,0))</f>
        <v>ttilzeyeb@hostgator.com</v>
      </c>
      <c r="H517" s="3" t="str">
        <f>_xlfn.XLOOKUP(C517,customers!$A$1:$A$1001,customers!$G$1:$G$1001,,0)</f>
        <v>United States</v>
      </c>
      <c r="I517" s="4" t="str">
        <f>INDEX(products!$A$1:$G$49,MATCH(orders!$D517,products!$A$1:$A$49,0),MATCH(orders!I$1,products!$A$1:$G$1,0))</f>
        <v>Rob</v>
      </c>
      <c r="J517" s="4" t="str">
        <f>INDEX(products!$A$1:$G$49,MATCH(orders!$D517,products!$A$1:$A$49,0),MATCH(orders!J$1,products!$A$1:$G$1,0))</f>
        <v>L</v>
      </c>
      <c r="K517" s="6">
        <f>INDEX(products!$A$1:$G$49,MATCH(orders!$D517,products!$A$1:$A$49,0),MATCH(orders!K$1,products!$A$1:$G$1,0))</f>
        <v>0.5</v>
      </c>
      <c r="L517" s="7">
        <f>INDEX(products!$A$1:$G$49,MATCH(orders!$D517,products!$A$1:$A$49,0),MATCH(orders!L$1,products!$A$1:$G$1,0))</f>
        <v>7.169999999999999</v>
      </c>
      <c r="M517" s="7">
        <f t="shared" si="8"/>
        <v>21.509999999999998</v>
      </c>
      <c r="N517" s="4" t="str" cm="1">
        <f t="array" ref="N517">_xlfn.IFS(I517="Rob","Robusta",I517="Exc","Excelsa",I517="Ara","Arabica",I517="Lib","Liberica")</f>
        <v>Robusta</v>
      </c>
      <c r="O517" s="4" t="str" cm="1">
        <f t="array" ref="O517">_xlfn.IFS(J517="M","Medium",J517="L","Light",J517="D","Dark")</f>
        <v>Light</v>
      </c>
      <c r="P517" s="4" t="str">
        <f>_xlfn.XLOOKUP(CoffeeOrderstable[[#This Row],[Customer ID]],customers!$A$1:$A$1001,customers!$I$1:$I$1001,,0)</f>
        <v>No</v>
      </c>
    </row>
    <row r="518" spans="1:16" x14ac:dyDescent="0.3">
      <c r="A518" s="3" t="s">
        <v>3408</v>
      </c>
      <c r="B518" s="5">
        <v>44723</v>
      </c>
      <c r="C518" s="3" t="s">
        <v>3409</v>
      </c>
      <c r="D518" s="4" t="s">
        <v>6149</v>
      </c>
      <c r="E518" s="3">
        <v>5</v>
      </c>
      <c r="F518" s="3" t="str">
        <f>_xlfn.XLOOKUP(C518,customers!$A$1:$A$1001,customers!$B$1:$B$1001,,0)</f>
        <v>Cindra Burling</v>
      </c>
      <c r="G518" s="3" t="str">
        <f>IF(_xlfn.XLOOKUP(C518,customers!$A$1:$A$1001,customers!$C$1:$C$1001,,0)=0,"", _xlfn.XLOOKUP(C518,customers!$A$1:$A$1001,customers!$C$1:$C$1001,,0))</f>
        <v/>
      </c>
      <c r="H518" s="3" t="str">
        <f>_xlfn.XLOOKUP(C518,customers!$A$1:$A$1001,customers!$G$1:$G$1001,,0)</f>
        <v>United States</v>
      </c>
      <c r="I518" s="4" t="str">
        <f>INDEX(products!$A$1:$G$49,MATCH(orders!$D518,products!$A$1:$A$49,0),MATCH(orders!I$1,products!$A$1:$G$1,0))</f>
        <v>Rob</v>
      </c>
      <c r="J518" s="4" t="str">
        <f>INDEX(products!$A$1:$G$49,MATCH(orders!$D518,products!$A$1:$A$49,0),MATCH(orders!J$1,products!$A$1:$G$1,0))</f>
        <v>D</v>
      </c>
      <c r="K518" s="6">
        <f>INDEX(products!$A$1:$G$49,MATCH(orders!$D518,products!$A$1:$A$49,0),MATCH(orders!K$1,products!$A$1:$G$1,0))</f>
        <v>2.5</v>
      </c>
      <c r="L518" s="7">
        <f>INDEX(products!$A$1:$G$49,MATCH(orders!$D518,products!$A$1:$A$49,0),MATCH(orders!L$1,products!$A$1:$G$1,0))</f>
        <v>20.584999999999997</v>
      </c>
      <c r="M518" s="7">
        <f t="shared" si="8"/>
        <v>102.92499999999998</v>
      </c>
      <c r="N518" s="4" t="str" cm="1">
        <f t="array" ref="N518">_xlfn.IFS(I518="Rob","Robusta",I518="Exc","Excelsa",I518="Ara","Arabica",I518="Lib","Liberica")</f>
        <v>Robusta</v>
      </c>
      <c r="O518" s="4" t="str" cm="1">
        <f t="array" ref="O518">_xlfn.IFS(J518="M","Medium",J518="L","Light",J518="D","Dark")</f>
        <v>Dark</v>
      </c>
      <c r="P518" s="4" t="str">
        <f>_xlfn.XLOOKUP(CoffeeOrderstable[[#This Row],[Customer ID]],customers!$A$1:$A$1001,customers!$I$1:$I$1001,,0)</f>
        <v>Yes</v>
      </c>
    </row>
    <row r="519" spans="1:16" x14ac:dyDescent="0.3">
      <c r="A519" s="3" t="s">
        <v>3413</v>
      </c>
      <c r="B519" s="5">
        <v>44678</v>
      </c>
      <c r="C519" s="3" t="s">
        <v>3414</v>
      </c>
      <c r="D519" s="4" t="s">
        <v>6150</v>
      </c>
      <c r="E519" s="3">
        <v>2</v>
      </c>
      <c r="F519" s="3" t="str">
        <f>_xlfn.XLOOKUP(C519,customers!$A$1:$A$1001,customers!$B$1:$B$1001,,0)</f>
        <v>Channa Belamy</v>
      </c>
      <c r="G519" s="3" t="str">
        <f>IF(_xlfn.XLOOKUP(C519,customers!$A$1:$A$1001,customers!$C$1:$C$1001,,0)=0,"", _xlfn.XLOOKUP(C519,customers!$A$1:$A$1001,customers!$C$1:$C$1001,,0))</f>
        <v/>
      </c>
      <c r="H519" s="3" t="str">
        <f>_xlfn.XLOOKUP(C519,customers!$A$1:$A$1001,customers!$G$1:$G$1001,,0)</f>
        <v>United States</v>
      </c>
      <c r="I519" s="4" t="str">
        <f>INDEX(products!$A$1:$G$49,MATCH(orders!$D519,products!$A$1:$A$49,0),MATCH(orders!I$1,products!$A$1:$G$1,0))</f>
        <v>Lib</v>
      </c>
      <c r="J519" s="4" t="str">
        <f>INDEX(products!$A$1:$G$49,MATCH(orders!$D519,products!$A$1:$A$49,0),MATCH(orders!J$1,products!$A$1:$G$1,0))</f>
        <v>D</v>
      </c>
      <c r="K519" s="6">
        <f>INDEX(products!$A$1:$G$49,MATCH(orders!$D519,products!$A$1:$A$49,0),MATCH(orders!K$1,products!$A$1:$G$1,0))</f>
        <v>0.2</v>
      </c>
      <c r="L519" s="7">
        <f>INDEX(products!$A$1:$G$49,MATCH(orders!$D519,products!$A$1:$A$49,0),MATCH(orders!L$1,products!$A$1:$G$1,0))</f>
        <v>3.8849999999999998</v>
      </c>
      <c r="M519" s="7">
        <f t="shared" si="8"/>
        <v>7.77</v>
      </c>
      <c r="N519" s="4" t="str" cm="1">
        <f t="array" ref="N519">_xlfn.IFS(I519="Rob","Robusta",I519="Exc","Excelsa",I519="Ara","Arabica",I519="Lib","Liberica")</f>
        <v>Liberica</v>
      </c>
      <c r="O519" s="4" t="str" cm="1">
        <f t="array" ref="O519">_xlfn.IFS(J519="M","Medium",J519="L","Light",J519="D","Dark")</f>
        <v>Dark</v>
      </c>
      <c r="P519" s="4" t="str">
        <f>_xlfn.XLOOKUP(CoffeeOrderstable[[#This Row],[Customer ID]],customers!$A$1:$A$1001,customers!$I$1:$I$1001,,0)</f>
        <v>No</v>
      </c>
    </row>
    <row r="520" spans="1:16" x14ac:dyDescent="0.3">
      <c r="A520" s="3" t="s">
        <v>3418</v>
      </c>
      <c r="B520" s="5">
        <v>44194</v>
      </c>
      <c r="C520" s="3" t="s">
        <v>3419</v>
      </c>
      <c r="D520" s="4" t="s">
        <v>6185</v>
      </c>
      <c r="E520" s="3">
        <v>5</v>
      </c>
      <c r="F520" s="3" t="str">
        <f>_xlfn.XLOOKUP(C520,customers!$A$1:$A$1001,customers!$B$1:$B$1001,,0)</f>
        <v>Karl Imorts</v>
      </c>
      <c r="G520" s="3" t="str">
        <f>IF(_xlfn.XLOOKUP(C520,customers!$A$1:$A$1001,customers!$C$1:$C$1001,,0)=0,"", _xlfn.XLOOKUP(C520,customers!$A$1:$A$1001,customers!$C$1:$C$1001,,0))</f>
        <v>kimortsee@alexa.com</v>
      </c>
      <c r="H520" s="3" t="str">
        <f>_xlfn.XLOOKUP(C520,customers!$A$1:$A$1001,customers!$G$1:$G$1001,,0)</f>
        <v>United States</v>
      </c>
      <c r="I520" s="4" t="str">
        <f>INDEX(products!$A$1:$G$49,MATCH(orders!$D520,products!$A$1:$A$49,0),MATCH(orders!I$1,products!$A$1:$G$1,0))</f>
        <v>Exc</v>
      </c>
      <c r="J520" s="4" t="str">
        <f>INDEX(products!$A$1:$G$49,MATCH(orders!$D520,products!$A$1:$A$49,0),MATCH(orders!J$1,products!$A$1:$G$1,0))</f>
        <v>D</v>
      </c>
      <c r="K520" s="6">
        <f>INDEX(products!$A$1:$G$49,MATCH(orders!$D520,products!$A$1:$A$49,0),MATCH(orders!K$1,products!$A$1:$G$1,0))</f>
        <v>2.5</v>
      </c>
      <c r="L520" s="7">
        <f>INDEX(products!$A$1:$G$49,MATCH(orders!$D520,products!$A$1:$A$49,0),MATCH(orders!L$1,products!$A$1:$G$1,0))</f>
        <v>27.945</v>
      </c>
      <c r="M520" s="7">
        <f t="shared" si="8"/>
        <v>139.72499999999999</v>
      </c>
      <c r="N520" s="4" t="str" cm="1">
        <f t="array" ref="N520">_xlfn.IFS(I520="Rob","Robusta",I520="Exc","Excelsa",I520="Ara","Arabica",I520="Lib","Liberica")</f>
        <v>Excelsa</v>
      </c>
      <c r="O520" s="4" t="str" cm="1">
        <f t="array" ref="O520">_xlfn.IFS(J520="M","Medium",J520="L","Light",J520="D","Dark")</f>
        <v>Dark</v>
      </c>
      <c r="P520" s="4" t="str">
        <f>_xlfn.XLOOKUP(CoffeeOrderstable[[#This Row],[Customer ID]],customers!$A$1:$A$1001,customers!$I$1:$I$1001,,0)</f>
        <v>No</v>
      </c>
    </row>
    <row r="521" spans="1:16" x14ac:dyDescent="0.3">
      <c r="A521" s="3" t="s">
        <v>3424</v>
      </c>
      <c r="B521" s="5">
        <v>44026</v>
      </c>
      <c r="C521" s="3" t="s">
        <v>3368</v>
      </c>
      <c r="D521" s="4" t="s">
        <v>6158</v>
      </c>
      <c r="E521" s="3">
        <v>2</v>
      </c>
      <c r="F521" s="3" t="str">
        <f>_xlfn.XLOOKUP(C521,customers!$A$1:$A$1001,customers!$B$1:$B$1001,,0)</f>
        <v>Marja Urion</v>
      </c>
      <c r="G521" s="3" t="str">
        <f>IF(_xlfn.XLOOKUP(C521,customers!$A$1:$A$1001,customers!$C$1:$C$1001,,0)=0,"", _xlfn.XLOOKUP(C521,customers!$A$1:$A$1001,customers!$C$1:$C$1001,,0))</f>
        <v>murione5@alexa.com</v>
      </c>
      <c r="H521" s="3" t="str">
        <f>_xlfn.XLOOKUP(C521,customers!$A$1:$A$1001,customers!$G$1:$G$1001,,0)</f>
        <v>Ireland</v>
      </c>
      <c r="I521" s="4" t="str">
        <f>INDEX(products!$A$1:$G$49,MATCH(orders!$D521,products!$A$1:$A$49,0),MATCH(orders!I$1,products!$A$1:$G$1,0))</f>
        <v>Ara</v>
      </c>
      <c r="J521" s="4" t="str">
        <f>INDEX(products!$A$1:$G$49,MATCH(orders!$D521,products!$A$1:$A$49,0),MATCH(orders!J$1,products!$A$1:$G$1,0))</f>
        <v>D</v>
      </c>
      <c r="K521" s="6">
        <f>INDEX(products!$A$1:$G$49,MATCH(orders!$D521,products!$A$1:$A$49,0),MATCH(orders!K$1,products!$A$1:$G$1,0))</f>
        <v>0.5</v>
      </c>
      <c r="L521" s="7">
        <f>INDEX(products!$A$1:$G$49,MATCH(orders!$D521,products!$A$1:$A$49,0),MATCH(orders!L$1,products!$A$1:$G$1,0))</f>
        <v>5.97</v>
      </c>
      <c r="M521" s="7">
        <f t="shared" si="8"/>
        <v>11.94</v>
      </c>
      <c r="N521" s="4" t="str" cm="1">
        <f t="array" ref="N521">_xlfn.IFS(I521="Rob","Robusta",I521="Exc","Excelsa",I521="Ara","Arabica",I521="Lib","Liberica")</f>
        <v>Arabica</v>
      </c>
      <c r="O521" s="4" t="str" cm="1">
        <f t="array" ref="O521">_xlfn.IFS(J521="M","Medium",J521="L","Light",J521="D","Dark")</f>
        <v>Dark</v>
      </c>
      <c r="P521" s="4" t="str">
        <f>_xlfn.XLOOKUP(CoffeeOrderstable[[#This Row],[Customer ID]],customers!$A$1:$A$1001,customers!$I$1:$I$1001,,0)</f>
        <v>Yes</v>
      </c>
    </row>
    <row r="522" spans="1:16" x14ac:dyDescent="0.3">
      <c r="A522" s="3" t="s">
        <v>3430</v>
      </c>
      <c r="B522" s="5">
        <v>44446</v>
      </c>
      <c r="C522" s="3" t="s">
        <v>3431</v>
      </c>
      <c r="D522" s="4" t="s">
        <v>6150</v>
      </c>
      <c r="E522" s="3">
        <v>1</v>
      </c>
      <c r="F522" s="3" t="str">
        <f>_xlfn.XLOOKUP(C522,customers!$A$1:$A$1001,customers!$B$1:$B$1001,,0)</f>
        <v>Mag Armistead</v>
      </c>
      <c r="G522" s="3" t="str">
        <f>IF(_xlfn.XLOOKUP(C522,customers!$A$1:$A$1001,customers!$C$1:$C$1001,,0)=0,"", _xlfn.XLOOKUP(C522,customers!$A$1:$A$1001,customers!$C$1:$C$1001,,0))</f>
        <v>marmisteadeg@blogtalkradio.com</v>
      </c>
      <c r="H522" s="3" t="str">
        <f>_xlfn.XLOOKUP(C522,customers!$A$1:$A$1001,customers!$G$1:$G$1001,,0)</f>
        <v>United States</v>
      </c>
      <c r="I522" s="4" t="str">
        <f>INDEX(products!$A$1:$G$49,MATCH(orders!$D522,products!$A$1:$A$49,0),MATCH(orders!I$1,products!$A$1:$G$1,0))</f>
        <v>Lib</v>
      </c>
      <c r="J522" s="4" t="str">
        <f>INDEX(products!$A$1:$G$49,MATCH(orders!$D522,products!$A$1:$A$49,0),MATCH(orders!J$1,products!$A$1:$G$1,0))</f>
        <v>D</v>
      </c>
      <c r="K522" s="6">
        <f>INDEX(products!$A$1:$G$49,MATCH(orders!$D522,products!$A$1:$A$49,0),MATCH(orders!K$1,products!$A$1:$G$1,0))</f>
        <v>0.2</v>
      </c>
      <c r="L522" s="7">
        <f>INDEX(products!$A$1:$G$49,MATCH(orders!$D522,products!$A$1:$A$49,0),MATCH(orders!L$1,products!$A$1:$G$1,0))</f>
        <v>3.8849999999999998</v>
      </c>
      <c r="M522" s="7">
        <f t="shared" si="8"/>
        <v>3.8849999999999998</v>
      </c>
      <c r="N522" s="4" t="str" cm="1">
        <f t="array" ref="N522">_xlfn.IFS(I522="Rob","Robusta",I522="Exc","Excelsa",I522="Ara","Arabica",I522="Lib","Liberica")</f>
        <v>Liberica</v>
      </c>
      <c r="O522" s="4" t="str" cm="1">
        <f t="array" ref="O522">_xlfn.IFS(J522="M","Medium",J522="L","Light",J522="D","Dark")</f>
        <v>Dark</v>
      </c>
      <c r="P522" s="4" t="str">
        <f>_xlfn.XLOOKUP(CoffeeOrderstable[[#This Row],[Customer ID]],customers!$A$1:$A$1001,customers!$I$1:$I$1001,,0)</f>
        <v>No</v>
      </c>
    </row>
    <row r="523" spans="1:16" x14ac:dyDescent="0.3">
      <c r="A523" s="3" t="s">
        <v>3430</v>
      </c>
      <c r="B523" s="5">
        <v>44446</v>
      </c>
      <c r="C523" s="3" t="s">
        <v>3431</v>
      </c>
      <c r="D523" s="4" t="s">
        <v>6138</v>
      </c>
      <c r="E523" s="3">
        <v>4</v>
      </c>
      <c r="F523" s="3" t="str">
        <f>_xlfn.XLOOKUP(C523,customers!$A$1:$A$1001,customers!$B$1:$B$1001,,0)</f>
        <v>Mag Armistead</v>
      </c>
      <c r="G523" s="3" t="str">
        <f>IF(_xlfn.XLOOKUP(C523,customers!$A$1:$A$1001,customers!$C$1:$C$1001,,0)=0,"", _xlfn.XLOOKUP(C523,customers!$A$1:$A$1001,customers!$C$1:$C$1001,,0))</f>
        <v>marmisteadeg@blogtalkradio.com</v>
      </c>
      <c r="H523" s="3" t="str">
        <f>_xlfn.XLOOKUP(C523,customers!$A$1:$A$1001,customers!$G$1:$G$1001,,0)</f>
        <v>United States</v>
      </c>
      <c r="I523" s="4" t="str">
        <f>INDEX(products!$A$1:$G$49,MATCH(orders!$D523,products!$A$1:$A$49,0),MATCH(orders!I$1,products!$A$1:$G$1,0))</f>
        <v>Rob</v>
      </c>
      <c r="J523" s="4" t="str">
        <f>INDEX(products!$A$1:$G$49,MATCH(orders!$D523,products!$A$1:$A$49,0),MATCH(orders!J$1,products!$A$1:$G$1,0))</f>
        <v>M</v>
      </c>
      <c r="K523" s="6">
        <f>INDEX(products!$A$1:$G$49,MATCH(orders!$D523,products!$A$1:$A$49,0),MATCH(orders!K$1,products!$A$1:$G$1,0))</f>
        <v>1</v>
      </c>
      <c r="L523" s="7">
        <f>INDEX(products!$A$1:$G$49,MATCH(orders!$D523,products!$A$1:$A$49,0),MATCH(orders!L$1,products!$A$1:$G$1,0))</f>
        <v>9.9499999999999993</v>
      </c>
      <c r="M523" s="7">
        <f t="shared" si="8"/>
        <v>39.799999999999997</v>
      </c>
      <c r="N523" s="4" t="str" cm="1">
        <f t="array" ref="N523">_xlfn.IFS(I523="Rob","Robusta",I523="Exc","Excelsa",I523="Ara","Arabica",I523="Lib","Liberica")</f>
        <v>Robusta</v>
      </c>
      <c r="O523" s="4" t="str" cm="1">
        <f t="array" ref="O523">_xlfn.IFS(J523="M","Medium",J523="L","Light",J523="D","Dark")</f>
        <v>Medium</v>
      </c>
      <c r="P523" s="4" t="str">
        <f>_xlfn.XLOOKUP(CoffeeOrderstable[[#This Row],[Customer ID]],customers!$A$1:$A$1001,customers!$I$1:$I$1001,,0)</f>
        <v>No</v>
      </c>
    </row>
    <row r="524" spans="1:16" x14ac:dyDescent="0.3">
      <c r="A524" s="3" t="s">
        <v>3441</v>
      </c>
      <c r="B524" s="5">
        <v>43625</v>
      </c>
      <c r="C524" s="3" t="s">
        <v>3442</v>
      </c>
      <c r="D524" s="4" t="s">
        <v>6146</v>
      </c>
      <c r="E524" s="3">
        <v>5</v>
      </c>
      <c r="F524" s="3" t="str">
        <f>_xlfn.XLOOKUP(C524,customers!$A$1:$A$1001,customers!$B$1:$B$1001,,0)</f>
        <v>Vasili Upstone</v>
      </c>
      <c r="G524" s="3" t="str">
        <f>IF(_xlfn.XLOOKUP(C524,customers!$A$1:$A$1001,customers!$C$1:$C$1001,,0)=0,"", _xlfn.XLOOKUP(C524,customers!$A$1:$A$1001,customers!$C$1:$C$1001,,0))</f>
        <v>vupstoneei@google.pl</v>
      </c>
      <c r="H524" s="3" t="str">
        <f>_xlfn.XLOOKUP(C524,customers!$A$1:$A$1001,customers!$G$1:$G$1001,,0)</f>
        <v>United States</v>
      </c>
      <c r="I524" s="4" t="str">
        <f>INDEX(products!$A$1:$G$49,MATCH(orders!$D524,products!$A$1:$A$49,0),MATCH(orders!I$1,products!$A$1:$G$1,0))</f>
        <v>Rob</v>
      </c>
      <c r="J524" s="4" t="str">
        <f>INDEX(products!$A$1:$G$49,MATCH(orders!$D524,products!$A$1:$A$49,0),MATCH(orders!J$1,products!$A$1:$G$1,0))</f>
        <v>M</v>
      </c>
      <c r="K524" s="6">
        <f>INDEX(products!$A$1:$G$49,MATCH(orders!$D524,products!$A$1:$A$49,0),MATCH(orders!K$1,products!$A$1:$G$1,0))</f>
        <v>0.5</v>
      </c>
      <c r="L524" s="7">
        <f>INDEX(products!$A$1:$G$49,MATCH(orders!$D524,products!$A$1:$A$49,0),MATCH(orders!L$1,products!$A$1:$G$1,0))</f>
        <v>5.97</v>
      </c>
      <c r="M524" s="7">
        <f t="shared" si="8"/>
        <v>29.849999999999998</v>
      </c>
      <c r="N524" s="4" t="str" cm="1">
        <f t="array" ref="N524">_xlfn.IFS(I524="Rob","Robusta",I524="Exc","Excelsa",I524="Ara","Arabica",I524="Lib","Liberica")</f>
        <v>Robusta</v>
      </c>
      <c r="O524" s="4" t="str" cm="1">
        <f t="array" ref="O524">_xlfn.IFS(J524="M","Medium",J524="L","Light",J524="D","Dark")</f>
        <v>Medium</v>
      </c>
      <c r="P524" s="4" t="str">
        <f>_xlfn.XLOOKUP(CoffeeOrderstable[[#This Row],[Customer ID]],customers!$A$1:$A$1001,customers!$I$1:$I$1001,,0)</f>
        <v>No</v>
      </c>
    </row>
    <row r="525" spans="1:16" x14ac:dyDescent="0.3">
      <c r="A525" s="3" t="s">
        <v>3447</v>
      </c>
      <c r="B525" s="5">
        <v>44129</v>
      </c>
      <c r="C525" s="3" t="s">
        <v>3448</v>
      </c>
      <c r="D525" s="4" t="s">
        <v>6165</v>
      </c>
      <c r="E525" s="3">
        <v>1</v>
      </c>
      <c r="F525" s="3" t="str">
        <f>_xlfn.XLOOKUP(C525,customers!$A$1:$A$1001,customers!$B$1:$B$1001,,0)</f>
        <v>Berty Beelby</v>
      </c>
      <c r="G525" s="3" t="str">
        <f>IF(_xlfn.XLOOKUP(C525,customers!$A$1:$A$1001,customers!$C$1:$C$1001,,0)=0,"", _xlfn.XLOOKUP(C525,customers!$A$1:$A$1001,customers!$C$1:$C$1001,,0))</f>
        <v>bbeelbyej@rediff.com</v>
      </c>
      <c r="H525" s="3" t="str">
        <f>_xlfn.XLOOKUP(C525,customers!$A$1:$A$1001,customers!$G$1:$G$1001,,0)</f>
        <v>Ireland</v>
      </c>
      <c r="I525" s="4" t="str">
        <f>INDEX(products!$A$1:$G$49,MATCH(orders!$D525,products!$A$1:$A$49,0),MATCH(orders!I$1,products!$A$1:$G$1,0))</f>
        <v>Lib</v>
      </c>
      <c r="J525" s="4" t="str">
        <f>INDEX(products!$A$1:$G$49,MATCH(orders!$D525,products!$A$1:$A$49,0),MATCH(orders!J$1,products!$A$1:$G$1,0))</f>
        <v>D</v>
      </c>
      <c r="K525" s="6">
        <f>INDEX(products!$A$1:$G$49,MATCH(orders!$D525,products!$A$1:$A$49,0),MATCH(orders!K$1,products!$A$1:$G$1,0))</f>
        <v>2.5</v>
      </c>
      <c r="L525" s="7">
        <f>INDEX(products!$A$1:$G$49,MATCH(orders!$D525,products!$A$1:$A$49,0),MATCH(orders!L$1,products!$A$1:$G$1,0))</f>
        <v>29.784999999999997</v>
      </c>
      <c r="M525" s="7">
        <f t="shared" si="8"/>
        <v>29.784999999999997</v>
      </c>
      <c r="N525" s="4" t="str" cm="1">
        <f t="array" ref="N525">_xlfn.IFS(I525="Rob","Robusta",I525="Exc","Excelsa",I525="Ara","Arabica",I525="Lib","Liberica")</f>
        <v>Liberica</v>
      </c>
      <c r="O525" s="4" t="str" cm="1">
        <f t="array" ref="O525">_xlfn.IFS(J525="M","Medium",J525="L","Light",J525="D","Dark")</f>
        <v>Dark</v>
      </c>
      <c r="P525" s="4" t="str">
        <f>_xlfn.XLOOKUP(CoffeeOrderstable[[#This Row],[Customer ID]],customers!$A$1:$A$1001,customers!$I$1:$I$1001,,0)</f>
        <v>No</v>
      </c>
    </row>
    <row r="526" spans="1:16" x14ac:dyDescent="0.3">
      <c r="A526" s="3" t="s">
        <v>3453</v>
      </c>
      <c r="B526" s="5">
        <v>44255</v>
      </c>
      <c r="C526" s="3" t="s">
        <v>3454</v>
      </c>
      <c r="D526" s="4" t="s">
        <v>6164</v>
      </c>
      <c r="E526" s="3">
        <v>2</v>
      </c>
      <c r="F526" s="3" t="str">
        <f>_xlfn.XLOOKUP(C526,customers!$A$1:$A$1001,customers!$B$1:$B$1001,,0)</f>
        <v>Erny Stenyng</v>
      </c>
      <c r="G526" s="3" t="str">
        <f>IF(_xlfn.XLOOKUP(C526,customers!$A$1:$A$1001,customers!$C$1:$C$1001,,0)=0,"", _xlfn.XLOOKUP(C526,customers!$A$1:$A$1001,customers!$C$1:$C$1001,,0))</f>
        <v/>
      </c>
      <c r="H526" s="3" t="str">
        <f>_xlfn.XLOOKUP(C526,customers!$A$1:$A$1001,customers!$G$1:$G$1001,,0)</f>
        <v>United States</v>
      </c>
      <c r="I526" s="4" t="str">
        <f>INDEX(products!$A$1:$G$49,MATCH(orders!$D526,products!$A$1:$A$49,0),MATCH(orders!I$1,products!$A$1:$G$1,0))</f>
        <v>Lib</v>
      </c>
      <c r="J526" s="4" t="str">
        <f>INDEX(products!$A$1:$G$49,MATCH(orders!$D526,products!$A$1:$A$49,0),MATCH(orders!J$1,products!$A$1:$G$1,0))</f>
        <v>L</v>
      </c>
      <c r="K526" s="6">
        <f>INDEX(products!$A$1:$G$49,MATCH(orders!$D526,products!$A$1:$A$49,0),MATCH(orders!K$1,products!$A$1:$G$1,0))</f>
        <v>2.5</v>
      </c>
      <c r="L526" s="7">
        <f>INDEX(products!$A$1:$G$49,MATCH(orders!$D526,products!$A$1:$A$49,0),MATCH(orders!L$1,products!$A$1:$G$1,0))</f>
        <v>36.454999999999998</v>
      </c>
      <c r="M526" s="7">
        <f t="shared" si="8"/>
        <v>72.91</v>
      </c>
      <c r="N526" s="4" t="str" cm="1">
        <f t="array" ref="N526">_xlfn.IFS(I526="Rob","Robusta",I526="Exc","Excelsa",I526="Ara","Arabica",I526="Lib","Liberica")</f>
        <v>Liberica</v>
      </c>
      <c r="O526" s="4" t="str" cm="1">
        <f t="array" ref="O526">_xlfn.IFS(J526="M","Medium",J526="L","Light",J526="D","Dark")</f>
        <v>Light</v>
      </c>
      <c r="P526" s="4" t="str">
        <f>_xlfn.XLOOKUP(CoffeeOrderstable[[#This Row],[Customer ID]],customers!$A$1:$A$1001,customers!$I$1:$I$1001,,0)</f>
        <v>No</v>
      </c>
    </row>
    <row r="527" spans="1:16" x14ac:dyDescent="0.3">
      <c r="A527" s="3" t="s">
        <v>3458</v>
      </c>
      <c r="B527" s="5">
        <v>44038</v>
      </c>
      <c r="C527" s="3" t="s">
        <v>3459</v>
      </c>
      <c r="D527" s="4" t="s">
        <v>6163</v>
      </c>
      <c r="E527" s="3">
        <v>5</v>
      </c>
      <c r="F527" s="3" t="str">
        <f>_xlfn.XLOOKUP(C527,customers!$A$1:$A$1001,customers!$B$1:$B$1001,,0)</f>
        <v>Edin Yantsurev</v>
      </c>
      <c r="G527" s="3" t="str">
        <f>IF(_xlfn.XLOOKUP(C527,customers!$A$1:$A$1001,customers!$C$1:$C$1001,,0)=0,"", _xlfn.XLOOKUP(C527,customers!$A$1:$A$1001,customers!$C$1:$C$1001,,0))</f>
        <v/>
      </c>
      <c r="H527" s="3" t="str">
        <f>_xlfn.XLOOKUP(C527,customers!$A$1:$A$1001,customers!$G$1:$G$1001,,0)</f>
        <v>United States</v>
      </c>
      <c r="I527" s="4" t="str">
        <f>INDEX(products!$A$1:$G$49,MATCH(orders!$D527,products!$A$1:$A$49,0),MATCH(orders!I$1,products!$A$1:$G$1,0))</f>
        <v>Rob</v>
      </c>
      <c r="J527" s="4" t="str">
        <f>INDEX(products!$A$1:$G$49,MATCH(orders!$D527,products!$A$1:$A$49,0),MATCH(orders!J$1,products!$A$1:$G$1,0))</f>
        <v>D</v>
      </c>
      <c r="K527" s="6">
        <f>INDEX(products!$A$1:$G$49,MATCH(orders!$D527,products!$A$1:$A$49,0),MATCH(orders!K$1,products!$A$1:$G$1,0))</f>
        <v>0.2</v>
      </c>
      <c r="L527" s="7">
        <f>INDEX(products!$A$1:$G$49,MATCH(orders!$D527,products!$A$1:$A$49,0),MATCH(orders!L$1,products!$A$1:$G$1,0))</f>
        <v>2.6849999999999996</v>
      </c>
      <c r="M527" s="7">
        <f t="shared" si="8"/>
        <v>13.424999999999997</v>
      </c>
      <c r="N527" s="4" t="str" cm="1">
        <f t="array" ref="N527">_xlfn.IFS(I527="Rob","Robusta",I527="Exc","Excelsa",I527="Ara","Arabica",I527="Lib","Liberica")</f>
        <v>Robusta</v>
      </c>
      <c r="O527" s="4" t="str" cm="1">
        <f t="array" ref="O527">_xlfn.IFS(J527="M","Medium",J527="L","Light",J527="D","Dark")</f>
        <v>Dark</v>
      </c>
      <c r="P527" s="4" t="str">
        <f>_xlfn.XLOOKUP(CoffeeOrderstable[[#This Row],[Customer ID]],customers!$A$1:$A$1001,customers!$I$1:$I$1001,,0)</f>
        <v>Yes</v>
      </c>
    </row>
    <row r="528" spans="1:16" x14ac:dyDescent="0.3">
      <c r="A528" s="3" t="s">
        <v>3463</v>
      </c>
      <c r="B528" s="5">
        <v>44717</v>
      </c>
      <c r="C528" s="3" t="s">
        <v>3464</v>
      </c>
      <c r="D528" s="4" t="s">
        <v>6166</v>
      </c>
      <c r="E528" s="3">
        <v>4</v>
      </c>
      <c r="F528" s="3" t="str">
        <f>_xlfn.XLOOKUP(C528,customers!$A$1:$A$1001,customers!$B$1:$B$1001,,0)</f>
        <v>Webb Speechly</v>
      </c>
      <c r="G528" s="3" t="str">
        <f>IF(_xlfn.XLOOKUP(C528,customers!$A$1:$A$1001,customers!$C$1:$C$1001,,0)=0,"", _xlfn.XLOOKUP(C528,customers!$A$1:$A$1001,customers!$C$1:$C$1001,,0))</f>
        <v>wspeechlyem@amazon.com</v>
      </c>
      <c r="H528" s="3" t="str">
        <f>_xlfn.XLOOKUP(C528,customers!$A$1:$A$1001,customers!$G$1:$G$1001,,0)</f>
        <v>United States</v>
      </c>
      <c r="I528" s="4" t="str">
        <f>INDEX(products!$A$1:$G$49,MATCH(orders!$D528,products!$A$1:$A$49,0),MATCH(orders!I$1,products!$A$1:$G$1,0))</f>
        <v>Exc</v>
      </c>
      <c r="J528" s="4" t="str">
        <f>INDEX(products!$A$1:$G$49,MATCH(orders!$D528,products!$A$1:$A$49,0),MATCH(orders!J$1,products!$A$1:$G$1,0))</f>
        <v>M</v>
      </c>
      <c r="K528" s="6">
        <f>INDEX(products!$A$1:$G$49,MATCH(orders!$D528,products!$A$1:$A$49,0),MATCH(orders!K$1,products!$A$1:$G$1,0))</f>
        <v>2.5</v>
      </c>
      <c r="L528" s="7">
        <f>INDEX(products!$A$1:$G$49,MATCH(orders!$D528,products!$A$1:$A$49,0),MATCH(orders!L$1,products!$A$1:$G$1,0))</f>
        <v>31.624999999999996</v>
      </c>
      <c r="M528" s="7">
        <f t="shared" si="8"/>
        <v>126.49999999999999</v>
      </c>
      <c r="N528" s="4" t="str" cm="1">
        <f t="array" ref="N528">_xlfn.IFS(I528="Rob","Robusta",I528="Exc","Excelsa",I528="Ara","Arabica",I528="Lib","Liberica")</f>
        <v>Excelsa</v>
      </c>
      <c r="O528" s="4" t="str" cm="1">
        <f t="array" ref="O528">_xlfn.IFS(J528="M","Medium",J528="L","Light",J528="D","Dark")</f>
        <v>Medium</v>
      </c>
      <c r="P528" s="4" t="str">
        <f>_xlfn.XLOOKUP(CoffeeOrderstable[[#This Row],[Customer ID]],customers!$A$1:$A$1001,customers!$I$1:$I$1001,,0)</f>
        <v>Yes</v>
      </c>
    </row>
    <row r="529" spans="1:16" x14ac:dyDescent="0.3">
      <c r="A529" s="3" t="s">
        <v>3469</v>
      </c>
      <c r="B529" s="5">
        <v>43517</v>
      </c>
      <c r="C529" s="3" t="s">
        <v>3470</v>
      </c>
      <c r="D529" s="4" t="s">
        <v>6139</v>
      </c>
      <c r="E529" s="3">
        <v>5</v>
      </c>
      <c r="F529" s="3" t="str">
        <f>_xlfn.XLOOKUP(C529,customers!$A$1:$A$1001,customers!$B$1:$B$1001,,0)</f>
        <v>Irvine Phillpot</v>
      </c>
      <c r="G529" s="3" t="str">
        <f>IF(_xlfn.XLOOKUP(C529,customers!$A$1:$A$1001,customers!$C$1:$C$1001,,0)=0,"", _xlfn.XLOOKUP(C529,customers!$A$1:$A$1001,customers!$C$1:$C$1001,,0))</f>
        <v>iphillpoten@buzzfeed.com</v>
      </c>
      <c r="H529" s="3" t="str">
        <f>_xlfn.XLOOKUP(C529,customers!$A$1:$A$1001,customers!$G$1:$G$1001,,0)</f>
        <v>United Kingdom</v>
      </c>
      <c r="I529" s="4" t="str">
        <f>INDEX(products!$A$1:$G$49,MATCH(orders!$D529,products!$A$1:$A$49,0),MATCH(orders!I$1,products!$A$1:$G$1,0))</f>
        <v>Exc</v>
      </c>
      <c r="J529" s="4" t="str">
        <f>INDEX(products!$A$1:$G$49,MATCH(orders!$D529,products!$A$1:$A$49,0),MATCH(orders!J$1,products!$A$1:$G$1,0))</f>
        <v>M</v>
      </c>
      <c r="K529" s="6">
        <f>INDEX(products!$A$1:$G$49,MATCH(orders!$D529,products!$A$1:$A$49,0),MATCH(orders!K$1,products!$A$1:$G$1,0))</f>
        <v>0.5</v>
      </c>
      <c r="L529" s="7">
        <f>INDEX(products!$A$1:$G$49,MATCH(orders!$D529,products!$A$1:$A$49,0),MATCH(orders!L$1,products!$A$1:$G$1,0))</f>
        <v>8.25</v>
      </c>
      <c r="M529" s="7">
        <f t="shared" si="8"/>
        <v>41.25</v>
      </c>
      <c r="N529" s="4" t="str" cm="1">
        <f t="array" ref="N529">_xlfn.IFS(I529="Rob","Robusta",I529="Exc","Excelsa",I529="Ara","Arabica",I529="Lib","Liberica")</f>
        <v>Excelsa</v>
      </c>
      <c r="O529" s="4" t="str" cm="1">
        <f t="array" ref="O529">_xlfn.IFS(J529="M","Medium",J529="L","Light",J529="D","Dark")</f>
        <v>Medium</v>
      </c>
      <c r="P529" s="4" t="str">
        <f>_xlfn.XLOOKUP(CoffeeOrderstable[[#This Row],[Customer ID]],customers!$A$1:$A$1001,customers!$I$1:$I$1001,,0)</f>
        <v>No</v>
      </c>
    </row>
    <row r="530" spans="1:16" x14ac:dyDescent="0.3">
      <c r="A530" s="3" t="s">
        <v>3475</v>
      </c>
      <c r="B530" s="5">
        <v>43926</v>
      </c>
      <c r="C530" s="3" t="s">
        <v>3476</v>
      </c>
      <c r="D530" s="4" t="s">
        <v>6176</v>
      </c>
      <c r="E530" s="3">
        <v>6</v>
      </c>
      <c r="F530" s="3" t="str">
        <f>_xlfn.XLOOKUP(C530,customers!$A$1:$A$1001,customers!$B$1:$B$1001,,0)</f>
        <v>Lem Pennacci</v>
      </c>
      <c r="G530" s="3" t="str">
        <f>IF(_xlfn.XLOOKUP(C530,customers!$A$1:$A$1001,customers!$C$1:$C$1001,,0)=0,"", _xlfn.XLOOKUP(C530,customers!$A$1:$A$1001,customers!$C$1:$C$1001,,0))</f>
        <v>lpennaccieo@statcounter.com</v>
      </c>
      <c r="H530" s="3" t="str">
        <f>_xlfn.XLOOKUP(C530,customers!$A$1:$A$1001,customers!$G$1:$G$1001,,0)</f>
        <v>United States</v>
      </c>
      <c r="I530" s="4" t="str">
        <f>INDEX(products!$A$1:$G$49,MATCH(orders!$D530,products!$A$1:$A$49,0),MATCH(orders!I$1,products!$A$1:$G$1,0))</f>
        <v>Exc</v>
      </c>
      <c r="J530" s="4" t="str">
        <f>INDEX(products!$A$1:$G$49,MATCH(orders!$D530,products!$A$1:$A$49,0),MATCH(orders!J$1,products!$A$1:$G$1,0))</f>
        <v>L</v>
      </c>
      <c r="K530" s="6">
        <f>INDEX(products!$A$1:$G$49,MATCH(orders!$D530,products!$A$1:$A$49,0),MATCH(orders!K$1,products!$A$1:$G$1,0))</f>
        <v>0.5</v>
      </c>
      <c r="L530" s="7">
        <f>INDEX(products!$A$1:$G$49,MATCH(orders!$D530,products!$A$1:$A$49,0),MATCH(orders!L$1,products!$A$1:$G$1,0))</f>
        <v>8.91</v>
      </c>
      <c r="M530" s="7">
        <f t="shared" si="8"/>
        <v>53.46</v>
      </c>
      <c r="N530" s="4" t="str" cm="1">
        <f t="array" ref="N530">_xlfn.IFS(I530="Rob","Robusta",I530="Exc","Excelsa",I530="Ara","Arabica",I530="Lib","Liberica")</f>
        <v>Excelsa</v>
      </c>
      <c r="O530" s="4" t="str" cm="1">
        <f t="array" ref="O530">_xlfn.IFS(J530="M","Medium",J530="L","Light",J530="D","Dark")</f>
        <v>Light</v>
      </c>
      <c r="P530" s="4" t="str">
        <f>_xlfn.XLOOKUP(CoffeeOrderstable[[#This Row],[Customer ID]],customers!$A$1:$A$1001,customers!$I$1:$I$1001,,0)</f>
        <v>No</v>
      </c>
    </row>
    <row r="531" spans="1:16" x14ac:dyDescent="0.3">
      <c r="A531" s="3" t="s">
        <v>3481</v>
      </c>
      <c r="B531" s="5">
        <v>43475</v>
      </c>
      <c r="C531" s="3" t="s">
        <v>3482</v>
      </c>
      <c r="D531" s="4" t="s">
        <v>6138</v>
      </c>
      <c r="E531" s="3">
        <v>6</v>
      </c>
      <c r="F531" s="3" t="str">
        <f>_xlfn.XLOOKUP(C531,customers!$A$1:$A$1001,customers!$B$1:$B$1001,,0)</f>
        <v>Starr Arpin</v>
      </c>
      <c r="G531" s="3" t="str">
        <f>IF(_xlfn.XLOOKUP(C531,customers!$A$1:$A$1001,customers!$C$1:$C$1001,,0)=0,"", _xlfn.XLOOKUP(C531,customers!$A$1:$A$1001,customers!$C$1:$C$1001,,0))</f>
        <v>sarpinep@moonfruit.com</v>
      </c>
      <c r="H531" s="3" t="str">
        <f>_xlfn.XLOOKUP(C531,customers!$A$1:$A$1001,customers!$G$1:$G$1001,,0)</f>
        <v>United States</v>
      </c>
      <c r="I531" s="4" t="str">
        <f>INDEX(products!$A$1:$G$49,MATCH(orders!$D531,products!$A$1:$A$49,0),MATCH(orders!I$1,products!$A$1:$G$1,0))</f>
        <v>Rob</v>
      </c>
      <c r="J531" s="4" t="str">
        <f>INDEX(products!$A$1:$G$49,MATCH(orders!$D531,products!$A$1:$A$49,0),MATCH(orders!J$1,products!$A$1:$G$1,0))</f>
        <v>M</v>
      </c>
      <c r="K531" s="6">
        <f>INDEX(products!$A$1:$G$49,MATCH(orders!$D531,products!$A$1:$A$49,0),MATCH(orders!K$1,products!$A$1:$G$1,0))</f>
        <v>1</v>
      </c>
      <c r="L531" s="7">
        <f>INDEX(products!$A$1:$G$49,MATCH(orders!$D531,products!$A$1:$A$49,0),MATCH(orders!L$1,products!$A$1:$G$1,0))</f>
        <v>9.9499999999999993</v>
      </c>
      <c r="M531" s="7">
        <f t="shared" si="8"/>
        <v>59.699999999999996</v>
      </c>
      <c r="N531" s="4" t="str" cm="1">
        <f t="array" ref="N531">_xlfn.IFS(I531="Rob","Robusta",I531="Exc","Excelsa",I531="Ara","Arabica",I531="Lib","Liberica")</f>
        <v>Robusta</v>
      </c>
      <c r="O531" s="4" t="str" cm="1">
        <f t="array" ref="O531">_xlfn.IFS(J531="M","Medium",J531="L","Light",J531="D","Dark")</f>
        <v>Medium</v>
      </c>
      <c r="P531" s="4" t="str">
        <f>_xlfn.XLOOKUP(CoffeeOrderstable[[#This Row],[Customer ID]],customers!$A$1:$A$1001,customers!$I$1:$I$1001,,0)</f>
        <v>No</v>
      </c>
    </row>
    <row r="532" spans="1:16" x14ac:dyDescent="0.3">
      <c r="A532" s="3" t="s">
        <v>3487</v>
      </c>
      <c r="B532" s="5">
        <v>44663</v>
      </c>
      <c r="C532" s="3" t="s">
        <v>3488</v>
      </c>
      <c r="D532" s="4" t="s">
        <v>6138</v>
      </c>
      <c r="E532" s="3">
        <v>6</v>
      </c>
      <c r="F532" s="3" t="str">
        <f>_xlfn.XLOOKUP(C532,customers!$A$1:$A$1001,customers!$B$1:$B$1001,,0)</f>
        <v>Donny Fries</v>
      </c>
      <c r="G532" s="3" t="str">
        <f>IF(_xlfn.XLOOKUP(C532,customers!$A$1:$A$1001,customers!$C$1:$C$1001,,0)=0,"", _xlfn.XLOOKUP(C532,customers!$A$1:$A$1001,customers!$C$1:$C$1001,,0))</f>
        <v>dfrieseq@cargocollective.com</v>
      </c>
      <c r="H532" s="3" t="str">
        <f>_xlfn.XLOOKUP(C532,customers!$A$1:$A$1001,customers!$G$1:$G$1001,,0)</f>
        <v>United States</v>
      </c>
      <c r="I532" s="4" t="str">
        <f>INDEX(products!$A$1:$G$49,MATCH(orders!$D532,products!$A$1:$A$49,0),MATCH(orders!I$1,products!$A$1:$G$1,0))</f>
        <v>Rob</v>
      </c>
      <c r="J532" s="4" t="str">
        <f>INDEX(products!$A$1:$G$49,MATCH(orders!$D532,products!$A$1:$A$49,0),MATCH(orders!J$1,products!$A$1:$G$1,0))</f>
        <v>M</v>
      </c>
      <c r="K532" s="6">
        <f>INDEX(products!$A$1:$G$49,MATCH(orders!$D532,products!$A$1:$A$49,0),MATCH(orders!K$1,products!$A$1:$G$1,0))</f>
        <v>1</v>
      </c>
      <c r="L532" s="7">
        <f>INDEX(products!$A$1:$G$49,MATCH(orders!$D532,products!$A$1:$A$49,0),MATCH(orders!L$1,products!$A$1:$G$1,0))</f>
        <v>9.9499999999999993</v>
      </c>
      <c r="M532" s="7">
        <f t="shared" si="8"/>
        <v>59.699999999999996</v>
      </c>
      <c r="N532" s="4" t="str" cm="1">
        <f t="array" ref="N532">_xlfn.IFS(I532="Rob","Robusta",I532="Exc","Excelsa",I532="Ara","Arabica",I532="Lib","Liberica")</f>
        <v>Robusta</v>
      </c>
      <c r="O532" s="4" t="str" cm="1">
        <f t="array" ref="O532">_xlfn.IFS(J532="M","Medium",J532="L","Light",J532="D","Dark")</f>
        <v>Medium</v>
      </c>
      <c r="P532" s="4" t="str">
        <f>_xlfn.XLOOKUP(CoffeeOrderstable[[#This Row],[Customer ID]],customers!$A$1:$A$1001,customers!$I$1:$I$1001,,0)</f>
        <v>No</v>
      </c>
    </row>
    <row r="533" spans="1:16" x14ac:dyDescent="0.3">
      <c r="A533" s="3" t="s">
        <v>3493</v>
      </c>
      <c r="B533" s="5">
        <v>44591</v>
      </c>
      <c r="C533" s="3" t="s">
        <v>3494</v>
      </c>
      <c r="D533" s="4" t="s">
        <v>6177</v>
      </c>
      <c r="E533" s="3">
        <v>5</v>
      </c>
      <c r="F533" s="3" t="str">
        <f>_xlfn.XLOOKUP(C533,customers!$A$1:$A$1001,customers!$B$1:$B$1001,,0)</f>
        <v>Rana Sharer</v>
      </c>
      <c r="G533" s="3" t="str">
        <f>IF(_xlfn.XLOOKUP(C533,customers!$A$1:$A$1001,customers!$C$1:$C$1001,,0)=0,"", _xlfn.XLOOKUP(C533,customers!$A$1:$A$1001,customers!$C$1:$C$1001,,0))</f>
        <v>rsharerer@flavors.me</v>
      </c>
      <c r="H533" s="3" t="str">
        <f>_xlfn.XLOOKUP(C533,customers!$A$1:$A$1001,customers!$G$1:$G$1001,,0)</f>
        <v>United States</v>
      </c>
      <c r="I533" s="4" t="str">
        <f>INDEX(products!$A$1:$G$49,MATCH(orders!$D533,products!$A$1:$A$49,0),MATCH(orders!I$1,products!$A$1:$G$1,0))</f>
        <v>Rob</v>
      </c>
      <c r="J533" s="4" t="str">
        <f>INDEX(products!$A$1:$G$49,MATCH(orders!$D533,products!$A$1:$A$49,0),MATCH(orders!J$1,products!$A$1:$G$1,0))</f>
        <v>D</v>
      </c>
      <c r="K533" s="6">
        <f>INDEX(products!$A$1:$G$49,MATCH(orders!$D533,products!$A$1:$A$49,0),MATCH(orders!K$1,products!$A$1:$G$1,0))</f>
        <v>1</v>
      </c>
      <c r="L533" s="7">
        <f>INDEX(products!$A$1:$G$49,MATCH(orders!$D533,products!$A$1:$A$49,0),MATCH(orders!L$1,products!$A$1:$G$1,0))</f>
        <v>8.9499999999999993</v>
      </c>
      <c r="M533" s="7">
        <f t="shared" si="8"/>
        <v>44.75</v>
      </c>
      <c r="N533" s="4" t="str" cm="1">
        <f t="array" ref="N533">_xlfn.IFS(I533="Rob","Robusta",I533="Exc","Excelsa",I533="Ara","Arabica",I533="Lib","Liberica")</f>
        <v>Robusta</v>
      </c>
      <c r="O533" s="4" t="str" cm="1">
        <f t="array" ref="O533">_xlfn.IFS(J533="M","Medium",J533="L","Light",J533="D","Dark")</f>
        <v>Dark</v>
      </c>
      <c r="P533" s="4" t="str">
        <f>_xlfn.XLOOKUP(CoffeeOrderstable[[#This Row],[Customer ID]],customers!$A$1:$A$1001,customers!$I$1:$I$1001,,0)</f>
        <v>No</v>
      </c>
    </row>
    <row r="534" spans="1:16" x14ac:dyDescent="0.3">
      <c r="A534" s="3" t="s">
        <v>3499</v>
      </c>
      <c r="B534" s="5">
        <v>44330</v>
      </c>
      <c r="C534" s="3" t="s">
        <v>3500</v>
      </c>
      <c r="D534" s="4" t="s">
        <v>6139</v>
      </c>
      <c r="E534" s="3">
        <v>2</v>
      </c>
      <c r="F534" s="3" t="str">
        <f>_xlfn.XLOOKUP(C534,customers!$A$1:$A$1001,customers!$B$1:$B$1001,,0)</f>
        <v>Nannie Naseby</v>
      </c>
      <c r="G534" s="3" t="str">
        <f>IF(_xlfn.XLOOKUP(C534,customers!$A$1:$A$1001,customers!$C$1:$C$1001,,0)=0,"", _xlfn.XLOOKUP(C534,customers!$A$1:$A$1001,customers!$C$1:$C$1001,,0))</f>
        <v>nnasebyes@umich.edu</v>
      </c>
      <c r="H534" s="3" t="str">
        <f>_xlfn.XLOOKUP(C534,customers!$A$1:$A$1001,customers!$G$1:$G$1001,,0)</f>
        <v>United States</v>
      </c>
      <c r="I534" s="4" t="str">
        <f>INDEX(products!$A$1:$G$49,MATCH(orders!$D534,products!$A$1:$A$49,0),MATCH(orders!I$1,products!$A$1:$G$1,0))</f>
        <v>Exc</v>
      </c>
      <c r="J534" s="4" t="str">
        <f>INDEX(products!$A$1:$G$49,MATCH(orders!$D534,products!$A$1:$A$49,0),MATCH(orders!J$1,products!$A$1:$G$1,0))</f>
        <v>M</v>
      </c>
      <c r="K534" s="6">
        <f>INDEX(products!$A$1:$G$49,MATCH(orders!$D534,products!$A$1:$A$49,0),MATCH(orders!K$1,products!$A$1:$G$1,0))</f>
        <v>0.5</v>
      </c>
      <c r="L534" s="7">
        <f>INDEX(products!$A$1:$G$49,MATCH(orders!$D534,products!$A$1:$A$49,0),MATCH(orders!L$1,products!$A$1:$G$1,0))</f>
        <v>8.25</v>
      </c>
      <c r="M534" s="7">
        <f t="shared" si="8"/>
        <v>16.5</v>
      </c>
      <c r="N534" s="4" t="str" cm="1">
        <f t="array" ref="N534">_xlfn.IFS(I534="Rob","Robusta",I534="Exc","Excelsa",I534="Ara","Arabica",I534="Lib","Liberica")</f>
        <v>Excelsa</v>
      </c>
      <c r="O534" s="4" t="str" cm="1">
        <f t="array" ref="O534">_xlfn.IFS(J534="M","Medium",J534="L","Light",J534="D","Dark")</f>
        <v>Medium</v>
      </c>
      <c r="P534" s="4" t="str">
        <f>_xlfn.XLOOKUP(CoffeeOrderstable[[#This Row],[Customer ID]],customers!$A$1:$A$1001,customers!$I$1:$I$1001,,0)</f>
        <v>Yes</v>
      </c>
    </row>
    <row r="535" spans="1:16" x14ac:dyDescent="0.3">
      <c r="A535" s="3" t="s">
        <v>3505</v>
      </c>
      <c r="B535" s="5">
        <v>44724</v>
      </c>
      <c r="C535" s="3" t="s">
        <v>3506</v>
      </c>
      <c r="D535" s="4" t="s">
        <v>6172</v>
      </c>
      <c r="E535" s="3">
        <v>4</v>
      </c>
      <c r="F535" s="3" t="str">
        <f>_xlfn.XLOOKUP(C535,customers!$A$1:$A$1001,customers!$B$1:$B$1001,,0)</f>
        <v>Rea Offell</v>
      </c>
      <c r="G535" s="3" t="str">
        <f>IF(_xlfn.XLOOKUP(C535,customers!$A$1:$A$1001,customers!$C$1:$C$1001,,0)=0,"", _xlfn.XLOOKUP(C535,customers!$A$1:$A$1001,customers!$C$1:$C$1001,,0))</f>
        <v/>
      </c>
      <c r="H535" s="3" t="str">
        <f>_xlfn.XLOOKUP(C535,customers!$A$1:$A$1001,customers!$G$1:$G$1001,,0)</f>
        <v>United States</v>
      </c>
      <c r="I535" s="4" t="str">
        <f>INDEX(products!$A$1:$G$49,MATCH(orders!$D535,products!$A$1:$A$49,0),MATCH(orders!I$1,products!$A$1:$G$1,0))</f>
        <v>Rob</v>
      </c>
      <c r="J535" s="4" t="str">
        <f>INDEX(products!$A$1:$G$49,MATCH(orders!$D535,products!$A$1:$A$49,0),MATCH(orders!J$1,products!$A$1:$G$1,0))</f>
        <v>D</v>
      </c>
      <c r="K535" s="6">
        <f>INDEX(products!$A$1:$G$49,MATCH(orders!$D535,products!$A$1:$A$49,0),MATCH(orders!K$1,products!$A$1:$G$1,0))</f>
        <v>0.5</v>
      </c>
      <c r="L535" s="7">
        <f>INDEX(products!$A$1:$G$49,MATCH(orders!$D535,products!$A$1:$A$49,0),MATCH(orders!L$1,products!$A$1:$G$1,0))</f>
        <v>5.3699999999999992</v>
      </c>
      <c r="M535" s="7">
        <f t="shared" si="8"/>
        <v>21.479999999999997</v>
      </c>
      <c r="N535" s="4" t="str" cm="1">
        <f t="array" ref="N535">_xlfn.IFS(I535="Rob","Robusta",I535="Exc","Excelsa",I535="Ara","Arabica",I535="Lib","Liberica")</f>
        <v>Robusta</v>
      </c>
      <c r="O535" s="4" t="str" cm="1">
        <f t="array" ref="O535">_xlfn.IFS(J535="M","Medium",J535="L","Light",J535="D","Dark")</f>
        <v>Dark</v>
      </c>
      <c r="P535" s="4" t="str">
        <f>_xlfn.XLOOKUP(CoffeeOrderstable[[#This Row],[Customer ID]],customers!$A$1:$A$1001,customers!$I$1:$I$1001,,0)</f>
        <v>No</v>
      </c>
    </row>
    <row r="536" spans="1:16" x14ac:dyDescent="0.3">
      <c r="A536" s="3" t="s">
        <v>3510</v>
      </c>
      <c r="B536" s="5">
        <v>44563</v>
      </c>
      <c r="C536" s="3" t="s">
        <v>3511</v>
      </c>
      <c r="D536" s="4" t="s">
        <v>6151</v>
      </c>
      <c r="E536" s="3">
        <v>2</v>
      </c>
      <c r="F536" s="3" t="str">
        <f>_xlfn.XLOOKUP(C536,customers!$A$1:$A$1001,customers!$B$1:$B$1001,,0)</f>
        <v>Kris O'Cullen</v>
      </c>
      <c r="G536" s="3" t="str">
        <f>IF(_xlfn.XLOOKUP(C536,customers!$A$1:$A$1001,customers!$C$1:$C$1001,,0)=0,"", _xlfn.XLOOKUP(C536,customers!$A$1:$A$1001,customers!$C$1:$C$1001,,0))</f>
        <v>koculleneu@ca.gov</v>
      </c>
      <c r="H536" s="3" t="str">
        <f>_xlfn.XLOOKUP(C536,customers!$A$1:$A$1001,customers!$G$1:$G$1001,,0)</f>
        <v>Ireland</v>
      </c>
      <c r="I536" s="4" t="str">
        <f>INDEX(products!$A$1:$G$49,MATCH(orders!$D536,products!$A$1:$A$49,0),MATCH(orders!I$1,products!$A$1:$G$1,0))</f>
        <v>Rob</v>
      </c>
      <c r="J536" s="4" t="str">
        <f>INDEX(products!$A$1:$G$49,MATCH(orders!$D536,products!$A$1:$A$49,0),MATCH(orders!J$1,products!$A$1:$G$1,0))</f>
        <v>M</v>
      </c>
      <c r="K536" s="6">
        <f>INDEX(products!$A$1:$G$49,MATCH(orders!$D536,products!$A$1:$A$49,0),MATCH(orders!K$1,products!$A$1:$G$1,0))</f>
        <v>2.5</v>
      </c>
      <c r="L536" s="7">
        <f>INDEX(products!$A$1:$G$49,MATCH(orders!$D536,products!$A$1:$A$49,0),MATCH(orders!L$1,products!$A$1:$G$1,0))</f>
        <v>22.884999999999998</v>
      </c>
      <c r="M536" s="7">
        <f t="shared" si="8"/>
        <v>45.769999999999996</v>
      </c>
      <c r="N536" s="4" t="str" cm="1">
        <f t="array" ref="N536">_xlfn.IFS(I536="Rob","Robusta",I536="Exc","Excelsa",I536="Ara","Arabica",I536="Lib","Liberica")</f>
        <v>Robusta</v>
      </c>
      <c r="O536" s="4" t="str" cm="1">
        <f t="array" ref="O536">_xlfn.IFS(J536="M","Medium",J536="L","Light",J536="D","Dark")</f>
        <v>Medium</v>
      </c>
      <c r="P536" s="4" t="str">
        <f>_xlfn.XLOOKUP(CoffeeOrderstable[[#This Row],[Customer ID]],customers!$A$1:$A$1001,customers!$I$1:$I$1001,,0)</f>
        <v>Yes</v>
      </c>
    </row>
    <row r="537" spans="1:16" x14ac:dyDescent="0.3">
      <c r="A537" s="3" t="s">
        <v>3516</v>
      </c>
      <c r="B537" s="5">
        <v>44585</v>
      </c>
      <c r="C537" s="3" t="s">
        <v>3517</v>
      </c>
      <c r="D537" s="4" t="s">
        <v>6145</v>
      </c>
      <c r="E537" s="3">
        <v>2</v>
      </c>
      <c r="F537" s="3" t="str">
        <f>_xlfn.XLOOKUP(C537,customers!$A$1:$A$1001,customers!$B$1:$B$1001,,0)</f>
        <v>Timoteo Glisane</v>
      </c>
      <c r="G537" s="3" t="str">
        <f>IF(_xlfn.XLOOKUP(C537,customers!$A$1:$A$1001,customers!$C$1:$C$1001,,0)=0,"", _xlfn.XLOOKUP(C537,customers!$A$1:$A$1001,customers!$C$1:$C$1001,,0))</f>
        <v/>
      </c>
      <c r="H537" s="3" t="str">
        <f>_xlfn.XLOOKUP(C537,customers!$A$1:$A$1001,customers!$G$1:$G$1001,,0)</f>
        <v>Ireland</v>
      </c>
      <c r="I537" s="4" t="str">
        <f>INDEX(products!$A$1:$G$49,MATCH(orders!$D537,products!$A$1:$A$49,0),MATCH(orders!I$1,products!$A$1:$G$1,0))</f>
        <v>Lib</v>
      </c>
      <c r="J537" s="4" t="str">
        <f>INDEX(products!$A$1:$G$49,MATCH(orders!$D537,products!$A$1:$A$49,0),MATCH(orders!J$1,products!$A$1:$G$1,0))</f>
        <v>L</v>
      </c>
      <c r="K537" s="6">
        <f>INDEX(products!$A$1:$G$49,MATCH(orders!$D537,products!$A$1:$A$49,0),MATCH(orders!K$1,products!$A$1:$G$1,0))</f>
        <v>0.2</v>
      </c>
      <c r="L537" s="7">
        <f>INDEX(products!$A$1:$G$49,MATCH(orders!$D537,products!$A$1:$A$49,0),MATCH(orders!L$1,products!$A$1:$G$1,0))</f>
        <v>4.7549999999999999</v>
      </c>
      <c r="M537" s="7">
        <f t="shared" si="8"/>
        <v>9.51</v>
      </c>
      <c r="N537" s="4" t="str" cm="1">
        <f t="array" ref="N537">_xlfn.IFS(I537="Rob","Robusta",I537="Exc","Excelsa",I537="Ara","Arabica",I537="Lib","Liberica")</f>
        <v>Liberica</v>
      </c>
      <c r="O537" s="4" t="str" cm="1">
        <f t="array" ref="O537">_xlfn.IFS(J537="M","Medium",J537="L","Light",J537="D","Dark")</f>
        <v>Light</v>
      </c>
      <c r="P537" s="4" t="str">
        <f>_xlfn.XLOOKUP(CoffeeOrderstable[[#This Row],[Customer ID]],customers!$A$1:$A$1001,customers!$I$1:$I$1001,,0)</f>
        <v>No</v>
      </c>
    </row>
    <row r="538" spans="1:16" x14ac:dyDescent="0.3">
      <c r="A538" s="3" t="s">
        <v>3521</v>
      </c>
      <c r="B538" s="5">
        <v>43544</v>
      </c>
      <c r="C538" s="3" t="s">
        <v>3368</v>
      </c>
      <c r="D538" s="4" t="s">
        <v>6163</v>
      </c>
      <c r="E538" s="3">
        <v>3</v>
      </c>
      <c r="F538" s="3" t="str">
        <f>_xlfn.XLOOKUP(C538,customers!$A$1:$A$1001,customers!$B$1:$B$1001,,0)</f>
        <v>Marja Urion</v>
      </c>
      <c r="G538" s="3" t="str">
        <f>IF(_xlfn.XLOOKUP(C538,customers!$A$1:$A$1001,customers!$C$1:$C$1001,,0)=0,"", _xlfn.XLOOKUP(C538,customers!$A$1:$A$1001,customers!$C$1:$C$1001,,0))</f>
        <v>murione5@alexa.com</v>
      </c>
      <c r="H538" s="3" t="str">
        <f>_xlfn.XLOOKUP(C538,customers!$A$1:$A$1001,customers!$G$1:$G$1001,,0)</f>
        <v>Ireland</v>
      </c>
      <c r="I538" s="4" t="str">
        <f>INDEX(products!$A$1:$G$49,MATCH(orders!$D538,products!$A$1:$A$49,0),MATCH(orders!I$1,products!$A$1:$G$1,0))</f>
        <v>Rob</v>
      </c>
      <c r="J538" s="4" t="str">
        <f>INDEX(products!$A$1:$G$49,MATCH(orders!$D538,products!$A$1:$A$49,0),MATCH(orders!J$1,products!$A$1:$G$1,0))</f>
        <v>D</v>
      </c>
      <c r="K538" s="6">
        <f>INDEX(products!$A$1:$G$49,MATCH(orders!$D538,products!$A$1:$A$49,0),MATCH(orders!K$1,products!$A$1:$G$1,0))</f>
        <v>0.2</v>
      </c>
      <c r="L538" s="7">
        <f>INDEX(products!$A$1:$G$49,MATCH(orders!$D538,products!$A$1:$A$49,0),MATCH(orders!L$1,products!$A$1:$G$1,0))</f>
        <v>2.6849999999999996</v>
      </c>
      <c r="M538" s="7">
        <f t="shared" si="8"/>
        <v>8.0549999999999997</v>
      </c>
      <c r="N538" s="4" t="str" cm="1">
        <f t="array" ref="N538">_xlfn.IFS(I538="Rob","Robusta",I538="Exc","Excelsa",I538="Ara","Arabica",I538="Lib","Liberica")</f>
        <v>Robusta</v>
      </c>
      <c r="O538" s="4" t="str" cm="1">
        <f t="array" ref="O538">_xlfn.IFS(J538="M","Medium",J538="L","Light",J538="D","Dark")</f>
        <v>Dark</v>
      </c>
      <c r="P538" s="4" t="str">
        <f>_xlfn.XLOOKUP(CoffeeOrderstable[[#This Row],[Customer ID]],customers!$A$1:$A$1001,customers!$I$1:$I$1001,,0)</f>
        <v>Yes</v>
      </c>
    </row>
    <row r="539" spans="1:16" x14ac:dyDescent="0.3">
      <c r="A539" s="3" t="s">
        <v>3527</v>
      </c>
      <c r="B539" s="5">
        <v>44156</v>
      </c>
      <c r="C539" s="3" t="s">
        <v>3528</v>
      </c>
      <c r="D539" s="4" t="s">
        <v>6185</v>
      </c>
      <c r="E539" s="3">
        <v>4</v>
      </c>
      <c r="F539" s="3" t="str">
        <f>_xlfn.XLOOKUP(C539,customers!$A$1:$A$1001,customers!$B$1:$B$1001,,0)</f>
        <v>Hildegarde Brangan</v>
      </c>
      <c r="G539" s="3" t="str">
        <f>IF(_xlfn.XLOOKUP(C539,customers!$A$1:$A$1001,customers!$C$1:$C$1001,,0)=0,"", _xlfn.XLOOKUP(C539,customers!$A$1:$A$1001,customers!$C$1:$C$1001,,0))</f>
        <v>hbranganex@woothemes.com</v>
      </c>
      <c r="H539" s="3" t="str">
        <f>_xlfn.XLOOKUP(C539,customers!$A$1:$A$1001,customers!$G$1:$G$1001,,0)</f>
        <v>United States</v>
      </c>
      <c r="I539" s="4" t="str">
        <f>INDEX(products!$A$1:$G$49,MATCH(orders!$D539,products!$A$1:$A$49,0),MATCH(orders!I$1,products!$A$1:$G$1,0))</f>
        <v>Exc</v>
      </c>
      <c r="J539" s="4" t="str">
        <f>INDEX(products!$A$1:$G$49,MATCH(orders!$D539,products!$A$1:$A$49,0),MATCH(orders!J$1,products!$A$1:$G$1,0))</f>
        <v>D</v>
      </c>
      <c r="K539" s="6">
        <f>INDEX(products!$A$1:$G$49,MATCH(orders!$D539,products!$A$1:$A$49,0),MATCH(orders!K$1,products!$A$1:$G$1,0))</f>
        <v>2.5</v>
      </c>
      <c r="L539" s="7">
        <f>INDEX(products!$A$1:$G$49,MATCH(orders!$D539,products!$A$1:$A$49,0),MATCH(orders!L$1,products!$A$1:$G$1,0))</f>
        <v>27.945</v>
      </c>
      <c r="M539" s="7">
        <f t="shared" si="8"/>
        <v>111.78</v>
      </c>
      <c r="N539" s="4" t="str" cm="1">
        <f t="array" ref="N539">_xlfn.IFS(I539="Rob","Robusta",I539="Exc","Excelsa",I539="Ara","Arabica",I539="Lib","Liberica")</f>
        <v>Excelsa</v>
      </c>
      <c r="O539" s="4" t="str" cm="1">
        <f t="array" ref="O539">_xlfn.IFS(J539="M","Medium",J539="L","Light",J539="D","Dark")</f>
        <v>Dark</v>
      </c>
      <c r="P539" s="4" t="str">
        <f>_xlfn.XLOOKUP(CoffeeOrderstable[[#This Row],[Customer ID]],customers!$A$1:$A$1001,customers!$I$1:$I$1001,,0)</f>
        <v>Yes</v>
      </c>
    </row>
    <row r="540" spans="1:16" x14ac:dyDescent="0.3">
      <c r="A540" s="3" t="s">
        <v>3532</v>
      </c>
      <c r="B540" s="5">
        <v>44482</v>
      </c>
      <c r="C540" s="3" t="s">
        <v>3533</v>
      </c>
      <c r="D540" s="4" t="s">
        <v>6163</v>
      </c>
      <c r="E540" s="3">
        <v>4</v>
      </c>
      <c r="F540" s="3" t="str">
        <f>_xlfn.XLOOKUP(C540,customers!$A$1:$A$1001,customers!$B$1:$B$1001,,0)</f>
        <v>Amii Gallyon</v>
      </c>
      <c r="G540" s="3" t="str">
        <f>IF(_xlfn.XLOOKUP(C540,customers!$A$1:$A$1001,customers!$C$1:$C$1001,,0)=0,"", _xlfn.XLOOKUP(C540,customers!$A$1:$A$1001,customers!$C$1:$C$1001,,0))</f>
        <v>agallyoney@engadget.com</v>
      </c>
      <c r="H540" s="3" t="str">
        <f>_xlfn.XLOOKUP(C540,customers!$A$1:$A$1001,customers!$G$1:$G$1001,,0)</f>
        <v>United States</v>
      </c>
      <c r="I540" s="4" t="str">
        <f>INDEX(products!$A$1:$G$49,MATCH(orders!$D540,products!$A$1:$A$49,0),MATCH(orders!I$1,products!$A$1:$G$1,0))</f>
        <v>Rob</v>
      </c>
      <c r="J540" s="4" t="str">
        <f>INDEX(products!$A$1:$G$49,MATCH(orders!$D540,products!$A$1:$A$49,0),MATCH(orders!J$1,products!$A$1:$G$1,0))</f>
        <v>D</v>
      </c>
      <c r="K540" s="6">
        <f>INDEX(products!$A$1:$G$49,MATCH(orders!$D540,products!$A$1:$A$49,0),MATCH(orders!K$1,products!$A$1:$G$1,0))</f>
        <v>0.2</v>
      </c>
      <c r="L540" s="7">
        <f>INDEX(products!$A$1:$G$49,MATCH(orders!$D540,products!$A$1:$A$49,0),MATCH(orders!L$1,products!$A$1:$G$1,0))</f>
        <v>2.6849999999999996</v>
      </c>
      <c r="M540" s="7">
        <f t="shared" si="8"/>
        <v>10.739999999999998</v>
      </c>
      <c r="N540" s="4" t="str" cm="1">
        <f t="array" ref="N540">_xlfn.IFS(I540="Rob","Robusta",I540="Exc","Excelsa",I540="Ara","Arabica",I540="Lib","Liberica")</f>
        <v>Robusta</v>
      </c>
      <c r="O540" s="4" t="str" cm="1">
        <f t="array" ref="O540">_xlfn.IFS(J540="M","Medium",J540="L","Light",J540="D","Dark")</f>
        <v>Dark</v>
      </c>
      <c r="P540" s="4" t="str">
        <f>_xlfn.XLOOKUP(CoffeeOrderstable[[#This Row],[Customer ID]],customers!$A$1:$A$1001,customers!$I$1:$I$1001,,0)</f>
        <v>Yes</v>
      </c>
    </row>
    <row r="541" spans="1:16" x14ac:dyDescent="0.3">
      <c r="A541" s="3" t="s">
        <v>3537</v>
      </c>
      <c r="B541" s="5">
        <v>44488</v>
      </c>
      <c r="C541" s="3" t="s">
        <v>3538</v>
      </c>
      <c r="D541" s="4" t="s">
        <v>6172</v>
      </c>
      <c r="E541" s="3">
        <v>5</v>
      </c>
      <c r="F541" s="3" t="str">
        <f>_xlfn.XLOOKUP(C541,customers!$A$1:$A$1001,customers!$B$1:$B$1001,,0)</f>
        <v>Birgit Domange</v>
      </c>
      <c r="G541" s="3" t="str">
        <f>IF(_xlfn.XLOOKUP(C541,customers!$A$1:$A$1001,customers!$C$1:$C$1001,,0)=0,"", _xlfn.XLOOKUP(C541,customers!$A$1:$A$1001,customers!$C$1:$C$1001,,0))</f>
        <v>bdomangeez@yahoo.co.jp</v>
      </c>
      <c r="H541" s="3" t="str">
        <f>_xlfn.XLOOKUP(C541,customers!$A$1:$A$1001,customers!$G$1:$G$1001,,0)</f>
        <v>United States</v>
      </c>
      <c r="I541" s="4" t="str">
        <f>INDEX(products!$A$1:$G$49,MATCH(orders!$D541,products!$A$1:$A$49,0),MATCH(orders!I$1,products!$A$1:$G$1,0))</f>
        <v>Rob</v>
      </c>
      <c r="J541" s="4" t="str">
        <f>INDEX(products!$A$1:$G$49,MATCH(orders!$D541,products!$A$1:$A$49,0),MATCH(orders!J$1,products!$A$1:$G$1,0))</f>
        <v>D</v>
      </c>
      <c r="K541" s="6">
        <f>INDEX(products!$A$1:$G$49,MATCH(orders!$D541,products!$A$1:$A$49,0),MATCH(orders!K$1,products!$A$1:$G$1,0))</f>
        <v>0.5</v>
      </c>
      <c r="L541" s="7">
        <f>INDEX(products!$A$1:$G$49,MATCH(orders!$D541,products!$A$1:$A$49,0),MATCH(orders!L$1,products!$A$1:$G$1,0))</f>
        <v>5.3699999999999992</v>
      </c>
      <c r="M541" s="7">
        <f t="shared" si="8"/>
        <v>26.849999999999994</v>
      </c>
      <c r="N541" s="4" t="str" cm="1">
        <f t="array" ref="N541">_xlfn.IFS(I541="Rob","Robusta",I541="Exc","Excelsa",I541="Ara","Arabica",I541="Lib","Liberica")</f>
        <v>Robusta</v>
      </c>
      <c r="O541" s="4" t="str" cm="1">
        <f t="array" ref="O541">_xlfn.IFS(J541="M","Medium",J541="L","Light",J541="D","Dark")</f>
        <v>Dark</v>
      </c>
      <c r="P541" s="4" t="str">
        <f>_xlfn.XLOOKUP(CoffeeOrderstable[[#This Row],[Customer ID]],customers!$A$1:$A$1001,customers!$I$1:$I$1001,,0)</f>
        <v>No</v>
      </c>
    </row>
    <row r="542" spans="1:16" x14ac:dyDescent="0.3">
      <c r="A542" s="3" t="s">
        <v>3542</v>
      </c>
      <c r="B542" s="5">
        <v>43584</v>
      </c>
      <c r="C542" s="3" t="s">
        <v>3543</v>
      </c>
      <c r="D542" s="4" t="s">
        <v>6170</v>
      </c>
      <c r="E542" s="3">
        <v>4</v>
      </c>
      <c r="F542" s="3" t="str">
        <f>_xlfn.XLOOKUP(C542,customers!$A$1:$A$1001,customers!$B$1:$B$1001,,0)</f>
        <v>Killian Osler</v>
      </c>
      <c r="G542" s="3" t="str">
        <f>IF(_xlfn.XLOOKUP(C542,customers!$A$1:$A$1001,customers!$C$1:$C$1001,,0)=0,"", _xlfn.XLOOKUP(C542,customers!$A$1:$A$1001,customers!$C$1:$C$1001,,0))</f>
        <v>koslerf0@gmpg.org</v>
      </c>
      <c r="H542" s="3" t="str">
        <f>_xlfn.XLOOKUP(C542,customers!$A$1:$A$1001,customers!$G$1:$G$1001,,0)</f>
        <v>United States</v>
      </c>
      <c r="I542" s="4" t="str">
        <f>INDEX(products!$A$1:$G$49,MATCH(orders!$D542,products!$A$1:$A$49,0),MATCH(orders!I$1,products!$A$1:$G$1,0))</f>
        <v>Lib</v>
      </c>
      <c r="J542" s="4" t="str">
        <f>INDEX(products!$A$1:$G$49,MATCH(orders!$D542,products!$A$1:$A$49,0),MATCH(orders!J$1,products!$A$1:$G$1,0))</f>
        <v>L</v>
      </c>
      <c r="K542" s="6">
        <f>INDEX(products!$A$1:$G$49,MATCH(orders!$D542,products!$A$1:$A$49,0),MATCH(orders!K$1,products!$A$1:$G$1,0))</f>
        <v>1</v>
      </c>
      <c r="L542" s="7">
        <f>INDEX(products!$A$1:$G$49,MATCH(orders!$D542,products!$A$1:$A$49,0),MATCH(orders!L$1,products!$A$1:$G$1,0))</f>
        <v>15.85</v>
      </c>
      <c r="M542" s="7">
        <f t="shared" si="8"/>
        <v>63.4</v>
      </c>
      <c r="N542" s="4" t="str" cm="1">
        <f t="array" ref="N542">_xlfn.IFS(I542="Rob","Robusta",I542="Exc","Excelsa",I542="Ara","Arabica",I542="Lib","Liberica")</f>
        <v>Liberica</v>
      </c>
      <c r="O542" s="4" t="str" cm="1">
        <f t="array" ref="O542">_xlfn.IFS(J542="M","Medium",J542="L","Light",J542="D","Dark")</f>
        <v>Light</v>
      </c>
      <c r="P542" s="4" t="str">
        <f>_xlfn.XLOOKUP(CoffeeOrderstable[[#This Row],[Customer ID]],customers!$A$1:$A$1001,customers!$I$1:$I$1001,,0)</f>
        <v>Yes</v>
      </c>
    </row>
    <row r="543" spans="1:16" x14ac:dyDescent="0.3">
      <c r="A543" s="3" t="s">
        <v>3548</v>
      </c>
      <c r="B543" s="5">
        <v>43750</v>
      </c>
      <c r="C543" s="3" t="s">
        <v>3549</v>
      </c>
      <c r="D543" s="4" t="s">
        <v>6168</v>
      </c>
      <c r="E543" s="3">
        <v>1</v>
      </c>
      <c r="F543" s="3" t="str">
        <f>_xlfn.XLOOKUP(C543,customers!$A$1:$A$1001,customers!$B$1:$B$1001,,0)</f>
        <v>Lora Dukes</v>
      </c>
      <c r="G543" s="3" t="str">
        <f>IF(_xlfn.XLOOKUP(C543,customers!$A$1:$A$1001,customers!$C$1:$C$1001,,0)=0,"", _xlfn.XLOOKUP(C543,customers!$A$1:$A$1001,customers!$C$1:$C$1001,,0))</f>
        <v/>
      </c>
      <c r="H543" s="3" t="str">
        <f>_xlfn.XLOOKUP(C543,customers!$A$1:$A$1001,customers!$G$1:$G$1001,,0)</f>
        <v>Ireland</v>
      </c>
      <c r="I543" s="4" t="str">
        <f>INDEX(products!$A$1:$G$49,MATCH(orders!$D543,products!$A$1:$A$49,0),MATCH(orders!I$1,products!$A$1:$G$1,0))</f>
        <v>Ara</v>
      </c>
      <c r="J543" s="4" t="str">
        <f>INDEX(products!$A$1:$G$49,MATCH(orders!$D543,products!$A$1:$A$49,0),MATCH(orders!J$1,products!$A$1:$G$1,0))</f>
        <v>D</v>
      </c>
      <c r="K543" s="6">
        <f>INDEX(products!$A$1:$G$49,MATCH(orders!$D543,products!$A$1:$A$49,0),MATCH(orders!K$1,products!$A$1:$G$1,0))</f>
        <v>2.5</v>
      </c>
      <c r="L543" s="7">
        <f>INDEX(products!$A$1:$G$49,MATCH(orders!$D543,products!$A$1:$A$49,0),MATCH(orders!L$1,products!$A$1:$G$1,0))</f>
        <v>22.884999999999998</v>
      </c>
      <c r="M543" s="7">
        <f t="shared" si="8"/>
        <v>22.884999999999998</v>
      </c>
      <c r="N543" s="4" t="str" cm="1">
        <f t="array" ref="N543">_xlfn.IFS(I543="Rob","Robusta",I543="Exc","Excelsa",I543="Ara","Arabica",I543="Lib","Liberica")</f>
        <v>Arabica</v>
      </c>
      <c r="O543" s="4" t="str" cm="1">
        <f t="array" ref="O543">_xlfn.IFS(J543="M","Medium",J543="L","Light",J543="D","Dark")</f>
        <v>Dark</v>
      </c>
      <c r="P543" s="4" t="str">
        <f>_xlfn.XLOOKUP(CoffeeOrderstable[[#This Row],[Customer ID]],customers!$A$1:$A$1001,customers!$I$1:$I$1001,,0)</f>
        <v>Yes</v>
      </c>
    </row>
    <row r="544" spans="1:16" x14ac:dyDescent="0.3">
      <c r="A544" s="3" t="s">
        <v>3553</v>
      </c>
      <c r="B544" s="5">
        <v>44335</v>
      </c>
      <c r="C544" s="3" t="s">
        <v>3554</v>
      </c>
      <c r="D544" s="4" t="s">
        <v>6175</v>
      </c>
      <c r="E544" s="3">
        <v>4</v>
      </c>
      <c r="F544" s="3" t="str">
        <f>_xlfn.XLOOKUP(C544,customers!$A$1:$A$1001,customers!$B$1:$B$1001,,0)</f>
        <v>Zack Pellett</v>
      </c>
      <c r="G544" s="3" t="str">
        <f>IF(_xlfn.XLOOKUP(C544,customers!$A$1:$A$1001,customers!$C$1:$C$1001,,0)=0,"", _xlfn.XLOOKUP(C544,customers!$A$1:$A$1001,customers!$C$1:$C$1001,,0))</f>
        <v>zpellettf2@dailymotion.com</v>
      </c>
      <c r="H544" s="3" t="str">
        <f>_xlfn.XLOOKUP(C544,customers!$A$1:$A$1001,customers!$G$1:$G$1001,,0)</f>
        <v>United States</v>
      </c>
      <c r="I544" s="4" t="str">
        <f>INDEX(products!$A$1:$G$49,MATCH(orders!$D544,products!$A$1:$A$49,0),MATCH(orders!I$1,products!$A$1:$G$1,0))</f>
        <v>Ara</v>
      </c>
      <c r="J544" s="4" t="str">
        <f>INDEX(products!$A$1:$G$49,MATCH(orders!$D544,products!$A$1:$A$49,0),MATCH(orders!J$1,products!$A$1:$G$1,0))</f>
        <v>M</v>
      </c>
      <c r="K544" s="6">
        <f>INDEX(products!$A$1:$G$49,MATCH(orders!$D544,products!$A$1:$A$49,0),MATCH(orders!K$1,products!$A$1:$G$1,0))</f>
        <v>2.5</v>
      </c>
      <c r="L544" s="7">
        <f>INDEX(products!$A$1:$G$49,MATCH(orders!$D544,products!$A$1:$A$49,0),MATCH(orders!L$1,products!$A$1:$G$1,0))</f>
        <v>25.874999999999996</v>
      </c>
      <c r="M544" s="7">
        <f t="shared" si="8"/>
        <v>103.49999999999999</v>
      </c>
      <c r="N544" s="4" t="str" cm="1">
        <f t="array" ref="N544">_xlfn.IFS(I544="Rob","Robusta",I544="Exc","Excelsa",I544="Ara","Arabica",I544="Lib","Liberica")</f>
        <v>Arabica</v>
      </c>
      <c r="O544" s="4" t="str" cm="1">
        <f t="array" ref="O544">_xlfn.IFS(J544="M","Medium",J544="L","Light",J544="D","Dark")</f>
        <v>Medium</v>
      </c>
      <c r="P544" s="4" t="str">
        <f>_xlfn.XLOOKUP(CoffeeOrderstable[[#This Row],[Customer ID]],customers!$A$1:$A$1001,customers!$I$1:$I$1001,,0)</f>
        <v>No</v>
      </c>
    </row>
    <row r="545" spans="1:16" x14ac:dyDescent="0.3">
      <c r="A545" s="3" t="s">
        <v>3559</v>
      </c>
      <c r="B545" s="5">
        <v>44380</v>
      </c>
      <c r="C545" s="3" t="s">
        <v>3560</v>
      </c>
      <c r="D545" s="4" t="s">
        <v>6142</v>
      </c>
      <c r="E545" s="3">
        <v>2</v>
      </c>
      <c r="F545" s="3" t="str">
        <f>_xlfn.XLOOKUP(C545,customers!$A$1:$A$1001,customers!$B$1:$B$1001,,0)</f>
        <v>Ilaire Sprakes</v>
      </c>
      <c r="G545" s="3" t="str">
        <f>IF(_xlfn.XLOOKUP(C545,customers!$A$1:$A$1001,customers!$C$1:$C$1001,,0)=0,"", _xlfn.XLOOKUP(C545,customers!$A$1:$A$1001,customers!$C$1:$C$1001,,0))</f>
        <v>isprakesf3@spiegel.de</v>
      </c>
      <c r="H545" s="3" t="str">
        <f>_xlfn.XLOOKUP(C545,customers!$A$1:$A$1001,customers!$G$1:$G$1001,,0)</f>
        <v>United States</v>
      </c>
      <c r="I545" s="4" t="str">
        <f>INDEX(products!$A$1:$G$49,MATCH(orders!$D545,products!$A$1:$A$49,0),MATCH(orders!I$1,products!$A$1:$G$1,0))</f>
        <v>Rob</v>
      </c>
      <c r="J545" s="4" t="str">
        <f>INDEX(products!$A$1:$G$49,MATCH(orders!$D545,products!$A$1:$A$49,0),MATCH(orders!J$1,products!$A$1:$G$1,0))</f>
        <v>L</v>
      </c>
      <c r="K545" s="6">
        <f>INDEX(products!$A$1:$G$49,MATCH(orders!$D545,products!$A$1:$A$49,0),MATCH(orders!K$1,products!$A$1:$G$1,0))</f>
        <v>2.5</v>
      </c>
      <c r="L545" s="7">
        <f>INDEX(products!$A$1:$G$49,MATCH(orders!$D545,products!$A$1:$A$49,0),MATCH(orders!L$1,products!$A$1:$G$1,0))</f>
        <v>27.484999999999996</v>
      </c>
      <c r="M545" s="7">
        <f t="shared" si="8"/>
        <v>54.969999999999992</v>
      </c>
      <c r="N545" s="4" t="str" cm="1">
        <f t="array" ref="N545">_xlfn.IFS(I545="Rob","Robusta",I545="Exc","Excelsa",I545="Ara","Arabica",I545="Lib","Liberica")</f>
        <v>Robusta</v>
      </c>
      <c r="O545" s="4" t="str" cm="1">
        <f t="array" ref="O545">_xlfn.IFS(J545="M","Medium",J545="L","Light",J545="D","Dark")</f>
        <v>Light</v>
      </c>
      <c r="P545" s="4" t="str">
        <f>_xlfn.XLOOKUP(CoffeeOrderstable[[#This Row],[Customer ID]],customers!$A$1:$A$1001,customers!$I$1:$I$1001,,0)</f>
        <v>No</v>
      </c>
    </row>
    <row r="546" spans="1:16" x14ac:dyDescent="0.3">
      <c r="A546" s="3" t="s">
        <v>3565</v>
      </c>
      <c r="B546" s="5">
        <v>43869</v>
      </c>
      <c r="C546" s="3" t="s">
        <v>3566</v>
      </c>
      <c r="D546" s="4" t="s">
        <v>6180</v>
      </c>
      <c r="E546" s="3">
        <v>2</v>
      </c>
      <c r="F546" s="3" t="str">
        <f>_xlfn.XLOOKUP(C546,customers!$A$1:$A$1001,customers!$B$1:$B$1001,,0)</f>
        <v>Heda Fromant</v>
      </c>
      <c r="G546" s="3" t="str">
        <f>IF(_xlfn.XLOOKUP(C546,customers!$A$1:$A$1001,customers!$C$1:$C$1001,,0)=0,"", _xlfn.XLOOKUP(C546,customers!$A$1:$A$1001,customers!$C$1:$C$1001,,0))</f>
        <v>hfromantf4@ucsd.edu</v>
      </c>
      <c r="H546" s="3" t="str">
        <f>_xlfn.XLOOKUP(C546,customers!$A$1:$A$1001,customers!$G$1:$G$1001,,0)</f>
        <v>United States</v>
      </c>
      <c r="I546" s="4" t="str">
        <f>INDEX(products!$A$1:$G$49,MATCH(orders!$D546,products!$A$1:$A$49,0),MATCH(orders!I$1,products!$A$1:$G$1,0))</f>
        <v>Ara</v>
      </c>
      <c r="J546" s="4" t="str">
        <f>INDEX(products!$A$1:$G$49,MATCH(orders!$D546,products!$A$1:$A$49,0),MATCH(orders!J$1,products!$A$1:$G$1,0))</f>
        <v>L</v>
      </c>
      <c r="K546" s="6">
        <f>INDEX(products!$A$1:$G$49,MATCH(orders!$D546,products!$A$1:$A$49,0),MATCH(orders!K$1,products!$A$1:$G$1,0))</f>
        <v>0.5</v>
      </c>
      <c r="L546" s="7">
        <f>INDEX(products!$A$1:$G$49,MATCH(orders!$D546,products!$A$1:$A$49,0),MATCH(orders!L$1,products!$A$1:$G$1,0))</f>
        <v>7.77</v>
      </c>
      <c r="M546" s="7">
        <f t="shared" si="8"/>
        <v>15.54</v>
      </c>
      <c r="N546" s="4" t="str" cm="1">
        <f t="array" ref="N546">_xlfn.IFS(I546="Rob","Robusta",I546="Exc","Excelsa",I546="Ara","Arabica",I546="Lib","Liberica")</f>
        <v>Arabica</v>
      </c>
      <c r="O546" s="4" t="str" cm="1">
        <f t="array" ref="O546">_xlfn.IFS(J546="M","Medium",J546="L","Light",J546="D","Dark")</f>
        <v>Light</v>
      </c>
      <c r="P546" s="4" t="str">
        <f>_xlfn.XLOOKUP(CoffeeOrderstable[[#This Row],[Customer ID]],customers!$A$1:$A$1001,customers!$I$1:$I$1001,,0)</f>
        <v>No</v>
      </c>
    </row>
    <row r="547" spans="1:16" x14ac:dyDescent="0.3">
      <c r="A547" s="3" t="s">
        <v>3571</v>
      </c>
      <c r="B547" s="5">
        <v>44120</v>
      </c>
      <c r="C547" s="3" t="s">
        <v>3572</v>
      </c>
      <c r="D547" s="4" t="s">
        <v>6150</v>
      </c>
      <c r="E547" s="3">
        <v>4</v>
      </c>
      <c r="F547" s="3" t="str">
        <f>_xlfn.XLOOKUP(C547,customers!$A$1:$A$1001,customers!$B$1:$B$1001,,0)</f>
        <v>Rufus Flear</v>
      </c>
      <c r="G547" s="3" t="str">
        <f>IF(_xlfn.XLOOKUP(C547,customers!$A$1:$A$1001,customers!$C$1:$C$1001,,0)=0,"", _xlfn.XLOOKUP(C547,customers!$A$1:$A$1001,customers!$C$1:$C$1001,,0))</f>
        <v>rflearf5@artisteer.com</v>
      </c>
      <c r="H547" s="3" t="str">
        <f>_xlfn.XLOOKUP(C547,customers!$A$1:$A$1001,customers!$G$1:$G$1001,,0)</f>
        <v>United Kingdom</v>
      </c>
      <c r="I547" s="4" t="str">
        <f>INDEX(products!$A$1:$G$49,MATCH(orders!$D547,products!$A$1:$A$49,0),MATCH(orders!I$1,products!$A$1:$G$1,0))</f>
        <v>Lib</v>
      </c>
      <c r="J547" s="4" t="str">
        <f>INDEX(products!$A$1:$G$49,MATCH(orders!$D547,products!$A$1:$A$49,0),MATCH(orders!J$1,products!$A$1:$G$1,0))</f>
        <v>D</v>
      </c>
      <c r="K547" s="6">
        <f>INDEX(products!$A$1:$G$49,MATCH(orders!$D547,products!$A$1:$A$49,0),MATCH(orders!K$1,products!$A$1:$G$1,0))</f>
        <v>0.2</v>
      </c>
      <c r="L547" s="7">
        <f>INDEX(products!$A$1:$G$49,MATCH(orders!$D547,products!$A$1:$A$49,0),MATCH(orders!L$1,products!$A$1:$G$1,0))</f>
        <v>3.8849999999999998</v>
      </c>
      <c r="M547" s="7">
        <f t="shared" si="8"/>
        <v>15.54</v>
      </c>
      <c r="N547" s="4" t="str" cm="1">
        <f t="array" ref="N547">_xlfn.IFS(I547="Rob","Robusta",I547="Exc","Excelsa",I547="Ara","Arabica",I547="Lib","Liberica")</f>
        <v>Liberica</v>
      </c>
      <c r="O547" s="4" t="str" cm="1">
        <f t="array" ref="O547">_xlfn.IFS(J547="M","Medium",J547="L","Light",J547="D","Dark")</f>
        <v>Dark</v>
      </c>
      <c r="P547" s="4" t="str">
        <f>_xlfn.XLOOKUP(CoffeeOrderstable[[#This Row],[Customer ID]],customers!$A$1:$A$1001,customers!$I$1:$I$1001,,0)</f>
        <v>No</v>
      </c>
    </row>
    <row r="548" spans="1:16" x14ac:dyDescent="0.3">
      <c r="A548" s="3" t="s">
        <v>3577</v>
      </c>
      <c r="B548" s="5">
        <v>44127</v>
      </c>
      <c r="C548" s="3" t="s">
        <v>3578</v>
      </c>
      <c r="D548" s="4" t="s">
        <v>6185</v>
      </c>
      <c r="E548" s="3">
        <v>3</v>
      </c>
      <c r="F548" s="3" t="str">
        <f>_xlfn.XLOOKUP(C548,customers!$A$1:$A$1001,customers!$B$1:$B$1001,,0)</f>
        <v>Dom Milella</v>
      </c>
      <c r="G548" s="3" t="str">
        <f>IF(_xlfn.XLOOKUP(C548,customers!$A$1:$A$1001,customers!$C$1:$C$1001,,0)=0,"", _xlfn.XLOOKUP(C548,customers!$A$1:$A$1001,customers!$C$1:$C$1001,,0))</f>
        <v/>
      </c>
      <c r="H548" s="3" t="str">
        <f>_xlfn.XLOOKUP(C548,customers!$A$1:$A$1001,customers!$G$1:$G$1001,,0)</f>
        <v>Ireland</v>
      </c>
      <c r="I548" s="4" t="str">
        <f>INDEX(products!$A$1:$G$49,MATCH(orders!$D548,products!$A$1:$A$49,0),MATCH(orders!I$1,products!$A$1:$G$1,0))</f>
        <v>Exc</v>
      </c>
      <c r="J548" s="4" t="str">
        <f>INDEX(products!$A$1:$G$49,MATCH(orders!$D548,products!$A$1:$A$49,0),MATCH(orders!J$1,products!$A$1:$G$1,0))</f>
        <v>D</v>
      </c>
      <c r="K548" s="6">
        <f>INDEX(products!$A$1:$G$49,MATCH(orders!$D548,products!$A$1:$A$49,0),MATCH(orders!K$1,products!$A$1:$G$1,0))</f>
        <v>2.5</v>
      </c>
      <c r="L548" s="7">
        <f>INDEX(products!$A$1:$G$49,MATCH(orders!$D548,products!$A$1:$A$49,0),MATCH(orders!L$1,products!$A$1:$G$1,0))</f>
        <v>27.945</v>
      </c>
      <c r="M548" s="7">
        <f t="shared" si="8"/>
        <v>83.835000000000008</v>
      </c>
      <c r="N548" s="4" t="str" cm="1">
        <f t="array" ref="N548">_xlfn.IFS(I548="Rob","Robusta",I548="Exc","Excelsa",I548="Ara","Arabica",I548="Lib","Liberica")</f>
        <v>Excelsa</v>
      </c>
      <c r="O548" s="4" t="str" cm="1">
        <f t="array" ref="O548">_xlfn.IFS(J548="M","Medium",J548="L","Light",J548="D","Dark")</f>
        <v>Dark</v>
      </c>
      <c r="P548" s="4" t="str">
        <f>_xlfn.XLOOKUP(CoffeeOrderstable[[#This Row],[Customer ID]],customers!$A$1:$A$1001,customers!$I$1:$I$1001,,0)</f>
        <v>No</v>
      </c>
    </row>
    <row r="549" spans="1:16" x14ac:dyDescent="0.3">
      <c r="A549" s="3" t="s">
        <v>3582</v>
      </c>
      <c r="B549" s="5">
        <v>44265</v>
      </c>
      <c r="C549" s="3" t="s">
        <v>3594</v>
      </c>
      <c r="D549" s="4" t="s">
        <v>6178</v>
      </c>
      <c r="E549" s="3">
        <v>3</v>
      </c>
      <c r="F549" s="3" t="str">
        <f>_xlfn.XLOOKUP(C549,customers!$A$1:$A$1001,customers!$B$1:$B$1001,,0)</f>
        <v>Wilek Lightollers</v>
      </c>
      <c r="G549" s="3" t="str">
        <f>IF(_xlfn.XLOOKUP(C549,customers!$A$1:$A$1001,customers!$C$1:$C$1001,,0)=0,"", _xlfn.XLOOKUP(C549,customers!$A$1:$A$1001,customers!$C$1:$C$1001,,0))</f>
        <v>wlightollersf9@baidu.com</v>
      </c>
      <c r="H549" s="3" t="str">
        <f>_xlfn.XLOOKUP(C549,customers!$A$1:$A$1001,customers!$G$1:$G$1001,,0)</f>
        <v>United States</v>
      </c>
      <c r="I549" s="4" t="str">
        <f>INDEX(products!$A$1:$G$49,MATCH(orders!$D549,products!$A$1:$A$49,0),MATCH(orders!I$1,products!$A$1:$G$1,0))</f>
        <v>Rob</v>
      </c>
      <c r="J549" s="4" t="str">
        <f>INDEX(products!$A$1:$G$49,MATCH(orders!$D549,products!$A$1:$A$49,0),MATCH(orders!J$1,products!$A$1:$G$1,0))</f>
        <v>L</v>
      </c>
      <c r="K549" s="6">
        <f>INDEX(products!$A$1:$G$49,MATCH(orders!$D549,products!$A$1:$A$49,0),MATCH(orders!K$1,products!$A$1:$G$1,0))</f>
        <v>0.2</v>
      </c>
      <c r="L549" s="7">
        <f>INDEX(products!$A$1:$G$49,MATCH(orders!$D549,products!$A$1:$A$49,0),MATCH(orders!L$1,products!$A$1:$G$1,0))</f>
        <v>3.5849999999999995</v>
      </c>
      <c r="M549" s="7">
        <f t="shared" si="8"/>
        <v>10.754999999999999</v>
      </c>
      <c r="N549" s="4" t="str" cm="1">
        <f t="array" ref="N549">_xlfn.IFS(I549="Rob","Robusta",I549="Exc","Excelsa",I549="Ara","Arabica",I549="Lib","Liberica")</f>
        <v>Robusta</v>
      </c>
      <c r="O549" s="4" t="str" cm="1">
        <f t="array" ref="O549">_xlfn.IFS(J549="M","Medium",J549="L","Light",J549="D","Dark")</f>
        <v>Light</v>
      </c>
      <c r="P549" s="4" t="str">
        <f>_xlfn.XLOOKUP(CoffeeOrderstable[[#This Row],[Customer ID]],customers!$A$1:$A$1001,customers!$I$1:$I$1001,,0)</f>
        <v>Yes</v>
      </c>
    </row>
    <row r="550" spans="1:16" x14ac:dyDescent="0.3">
      <c r="A550" s="3" t="s">
        <v>3587</v>
      </c>
      <c r="B550" s="5">
        <v>44384</v>
      </c>
      <c r="C550" s="3" t="s">
        <v>3588</v>
      </c>
      <c r="D550" s="4" t="s">
        <v>6184</v>
      </c>
      <c r="E550" s="3">
        <v>3</v>
      </c>
      <c r="F550" s="3" t="str">
        <f>_xlfn.XLOOKUP(C550,customers!$A$1:$A$1001,customers!$B$1:$B$1001,,0)</f>
        <v>Bette-ann Munden</v>
      </c>
      <c r="G550" s="3" t="str">
        <f>IF(_xlfn.XLOOKUP(C550,customers!$A$1:$A$1001,customers!$C$1:$C$1001,,0)=0,"", _xlfn.XLOOKUP(C550,customers!$A$1:$A$1001,customers!$C$1:$C$1001,,0))</f>
        <v>bmundenf8@elpais.com</v>
      </c>
      <c r="H550" s="3" t="str">
        <f>_xlfn.XLOOKUP(C550,customers!$A$1:$A$1001,customers!$G$1:$G$1001,,0)</f>
        <v>United States</v>
      </c>
      <c r="I550" s="4" t="str">
        <f>INDEX(products!$A$1:$G$49,MATCH(orders!$D550,products!$A$1:$A$49,0),MATCH(orders!I$1,products!$A$1:$G$1,0))</f>
        <v>Exc</v>
      </c>
      <c r="J550" s="4" t="str">
        <f>INDEX(products!$A$1:$G$49,MATCH(orders!$D550,products!$A$1:$A$49,0),MATCH(orders!J$1,products!$A$1:$G$1,0))</f>
        <v>L</v>
      </c>
      <c r="K550" s="6">
        <f>INDEX(products!$A$1:$G$49,MATCH(orders!$D550,products!$A$1:$A$49,0),MATCH(orders!K$1,products!$A$1:$G$1,0))</f>
        <v>0.2</v>
      </c>
      <c r="L550" s="7">
        <f>INDEX(products!$A$1:$G$49,MATCH(orders!$D550,products!$A$1:$A$49,0),MATCH(orders!L$1,products!$A$1:$G$1,0))</f>
        <v>4.4550000000000001</v>
      </c>
      <c r="M550" s="7">
        <f t="shared" si="8"/>
        <v>13.365</v>
      </c>
      <c r="N550" s="4" t="str" cm="1">
        <f t="array" ref="N550">_xlfn.IFS(I550="Rob","Robusta",I550="Exc","Excelsa",I550="Ara","Arabica",I550="Lib","Liberica")</f>
        <v>Excelsa</v>
      </c>
      <c r="O550" s="4" t="str" cm="1">
        <f t="array" ref="O550">_xlfn.IFS(J550="M","Medium",J550="L","Light",J550="D","Dark")</f>
        <v>Light</v>
      </c>
      <c r="P550" s="4" t="str">
        <f>_xlfn.XLOOKUP(CoffeeOrderstable[[#This Row],[Customer ID]],customers!$A$1:$A$1001,customers!$I$1:$I$1001,,0)</f>
        <v>Yes</v>
      </c>
    </row>
    <row r="551" spans="1:16" x14ac:dyDescent="0.3">
      <c r="A551" s="3" t="s">
        <v>3593</v>
      </c>
      <c r="B551" s="5">
        <v>44232</v>
      </c>
      <c r="C551" s="3" t="s">
        <v>3594</v>
      </c>
      <c r="D551" s="4" t="s">
        <v>6184</v>
      </c>
      <c r="E551" s="3">
        <v>4</v>
      </c>
      <c r="F551" s="3" t="str">
        <f>_xlfn.XLOOKUP(C551,customers!$A$1:$A$1001,customers!$B$1:$B$1001,,0)</f>
        <v>Wilek Lightollers</v>
      </c>
      <c r="G551" s="3" t="str">
        <f>IF(_xlfn.XLOOKUP(C551,customers!$A$1:$A$1001,customers!$C$1:$C$1001,,0)=0,"", _xlfn.XLOOKUP(C551,customers!$A$1:$A$1001,customers!$C$1:$C$1001,,0))</f>
        <v>wlightollersf9@baidu.com</v>
      </c>
      <c r="H551" s="3" t="str">
        <f>_xlfn.XLOOKUP(C551,customers!$A$1:$A$1001,customers!$G$1:$G$1001,,0)</f>
        <v>United States</v>
      </c>
      <c r="I551" s="4" t="str">
        <f>INDEX(products!$A$1:$G$49,MATCH(orders!$D551,products!$A$1:$A$49,0),MATCH(orders!I$1,products!$A$1:$G$1,0))</f>
        <v>Exc</v>
      </c>
      <c r="J551" s="4" t="str">
        <f>INDEX(products!$A$1:$G$49,MATCH(orders!$D551,products!$A$1:$A$49,0),MATCH(orders!J$1,products!$A$1:$G$1,0))</f>
        <v>L</v>
      </c>
      <c r="K551" s="6">
        <f>INDEX(products!$A$1:$G$49,MATCH(orders!$D551,products!$A$1:$A$49,0),MATCH(orders!K$1,products!$A$1:$G$1,0))</f>
        <v>0.2</v>
      </c>
      <c r="L551" s="7">
        <f>INDEX(products!$A$1:$G$49,MATCH(orders!$D551,products!$A$1:$A$49,0),MATCH(orders!L$1,products!$A$1:$G$1,0))</f>
        <v>4.4550000000000001</v>
      </c>
      <c r="M551" s="7">
        <f t="shared" si="8"/>
        <v>17.82</v>
      </c>
      <c r="N551" s="4" t="str" cm="1">
        <f t="array" ref="N551">_xlfn.IFS(I551="Rob","Robusta",I551="Exc","Excelsa",I551="Ara","Arabica",I551="Lib","Liberica")</f>
        <v>Excelsa</v>
      </c>
      <c r="O551" s="4" t="str" cm="1">
        <f t="array" ref="O551">_xlfn.IFS(J551="M","Medium",J551="L","Light",J551="D","Dark")</f>
        <v>Light</v>
      </c>
      <c r="P551" s="4" t="str">
        <f>_xlfn.XLOOKUP(CoffeeOrderstable[[#This Row],[Customer ID]],customers!$A$1:$A$1001,customers!$I$1:$I$1001,,0)</f>
        <v>Yes</v>
      </c>
    </row>
    <row r="552" spans="1:16" x14ac:dyDescent="0.3">
      <c r="A552" s="3" t="s">
        <v>3599</v>
      </c>
      <c r="B552" s="5">
        <v>44176</v>
      </c>
      <c r="C552" s="3" t="s">
        <v>3600</v>
      </c>
      <c r="D552" s="4" t="s">
        <v>6150</v>
      </c>
      <c r="E552" s="3">
        <v>6</v>
      </c>
      <c r="F552" s="3" t="str">
        <f>_xlfn.XLOOKUP(C552,customers!$A$1:$A$1001,customers!$B$1:$B$1001,,0)</f>
        <v>Nick Brakespear</v>
      </c>
      <c r="G552" s="3" t="str">
        <f>IF(_xlfn.XLOOKUP(C552,customers!$A$1:$A$1001,customers!$C$1:$C$1001,,0)=0,"", _xlfn.XLOOKUP(C552,customers!$A$1:$A$1001,customers!$C$1:$C$1001,,0))</f>
        <v>nbrakespearfa@rediff.com</v>
      </c>
      <c r="H552" s="3" t="str">
        <f>_xlfn.XLOOKUP(C552,customers!$A$1:$A$1001,customers!$G$1:$G$1001,,0)</f>
        <v>United States</v>
      </c>
      <c r="I552" s="4" t="str">
        <f>INDEX(products!$A$1:$G$49,MATCH(orders!$D552,products!$A$1:$A$49,0),MATCH(orders!I$1,products!$A$1:$G$1,0))</f>
        <v>Lib</v>
      </c>
      <c r="J552" s="4" t="str">
        <f>INDEX(products!$A$1:$G$49,MATCH(orders!$D552,products!$A$1:$A$49,0),MATCH(orders!J$1,products!$A$1:$G$1,0))</f>
        <v>D</v>
      </c>
      <c r="K552" s="6">
        <f>INDEX(products!$A$1:$G$49,MATCH(orders!$D552,products!$A$1:$A$49,0),MATCH(orders!K$1,products!$A$1:$G$1,0))</f>
        <v>0.2</v>
      </c>
      <c r="L552" s="7">
        <f>INDEX(products!$A$1:$G$49,MATCH(orders!$D552,products!$A$1:$A$49,0),MATCH(orders!L$1,products!$A$1:$G$1,0))</f>
        <v>3.8849999999999998</v>
      </c>
      <c r="M552" s="7">
        <f t="shared" si="8"/>
        <v>23.31</v>
      </c>
      <c r="N552" s="4" t="str" cm="1">
        <f t="array" ref="N552">_xlfn.IFS(I552="Rob","Robusta",I552="Exc","Excelsa",I552="Ara","Arabica",I552="Lib","Liberica")</f>
        <v>Liberica</v>
      </c>
      <c r="O552" s="4" t="str" cm="1">
        <f t="array" ref="O552">_xlfn.IFS(J552="M","Medium",J552="L","Light",J552="D","Dark")</f>
        <v>Dark</v>
      </c>
      <c r="P552" s="4" t="str">
        <f>_xlfn.XLOOKUP(CoffeeOrderstable[[#This Row],[Customer ID]],customers!$A$1:$A$1001,customers!$I$1:$I$1001,,0)</f>
        <v>Yes</v>
      </c>
    </row>
    <row r="553" spans="1:16" x14ac:dyDescent="0.3">
      <c r="A553" s="3" t="s">
        <v>3605</v>
      </c>
      <c r="B553" s="5">
        <v>44694</v>
      </c>
      <c r="C553" s="3" t="s">
        <v>3606</v>
      </c>
      <c r="D553" s="4" t="s">
        <v>6153</v>
      </c>
      <c r="E553" s="3">
        <v>2</v>
      </c>
      <c r="F553" s="3" t="str">
        <f>_xlfn.XLOOKUP(C553,customers!$A$1:$A$1001,customers!$B$1:$B$1001,,0)</f>
        <v>Malynda Glawsop</v>
      </c>
      <c r="G553" s="3" t="str">
        <f>IF(_xlfn.XLOOKUP(C553,customers!$A$1:$A$1001,customers!$C$1:$C$1001,,0)=0,"", _xlfn.XLOOKUP(C553,customers!$A$1:$A$1001,customers!$C$1:$C$1001,,0))</f>
        <v>mglawsopfb@reverbnation.com</v>
      </c>
      <c r="H553" s="3" t="str">
        <f>_xlfn.XLOOKUP(C553,customers!$A$1:$A$1001,customers!$G$1:$G$1001,,0)</f>
        <v>United States</v>
      </c>
      <c r="I553" s="4" t="str">
        <f>INDEX(products!$A$1:$G$49,MATCH(orders!$D553,products!$A$1:$A$49,0),MATCH(orders!I$1,products!$A$1:$G$1,0))</f>
        <v>Exc</v>
      </c>
      <c r="J553" s="4" t="str">
        <f>INDEX(products!$A$1:$G$49,MATCH(orders!$D553,products!$A$1:$A$49,0),MATCH(orders!J$1,products!$A$1:$G$1,0))</f>
        <v>D</v>
      </c>
      <c r="K553" s="6">
        <f>INDEX(products!$A$1:$G$49,MATCH(orders!$D553,products!$A$1:$A$49,0),MATCH(orders!K$1,products!$A$1:$G$1,0))</f>
        <v>0.2</v>
      </c>
      <c r="L553" s="7">
        <f>INDEX(products!$A$1:$G$49,MATCH(orders!$D553,products!$A$1:$A$49,0),MATCH(orders!L$1,products!$A$1:$G$1,0))</f>
        <v>3.645</v>
      </c>
      <c r="M553" s="7">
        <f t="shared" si="8"/>
        <v>7.29</v>
      </c>
      <c r="N553" s="4" t="str" cm="1">
        <f t="array" ref="N553">_xlfn.IFS(I553="Rob","Robusta",I553="Exc","Excelsa",I553="Ara","Arabica",I553="Lib","Liberica")</f>
        <v>Excelsa</v>
      </c>
      <c r="O553" s="4" t="str" cm="1">
        <f t="array" ref="O553">_xlfn.IFS(J553="M","Medium",J553="L","Light",J553="D","Dark")</f>
        <v>Dark</v>
      </c>
      <c r="P553" s="4" t="str">
        <f>_xlfn.XLOOKUP(CoffeeOrderstable[[#This Row],[Customer ID]],customers!$A$1:$A$1001,customers!$I$1:$I$1001,,0)</f>
        <v>No</v>
      </c>
    </row>
    <row r="554" spans="1:16" x14ac:dyDescent="0.3">
      <c r="A554" s="3" t="s">
        <v>3611</v>
      </c>
      <c r="B554" s="5">
        <v>43761</v>
      </c>
      <c r="C554" s="3" t="s">
        <v>3612</v>
      </c>
      <c r="D554" s="4" t="s">
        <v>6184</v>
      </c>
      <c r="E554" s="3">
        <v>4</v>
      </c>
      <c r="F554" s="3" t="str">
        <f>_xlfn.XLOOKUP(C554,customers!$A$1:$A$1001,customers!$B$1:$B$1001,,0)</f>
        <v>Granville Alberts</v>
      </c>
      <c r="G554" s="3" t="str">
        <f>IF(_xlfn.XLOOKUP(C554,customers!$A$1:$A$1001,customers!$C$1:$C$1001,,0)=0,"", _xlfn.XLOOKUP(C554,customers!$A$1:$A$1001,customers!$C$1:$C$1001,,0))</f>
        <v>galbertsfc@etsy.com</v>
      </c>
      <c r="H554" s="3" t="str">
        <f>_xlfn.XLOOKUP(C554,customers!$A$1:$A$1001,customers!$G$1:$G$1001,,0)</f>
        <v>United Kingdom</v>
      </c>
      <c r="I554" s="4" t="str">
        <f>INDEX(products!$A$1:$G$49,MATCH(orders!$D554,products!$A$1:$A$49,0),MATCH(orders!I$1,products!$A$1:$G$1,0))</f>
        <v>Exc</v>
      </c>
      <c r="J554" s="4" t="str">
        <f>INDEX(products!$A$1:$G$49,MATCH(orders!$D554,products!$A$1:$A$49,0),MATCH(orders!J$1,products!$A$1:$G$1,0))</f>
        <v>L</v>
      </c>
      <c r="K554" s="6">
        <f>INDEX(products!$A$1:$G$49,MATCH(orders!$D554,products!$A$1:$A$49,0),MATCH(orders!K$1,products!$A$1:$G$1,0))</f>
        <v>0.2</v>
      </c>
      <c r="L554" s="7">
        <f>INDEX(products!$A$1:$G$49,MATCH(orders!$D554,products!$A$1:$A$49,0),MATCH(orders!L$1,products!$A$1:$G$1,0))</f>
        <v>4.4550000000000001</v>
      </c>
      <c r="M554" s="7">
        <f t="shared" si="8"/>
        <v>17.82</v>
      </c>
      <c r="N554" s="4" t="str" cm="1">
        <f t="array" ref="N554">_xlfn.IFS(I554="Rob","Robusta",I554="Exc","Excelsa",I554="Ara","Arabica",I554="Lib","Liberica")</f>
        <v>Excelsa</v>
      </c>
      <c r="O554" s="4" t="str" cm="1">
        <f t="array" ref="O554">_xlfn.IFS(J554="M","Medium",J554="L","Light",J554="D","Dark")</f>
        <v>Light</v>
      </c>
      <c r="P554" s="4" t="str">
        <f>_xlfn.XLOOKUP(CoffeeOrderstable[[#This Row],[Customer ID]],customers!$A$1:$A$1001,customers!$I$1:$I$1001,,0)</f>
        <v>Yes</v>
      </c>
    </row>
    <row r="555" spans="1:16" x14ac:dyDescent="0.3">
      <c r="A555" s="3" t="s">
        <v>3617</v>
      </c>
      <c r="B555" s="5">
        <v>44085</v>
      </c>
      <c r="C555" s="3" t="s">
        <v>3618</v>
      </c>
      <c r="D555" s="4" t="s">
        <v>6141</v>
      </c>
      <c r="E555" s="3">
        <v>5</v>
      </c>
      <c r="F555" s="3" t="str">
        <f>_xlfn.XLOOKUP(C555,customers!$A$1:$A$1001,customers!$B$1:$B$1001,,0)</f>
        <v>Vasily Polglase</v>
      </c>
      <c r="G555" s="3" t="str">
        <f>IF(_xlfn.XLOOKUP(C555,customers!$A$1:$A$1001,customers!$C$1:$C$1001,,0)=0,"", _xlfn.XLOOKUP(C555,customers!$A$1:$A$1001,customers!$C$1:$C$1001,,0))</f>
        <v>vpolglasefd@about.me</v>
      </c>
      <c r="H555" s="3" t="str">
        <f>_xlfn.XLOOKUP(C555,customers!$A$1:$A$1001,customers!$G$1:$G$1001,,0)</f>
        <v>United States</v>
      </c>
      <c r="I555" s="4" t="str">
        <f>INDEX(products!$A$1:$G$49,MATCH(orders!$D555,products!$A$1:$A$49,0),MATCH(orders!I$1,products!$A$1:$G$1,0))</f>
        <v>Exc</v>
      </c>
      <c r="J555" s="4" t="str">
        <f>INDEX(products!$A$1:$G$49,MATCH(orders!$D555,products!$A$1:$A$49,0),MATCH(orders!J$1,products!$A$1:$G$1,0))</f>
        <v>M</v>
      </c>
      <c r="K555" s="6">
        <f>INDEX(products!$A$1:$G$49,MATCH(orders!$D555,products!$A$1:$A$49,0),MATCH(orders!K$1,products!$A$1:$G$1,0))</f>
        <v>1</v>
      </c>
      <c r="L555" s="7">
        <f>INDEX(products!$A$1:$G$49,MATCH(orders!$D555,products!$A$1:$A$49,0),MATCH(orders!L$1,products!$A$1:$G$1,0))</f>
        <v>13.75</v>
      </c>
      <c r="M555" s="7">
        <f t="shared" si="8"/>
        <v>68.75</v>
      </c>
      <c r="N555" s="4" t="str" cm="1">
        <f t="array" ref="N555">_xlfn.IFS(I555="Rob","Robusta",I555="Exc","Excelsa",I555="Ara","Arabica",I555="Lib","Liberica")</f>
        <v>Excelsa</v>
      </c>
      <c r="O555" s="4" t="str" cm="1">
        <f t="array" ref="O555">_xlfn.IFS(J555="M","Medium",J555="L","Light",J555="D","Dark")</f>
        <v>Medium</v>
      </c>
      <c r="P555" s="4" t="str">
        <f>_xlfn.XLOOKUP(CoffeeOrderstable[[#This Row],[Customer ID]],customers!$A$1:$A$1001,customers!$I$1:$I$1001,,0)</f>
        <v>No</v>
      </c>
    </row>
    <row r="556" spans="1:16" x14ac:dyDescent="0.3">
      <c r="A556" s="3" t="s">
        <v>3622</v>
      </c>
      <c r="B556" s="5">
        <v>43737</v>
      </c>
      <c r="C556" s="3" t="s">
        <v>3623</v>
      </c>
      <c r="D556" s="4" t="s">
        <v>6142</v>
      </c>
      <c r="E556" s="3">
        <v>2</v>
      </c>
      <c r="F556" s="3" t="str">
        <f>_xlfn.XLOOKUP(C556,customers!$A$1:$A$1001,customers!$B$1:$B$1001,,0)</f>
        <v>Madelaine Sharples</v>
      </c>
      <c r="G556" s="3" t="str">
        <f>IF(_xlfn.XLOOKUP(C556,customers!$A$1:$A$1001,customers!$C$1:$C$1001,,0)=0,"", _xlfn.XLOOKUP(C556,customers!$A$1:$A$1001,customers!$C$1:$C$1001,,0))</f>
        <v/>
      </c>
      <c r="H556" s="3" t="str">
        <f>_xlfn.XLOOKUP(C556,customers!$A$1:$A$1001,customers!$G$1:$G$1001,,0)</f>
        <v>United Kingdom</v>
      </c>
      <c r="I556" s="4" t="str">
        <f>INDEX(products!$A$1:$G$49,MATCH(orders!$D556,products!$A$1:$A$49,0),MATCH(orders!I$1,products!$A$1:$G$1,0))</f>
        <v>Rob</v>
      </c>
      <c r="J556" s="4" t="str">
        <f>INDEX(products!$A$1:$G$49,MATCH(orders!$D556,products!$A$1:$A$49,0),MATCH(orders!J$1,products!$A$1:$G$1,0))</f>
        <v>L</v>
      </c>
      <c r="K556" s="6">
        <f>INDEX(products!$A$1:$G$49,MATCH(orders!$D556,products!$A$1:$A$49,0),MATCH(orders!K$1,products!$A$1:$G$1,0))</f>
        <v>2.5</v>
      </c>
      <c r="L556" s="7">
        <f>INDEX(products!$A$1:$G$49,MATCH(orders!$D556,products!$A$1:$A$49,0),MATCH(orders!L$1,products!$A$1:$G$1,0))</f>
        <v>27.484999999999996</v>
      </c>
      <c r="M556" s="7">
        <f t="shared" si="8"/>
        <v>54.969999999999992</v>
      </c>
      <c r="N556" s="4" t="str" cm="1">
        <f t="array" ref="N556">_xlfn.IFS(I556="Rob","Robusta",I556="Exc","Excelsa",I556="Ara","Arabica",I556="Lib","Liberica")</f>
        <v>Robusta</v>
      </c>
      <c r="O556" s="4" t="str" cm="1">
        <f t="array" ref="O556">_xlfn.IFS(J556="M","Medium",J556="L","Light",J556="D","Dark")</f>
        <v>Light</v>
      </c>
      <c r="P556" s="4" t="str">
        <f>_xlfn.XLOOKUP(CoffeeOrderstable[[#This Row],[Customer ID]],customers!$A$1:$A$1001,customers!$I$1:$I$1001,,0)</f>
        <v>Yes</v>
      </c>
    </row>
    <row r="557" spans="1:16" x14ac:dyDescent="0.3">
      <c r="A557" s="3" t="s">
        <v>3627</v>
      </c>
      <c r="B557" s="5">
        <v>44258</v>
      </c>
      <c r="C557" s="3" t="s">
        <v>3628</v>
      </c>
      <c r="D557" s="4" t="s">
        <v>6141</v>
      </c>
      <c r="E557" s="3">
        <v>6</v>
      </c>
      <c r="F557" s="3" t="str">
        <f>_xlfn.XLOOKUP(C557,customers!$A$1:$A$1001,customers!$B$1:$B$1001,,0)</f>
        <v>Sigfrid Busch</v>
      </c>
      <c r="G557" s="3" t="str">
        <f>IF(_xlfn.XLOOKUP(C557,customers!$A$1:$A$1001,customers!$C$1:$C$1001,,0)=0,"", _xlfn.XLOOKUP(C557,customers!$A$1:$A$1001,customers!$C$1:$C$1001,,0))</f>
        <v>sbuschff@so-net.ne.jp</v>
      </c>
      <c r="H557" s="3" t="str">
        <f>_xlfn.XLOOKUP(C557,customers!$A$1:$A$1001,customers!$G$1:$G$1001,,0)</f>
        <v>Ireland</v>
      </c>
      <c r="I557" s="4" t="str">
        <f>INDEX(products!$A$1:$G$49,MATCH(orders!$D557,products!$A$1:$A$49,0),MATCH(orders!I$1,products!$A$1:$G$1,0))</f>
        <v>Exc</v>
      </c>
      <c r="J557" s="4" t="str">
        <f>INDEX(products!$A$1:$G$49,MATCH(orders!$D557,products!$A$1:$A$49,0),MATCH(orders!J$1,products!$A$1:$G$1,0))</f>
        <v>M</v>
      </c>
      <c r="K557" s="6">
        <f>INDEX(products!$A$1:$G$49,MATCH(orders!$D557,products!$A$1:$A$49,0),MATCH(orders!K$1,products!$A$1:$G$1,0))</f>
        <v>1</v>
      </c>
      <c r="L557" s="7">
        <f>INDEX(products!$A$1:$G$49,MATCH(orders!$D557,products!$A$1:$A$49,0),MATCH(orders!L$1,products!$A$1:$G$1,0))</f>
        <v>13.75</v>
      </c>
      <c r="M557" s="7">
        <f t="shared" si="8"/>
        <v>82.5</v>
      </c>
      <c r="N557" s="4" t="str" cm="1">
        <f t="array" ref="N557">_xlfn.IFS(I557="Rob","Robusta",I557="Exc","Excelsa",I557="Ara","Arabica",I557="Lib","Liberica")</f>
        <v>Excelsa</v>
      </c>
      <c r="O557" s="4" t="str" cm="1">
        <f t="array" ref="O557">_xlfn.IFS(J557="M","Medium",J557="L","Light",J557="D","Dark")</f>
        <v>Medium</v>
      </c>
      <c r="P557" s="4" t="str">
        <f>_xlfn.XLOOKUP(CoffeeOrderstable[[#This Row],[Customer ID]],customers!$A$1:$A$1001,customers!$I$1:$I$1001,,0)</f>
        <v>No</v>
      </c>
    </row>
    <row r="558" spans="1:16" x14ac:dyDescent="0.3">
      <c r="A558" s="3" t="s">
        <v>3633</v>
      </c>
      <c r="B558" s="5">
        <v>44523</v>
      </c>
      <c r="C558" s="3" t="s">
        <v>3634</v>
      </c>
      <c r="D558" s="4" t="s">
        <v>6159</v>
      </c>
      <c r="E558" s="3">
        <v>2</v>
      </c>
      <c r="F558" s="3" t="str">
        <f>_xlfn.XLOOKUP(C558,customers!$A$1:$A$1001,customers!$B$1:$B$1001,,0)</f>
        <v>Cissiee Raisbeck</v>
      </c>
      <c r="G558" s="3" t="str">
        <f>IF(_xlfn.XLOOKUP(C558,customers!$A$1:$A$1001,customers!$C$1:$C$1001,,0)=0,"", _xlfn.XLOOKUP(C558,customers!$A$1:$A$1001,customers!$C$1:$C$1001,,0))</f>
        <v>craisbeckfg@webnode.com</v>
      </c>
      <c r="H558" s="3" t="str">
        <f>_xlfn.XLOOKUP(C558,customers!$A$1:$A$1001,customers!$G$1:$G$1001,,0)</f>
        <v>United States</v>
      </c>
      <c r="I558" s="4" t="str">
        <f>INDEX(products!$A$1:$G$49,MATCH(orders!$D558,products!$A$1:$A$49,0),MATCH(orders!I$1,products!$A$1:$G$1,0))</f>
        <v>Lib</v>
      </c>
      <c r="J558" s="4" t="str">
        <f>INDEX(products!$A$1:$G$49,MATCH(orders!$D558,products!$A$1:$A$49,0),MATCH(orders!J$1,products!$A$1:$G$1,0))</f>
        <v>M</v>
      </c>
      <c r="K558" s="6">
        <f>INDEX(products!$A$1:$G$49,MATCH(orders!$D558,products!$A$1:$A$49,0),MATCH(orders!K$1,products!$A$1:$G$1,0))</f>
        <v>0.2</v>
      </c>
      <c r="L558" s="7">
        <f>INDEX(products!$A$1:$G$49,MATCH(orders!$D558,products!$A$1:$A$49,0),MATCH(orders!L$1,products!$A$1:$G$1,0))</f>
        <v>4.3650000000000002</v>
      </c>
      <c r="M558" s="7">
        <f t="shared" si="8"/>
        <v>8.73</v>
      </c>
      <c r="N558" s="4" t="str" cm="1">
        <f t="array" ref="N558">_xlfn.IFS(I558="Rob","Robusta",I558="Exc","Excelsa",I558="Ara","Arabica",I558="Lib","Liberica")</f>
        <v>Liberica</v>
      </c>
      <c r="O558" s="4" t="str" cm="1">
        <f t="array" ref="O558">_xlfn.IFS(J558="M","Medium",J558="L","Light",J558="D","Dark")</f>
        <v>Medium</v>
      </c>
      <c r="P558" s="4" t="str">
        <f>_xlfn.XLOOKUP(CoffeeOrderstable[[#This Row],[Customer ID]],customers!$A$1:$A$1001,customers!$I$1:$I$1001,,0)</f>
        <v>Yes</v>
      </c>
    </row>
    <row r="559" spans="1:16" x14ac:dyDescent="0.3">
      <c r="A559" s="3" t="s">
        <v>3638</v>
      </c>
      <c r="B559" s="5">
        <v>44506</v>
      </c>
      <c r="C559" s="3" t="s">
        <v>3368</v>
      </c>
      <c r="D559" s="4" t="s">
        <v>6171</v>
      </c>
      <c r="E559" s="3">
        <v>4</v>
      </c>
      <c r="F559" s="3" t="str">
        <f>_xlfn.XLOOKUP(C559,customers!$A$1:$A$1001,customers!$B$1:$B$1001,,0)</f>
        <v>Marja Urion</v>
      </c>
      <c r="G559" s="3" t="str">
        <f>IF(_xlfn.XLOOKUP(C559,customers!$A$1:$A$1001,customers!$C$1:$C$1001,,0)=0,"", _xlfn.XLOOKUP(C559,customers!$A$1:$A$1001,customers!$C$1:$C$1001,,0))</f>
        <v>murione5@alexa.com</v>
      </c>
      <c r="H559" s="3" t="str">
        <f>_xlfn.XLOOKUP(C559,customers!$A$1:$A$1001,customers!$G$1:$G$1001,,0)</f>
        <v>Ireland</v>
      </c>
      <c r="I559" s="4" t="str">
        <f>INDEX(products!$A$1:$G$49,MATCH(orders!$D559,products!$A$1:$A$49,0),MATCH(orders!I$1,products!$A$1:$G$1,0))</f>
        <v>Exc</v>
      </c>
      <c r="J559" s="4" t="str">
        <f>INDEX(products!$A$1:$G$49,MATCH(orders!$D559,products!$A$1:$A$49,0),MATCH(orders!J$1,products!$A$1:$G$1,0))</f>
        <v>L</v>
      </c>
      <c r="K559" s="6">
        <f>INDEX(products!$A$1:$G$49,MATCH(orders!$D559,products!$A$1:$A$49,0),MATCH(orders!K$1,products!$A$1:$G$1,0))</f>
        <v>1</v>
      </c>
      <c r="L559" s="7">
        <f>INDEX(products!$A$1:$G$49,MATCH(orders!$D559,products!$A$1:$A$49,0),MATCH(orders!L$1,products!$A$1:$G$1,0))</f>
        <v>14.85</v>
      </c>
      <c r="M559" s="7">
        <f t="shared" si="8"/>
        <v>59.4</v>
      </c>
      <c r="N559" s="4" t="str" cm="1">
        <f t="array" ref="N559">_xlfn.IFS(I559="Rob","Robusta",I559="Exc","Excelsa",I559="Ara","Arabica",I559="Lib","Liberica")</f>
        <v>Excelsa</v>
      </c>
      <c r="O559" s="4" t="str" cm="1">
        <f t="array" ref="O559">_xlfn.IFS(J559="M","Medium",J559="L","Light",J559="D","Dark")</f>
        <v>Light</v>
      </c>
      <c r="P559" s="4" t="str">
        <f>_xlfn.XLOOKUP(CoffeeOrderstable[[#This Row],[Customer ID]],customers!$A$1:$A$1001,customers!$I$1:$I$1001,,0)</f>
        <v>Yes</v>
      </c>
    </row>
    <row r="560" spans="1:16" x14ac:dyDescent="0.3">
      <c r="A560" s="3" t="s">
        <v>3643</v>
      </c>
      <c r="B560" s="5">
        <v>44225</v>
      </c>
      <c r="C560" s="3" t="s">
        <v>3644</v>
      </c>
      <c r="D560" s="4" t="s">
        <v>6150</v>
      </c>
      <c r="E560" s="3">
        <v>4</v>
      </c>
      <c r="F560" s="3" t="str">
        <f>_xlfn.XLOOKUP(C560,customers!$A$1:$A$1001,customers!$B$1:$B$1001,,0)</f>
        <v>Kenton Wetherick</v>
      </c>
      <c r="G560" s="3" t="str">
        <f>IF(_xlfn.XLOOKUP(C560,customers!$A$1:$A$1001,customers!$C$1:$C$1001,,0)=0,"", _xlfn.XLOOKUP(C560,customers!$A$1:$A$1001,customers!$C$1:$C$1001,,0))</f>
        <v/>
      </c>
      <c r="H560" s="3" t="str">
        <f>_xlfn.XLOOKUP(C560,customers!$A$1:$A$1001,customers!$G$1:$G$1001,,0)</f>
        <v>United States</v>
      </c>
      <c r="I560" s="4" t="str">
        <f>INDEX(products!$A$1:$G$49,MATCH(orders!$D560,products!$A$1:$A$49,0),MATCH(orders!I$1,products!$A$1:$G$1,0))</f>
        <v>Lib</v>
      </c>
      <c r="J560" s="4" t="str">
        <f>INDEX(products!$A$1:$G$49,MATCH(orders!$D560,products!$A$1:$A$49,0),MATCH(orders!J$1,products!$A$1:$G$1,0))</f>
        <v>D</v>
      </c>
      <c r="K560" s="6">
        <f>INDEX(products!$A$1:$G$49,MATCH(orders!$D560,products!$A$1:$A$49,0),MATCH(orders!K$1,products!$A$1:$G$1,0))</f>
        <v>0.2</v>
      </c>
      <c r="L560" s="7">
        <f>INDEX(products!$A$1:$G$49,MATCH(orders!$D560,products!$A$1:$A$49,0),MATCH(orders!L$1,products!$A$1:$G$1,0))</f>
        <v>3.8849999999999998</v>
      </c>
      <c r="M560" s="7">
        <f t="shared" si="8"/>
        <v>15.54</v>
      </c>
      <c r="N560" s="4" t="str" cm="1">
        <f t="array" ref="N560">_xlfn.IFS(I560="Rob","Robusta",I560="Exc","Excelsa",I560="Ara","Arabica",I560="Lib","Liberica")</f>
        <v>Liberica</v>
      </c>
      <c r="O560" s="4" t="str" cm="1">
        <f t="array" ref="O560">_xlfn.IFS(J560="M","Medium",J560="L","Light",J560="D","Dark")</f>
        <v>Dark</v>
      </c>
      <c r="P560" s="4" t="str">
        <f>_xlfn.XLOOKUP(CoffeeOrderstable[[#This Row],[Customer ID]],customers!$A$1:$A$1001,customers!$I$1:$I$1001,,0)</f>
        <v>Yes</v>
      </c>
    </row>
    <row r="561" spans="1:16" x14ac:dyDescent="0.3">
      <c r="A561" s="3" t="s">
        <v>3648</v>
      </c>
      <c r="B561" s="5">
        <v>44667</v>
      </c>
      <c r="C561" s="3" t="s">
        <v>3649</v>
      </c>
      <c r="D561" s="4" t="s">
        <v>6140</v>
      </c>
      <c r="E561" s="3">
        <v>3</v>
      </c>
      <c r="F561" s="3" t="str">
        <f>_xlfn.XLOOKUP(C561,customers!$A$1:$A$1001,customers!$B$1:$B$1001,,0)</f>
        <v>Reamonn Aynold</v>
      </c>
      <c r="G561" s="3" t="str">
        <f>IF(_xlfn.XLOOKUP(C561,customers!$A$1:$A$1001,customers!$C$1:$C$1001,,0)=0,"", _xlfn.XLOOKUP(C561,customers!$A$1:$A$1001,customers!$C$1:$C$1001,,0))</f>
        <v>raynoldfj@ustream.tv</v>
      </c>
      <c r="H561" s="3" t="str">
        <f>_xlfn.XLOOKUP(C561,customers!$A$1:$A$1001,customers!$G$1:$G$1001,,0)</f>
        <v>United States</v>
      </c>
      <c r="I561" s="4" t="str">
        <f>INDEX(products!$A$1:$G$49,MATCH(orders!$D561,products!$A$1:$A$49,0),MATCH(orders!I$1,products!$A$1:$G$1,0))</f>
        <v>Ara</v>
      </c>
      <c r="J561" s="4" t="str">
        <f>INDEX(products!$A$1:$G$49,MATCH(orders!$D561,products!$A$1:$A$49,0),MATCH(orders!J$1,products!$A$1:$G$1,0))</f>
        <v>L</v>
      </c>
      <c r="K561" s="6">
        <f>INDEX(products!$A$1:$G$49,MATCH(orders!$D561,products!$A$1:$A$49,0),MATCH(orders!K$1,products!$A$1:$G$1,0))</f>
        <v>1</v>
      </c>
      <c r="L561" s="7">
        <f>INDEX(products!$A$1:$G$49,MATCH(orders!$D561,products!$A$1:$A$49,0),MATCH(orders!L$1,products!$A$1:$G$1,0))</f>
        <v>12.95</v>
      </c>
      <c r="M561" s="7">
        <f t="shared" si="8"/>
        <v>38.849999999999994</v>
      </c>
      <c r="N561" s="4" t="str" cm="1">
        <f t="array" ref="N561">_xlfn.IFS(I561="Rob","Robusta",I561="Exc","Excelsa",I561="Ara","Arabica",I561="Lib","Liberica")</f>
        <v>Arabica</v>
      </c>
      <c r="O561" s="4" t="str" cm="1">
        <f t="array" ref="O561">_xlfn.IFS(J561="M","Medium",J561="L","Light",J561="D","Dark")</f>
        <v>Light</v>
      </c>
      <c r="P561" s="4" t="str">
        <f>_xlfn.XLOOKUP(CoffeeOrderstable[[#This Row],[Customer ID]],customers!$A$1:$A$1001,customers!$I$1:$I$1001,,0)</f>
        <v>Yes</v>
      </c>
    </row>
    <row r="562" spans="1:16" x14ac:dyDescent="0.3">
      <c r="A562" s="3" t="s">
        <v>3654</v>
      </c>
      <c r="B562" s="5">
        <v>44401</v>
      </c>
      <c r="C562" s="3" t="s">
        <v>3655</v>
      </c>
      <c r="D562" s="4" t="s">
        <v>6166</v>
      </c>
      <c r="E562" s="3">
        <v>6</v>
      </c>
      <c r="F562" s="3" t="str">
        <f>_xlfn.XLOOKUP(C562,customers!$A$1:$A$1001,customers!$B$1:$B$1001,,0)</f>
        <v>Hatty Dovydenas</v>
      </c>
      <c r="G562" s="3" t="str">
        <f>IF(_xlfn.XLOOKUP(C562,customers!$A$1:$A$1001,customers!$C$1:$C$1001,,0)=0,"", _xlfn.XLOOKUP(C562,customers!$A$1:$A$1001,customers!$C$1:$C$1001,,0))</f>
        <v/>
      </c>
      <c r="H562" s="3" t="str">
        <f>_xlfn.XLOOKUP(C562,customers!$A$1:$A$1001,customers!$G$1:$G$1001,,0)</f>
        <v>United States</v>
      </c>
      <c r="I562" s="4" t="str">
        <f>INDEX(products!$A$1:$G$49,MATCH(orders!$D562,products!$A$1:$A$49,0),MATCH(orders!I$1,products!$A$1:$G$1,0))</f>
        <v>Exc</v>
      </c>
      <c r="J562" s="4" t="str">
        <f>INDEX(products!$A$1:$G$49,MATCH(orders!$D562,products!$A$1:$A$49,0),MATCH(orders!J$1,products!$A$1:$G$1,0))</f>
        <v>M</v>
      </c>
      <c r="K562" s="6">
        <f>INDEX(products!$A$1:$G$49,MATCH(orders!$D562,products!$A$1:$A$49,0),MATCH(orders!K$1,products!$A$1:$G$1,0))</f>
        <v>2.5</v>
      </c>
      <c r="L562" s="7">
        <f>INDEX(products!$A$1:$G$49,MATCH(orders!$D562,products!$A$1:$A$49,0),MATCH(orders!L$1,products!$A$1:$G$1,0))</f>
        <v>31.624999999999996</v>
      </c>
      <c r="M562" s="7">
        <f t="shared" si="8"/>
        <v>189.74999999999997</v>
      </c>
      <c r="N562" s="4" t="str" cm="1">
        <f t="array" ref="N562">_xlfn.IFS(I562="Rob","Robusta",I562="Exc","Excelsa",I562="Ara","Arabica",I562="Lib","Liberica")</f>
        <v>Excelsa</v>
      </c>
      <c r="O562" s="4" t="str" cm="1">
        <f t="array" ref="O562">_xlfn.IFS(J562="M","Medium",J562="L","Light",J562="D","Dark")</f>
        <v>Medium</v>
      </c>
      <c r="P562" s="4" t="str">
        <f>_xlfn.XLOOKUP(CoffeeOrderstable[[#This Row],[Customer ID]],customers!$A$1:$A$1001,customers!$I$1:$I$1001,,0)</f>
        <v>Yes</v>
      </c>
    </row>
    <row r="563" spans="1:16" x14ac:dyDescent="0.3">
      <c r="A563" s="3" t="s">
        <v>3659</v>
      </c>
      <c r="B563" s="5">
        <v>43688</v>
      </c>
      <c r="C563" s="3" t="s">
        <v>3660</v>
      </c>
      <c r="D563" s="4" t="s">
        <v>6154</v>
      </c>
      <c r="E563" s="3">
        <v>6</v>
      </c>
      <c r="F563" s="3" t="str">
        <f>_xlfn.XLOOKUP(C563,customers!$A$1:$A$1001,customers!$B$1:$B$1001,,0)</f>
        <v>Nathaniel Bloxland</v>
      </c>
      <c r="G563" s="3" t="str">
        <f>IF(_xlfn.XLOOKUP(C563,customers!$A$1:$A$1001,customers!$C$1:$C$1001,,0)=0,"", _xlfn.XLOOKUP(C563,customers!$A$1:$A$1001,customers!$C$1:$C$1001,,0))</f>
        <v/>
      </c>
      <c r="H563" s="3" t="str">
        <f>_xlfn.XLOOKUP(C563,customers!$A$1:$A$1001,customers!$G$1:$G$1001,,0)</f>
        <v>Ireland</v>
      </c>
      <c r="I563" s="4" t="str">
        <f>INDEX(products!$A$1:$G$49,MATCH(orders!$D563,products!$A$1:$A$49,0),MATCH(orders!I$1,products!$A$1:$G$1,0))</f>
        <v>Ara</v>
      </c>
      <c r="J563" s="4" t="str">
        <f>INDEX(products!$A$1:$G$49,MATCH(orders!$D563,products!$A$1:$A$49,0),MATCH(orders!J$1,products!$A$1:$G$1,0))</f>
        <v>D</v>
      </c>
      <c r="K563" s="6">
        <f>INDEX(products!$A$1:$G$49,MATCH(orders!$D563,products!$A$1:$A$49,0),MATCH(orders!K$1,products!$A$1:$G$1,0))</f>
        <v>0.2</v>
      </c>
      <c r="L563" s="7">
        <f>INDEX(products!$A$1:$G$49,MATCH(orders!$D563,products!$A$1:$A$49,0),MATCH(orders!L$1,products!$A$1:$G$1,0))</f>
        <v>2.9849999999999999</v>
      </c>
      <c r="M563" s="7">
        <f t="shared" si="8"/>
        <v>17.91</v>
      </c>
      <c r="N563" s="4" t="str" cm="1">
        <f t="array" ref="N563">_xlfn.IFS(I563="Rob","Robusta",I563="Exc","Excelsa",I563="Ara","Arabica",I563="Lib","Liberica")</f>
        <v>Arabica</v>
      </c>
      <c r="O563" s="4" t="str" cm="1">
        <f t="array" ref="O563">_xlfn.IFS(J563="M","Medium",J563="L","Light",J563="D","Dark")</f>
        <v>Dark</v>
      </c>
      <c r="P563" s="4" t="str">
        <f>_xlfn.XLOOKUP(CoffeeOrderstable[[#This Row],[Customer ID]],customers!$A$1:$A$1001,customers!$I$1:$I$1001,,0)</f>
        <v>Yes</v>
      </c>
    </row>
    <row r="564" spans="1:16" x14ac:dyDescent="0.3">
      <c r="A564" s="3" t="s">
        <v>3665</v>
      </c>
      <c r="B564" s="5">
        <v>43669</v>
      </c>
      <c r="C564" s="3" t="s">
        <v>3666</v>
      </c>
      <c r="D564" s="4" t="s">
        <v>6145</v>
      </c>
      <c r="E564" s="3">
        <v>6</v>
      </c>
      <c r="F564" s="3" t="str">
        <f>_xlfn.XLOOKUP(C564,customers!$A$1:$A$1001,customers!$B$1:$B$1001,,0)</f>
        <v>Brendan Grece</v>
      </c>
      <c r="G564" s="3" t="str">
        <f>IF(_xlfn.XLOOKUP(C564,customers!$A$1:$A$1001,customers!$C$1:$C$1001,,0)=0,"", _xlfn.XLOOKUP(C564,customers!$A$1:$A$1001,customers!$C$1:$C$1001,,0))</f>
        <v>bgrecefm@naver.com</v>
      </c>
      <c r="H564" s="3" t="str">
        <f>_xlfn.XLOOKUP(C564,customers!$A$1:$A$1001,customers!$G$1:$G$1001,,0)</f>
        <v>United Kingdom</v>
      </c>
      <c r="I564" s="4" t="str">
        <f>INDEX(products!$A$1:$G$49,MATCH(orders!$D564,products!$A$1:$A$49,0),MATCH(orders!I$1,products!$A$1:$G$1,0))</f>
        <v>Lib</v>
      </c>
      <c r="J564" s="4" t="str">
        <f>INDEX(products!$A$1:$G$49,MATCH(orders!$D564,products!$A$1:$A$49,0),MATCH(orders!J$1,products!$A$1:$G$1,0))</f>
        <v>L</v>
      </c>
      <c r="K564" s="6">
        <f>INDEX(products!$A$1:$G$49,MATCH(orders!$D564,products!$A$1:$A$49,0),MATCH(orders!K$1,products!$A$1:$G$1,0))</f>
        <v>0.2</v>
      </c>
      <c r="L564" s="7">
        <f>INDEX(products!$A$1:$G$49,MATCH(orders!$D564,products!$A$1:$A$49,0),MATCH(orders!L$1,products!$A$1:$G$1,0))</f>
        <v>4.7549999999999999</v>
      </c>
      <c r="M564" s="7">
        <f t="shared" si="8"/>
        <v>28.53</v>
      </c>
      <c r="N564" s="4" t="str" cm="1">
        <f t="array" ref="N564">_xlfn.IFS(I564="Rob","Robusta",I564="Exc","Excelsa",I564="Ara","Arabica",I564="Lib","Liberica")</f>
        <v>Liberica</v>
      </c>
      <c r="O564" s="4" t="str" cm="1">
        <f t="array" ref="O564">_xlfn.IFS(J564="M","Medium",J564="L","Light",J564="D","Dark")</f>
        <v>Light</v>
      </c>
      <c r="P564" s="4" t="str">
        <f>_xlfn.XLOOKUP(CoffeeOrderstable[[#This Row],[Customer ID]],customers!$A$1:$A$1001,customers!$I$1:$I$1001,,0)</f>
        <v>No</v>
      </c>
    </row>
    <row r="565" spans="1:16" x14ac:dyDescent="0.3">
      <c r="A565" s="3" t="s">
        <v>3671</v>
      </c>
      <c r="B565" s="5">
        <v>43991</v>
      </c>
      <c r="C565" s="3" t="s">
        <v>3752</v>
      </c>
      <c r="D565" s="4" t="s">
        <v>6141</v>
      </c>
      <c r="E565" s="3">
        <v>6</v>
      </c>
      <c r="F565" s="3" t="str">
        <f>_xlfn.XLOOKUP(C565,customers!$A$1:$A$1001,customers!$B$1:$B$1001,,0)</f>
        <v>Don Flintiff</v>
      </c>
      <c r="G565" s="3" t="str">
        <f>IF(_xlfn.XLOOKUP(C565,customers!$A$1:$A$1001,customers!$C$1:$C$1001,,0)=0,"", _xlfn.XLOOKUP(C565,customers!$A$1:$A$1001,customers!$C$1:$C$1001,,0))</f>
        <v>dflintiffg1@e-recht24.de</v>
      </c>
      <c r="H565" s="3" t="str">
        <f>_xlfn.XLOOKUP(C565,customers!$A$1:$A$1001,customers!$G$1:$G$1001,,0)</f>
        <v>United Kingdom</v>
      </c>
      <c r="I565" s="4" t="str">
        <f>INDEX(products!$A$1:$G$49,MATCH(orders!$D565,products!$A$1:$A$49,0),MATCH(orders!I$1,products!$A$1:$G$1,0))</f>
        <v>Exc</v>
      </c>
      <c r="J565" s="4" t="str">
        <f>INDEX(products!$A$1:$G$49,MATCH(orders!$D565,products!$A$1:$A$49,0),MATCH(orders!J$1,products!$A$1:$G$1,0))</f>
        <v>M</v>
      </c>
      <c r="K565" s="6">
        <f>INDEX(products!$A$1:$G$49,MATCH(orders!$D565,products!$A$1:$A$49,0),MATCH(orders!K$1,products!$A$1:$G$1,0))</f>
        <v>1</v>
      </c>
      <c r="L565" s="7">
        <f>INDEX(products!$A$1:$G$49,MATCH(orders!$D565,products!$A$1:$A$49,0),MATCH(orders!L$1,products!$A$1:$G$1,0))</f>
        <v>13.75</v>
      </c>
      <c r="M565" s="7">
        <f t="shared" si="8"/>
        <v>82.5</v>
      </c>
      <c r="N565" s="4" t="str" cm="1">
        <f t="array" ref="N565">_xlfn.IFS(I565="Rob","Robusta",I565="Exc","Excelsa",I565="Ara","Arabica",I565="Lib","Liberica")</f>
        <v>Excelsa</v>
      </c>
      <c r="O565" s="4" t="str" cm="1">
        <f t="array" ref="O565">_xlfn.IFS(J565="M","Medium",J565="L","Light",J565="D","Dark")</f>
        <v>Medium</v>
      </c>
      <c r="P565" s="4" t="str">
        <f>_xlfn.XLOOKUP(CoffeeOrderstable[[#This Row],[Customer ID]],customers!$A$1:$A$1001,customers!$I$1:$I$1001,,0)</f>
        <v>No</v>
      </c>
    </row>
    <row r="566" spans="1:16" x14ac:dyDescent="0.3">
      <c r="A566" s="3" t="s">
        <v>3677</v>
      </c>
      <c r="B566" s="5">
        <v>43883</v>
      </c>
      <c r="C566" s="3" t="s">
        <v>3678</v>
      </c>
      <c r="D566" s="4" t="s">
        <v>6173</v>
      </c>
      <c r="E566" s="3">
        <v>2</v>
      </c>
      <c r="F566" s="3" t="str">
        <f>_xlfn.XLOOKUP(C566,customers!$A$1:$A$1001,customers!$B$1:$B$1001,,0)</f>
        <v>Abbe Thys</v>
      </c>
      <c r="G566" s="3" t="str">
        <f>IF(_xlfn.XLOOKUP(C566,customers!$A$1:$A$1001,customers!$C$1:$C$1001,,0)=0,"", _xlfn.XLOOKUP(C566,customers!$A$1:$A$1001,customers!$C$1:$C$1001,,0))</f>
        <v>athysfo@cdc.gov</v>
      </c>
      <c r="H566" s="3" t="str">
        <f>_xlfn.XLOOKUP(C566,customers!$A$1:$A$1001,customers!$G$1:$G$1001,,0)</f>
        <v>United States</v>
      </c>
      <c r="I566" s="4" t="str">
        <f>INDEX(products!$A$1:$G$49,MATCH(orders!$D566,products!$A$1:$A$49,0),MATCH(orders!I$1,products!$A$1:$G$1,0))</f>
        <v>Rob</v>
      </c>
      <c r="J566" s="4" t="str">
        <f>INDEX(products!$A$1:$G$49,MATCH(orders!$D566,products!$A$1:$A$49,0),MATCH(orders!J$1,products!$A$1:$G$1,0))</f>
        <v>L</v>
      </c>
      <c r="K566" s="6">
        <f>INDEX(products!$A$1:$G$49,MATCH(orders!$D566,products!$A$1:$A$49,0),MATCH(orders!K$1,products!$A$1:$G$1,0))</f>
        <v>0.5</v>
      </c>
      <c r="L566" s="7">
        <f>INDEX(products!$A$1:$G$49,MATCH(orders!$D566,products!$A$1:$A$49,0),MATCH(orders!L$1,products!$A$1:$G$1,0))</f>
        <v>7.169999999999999</v>
      </c>
      <c r="M566" s="7">
        <f t="shared" si="8"/>
        <v>14.339999999999998</v>
      </c>
      <c r="N566" s="4" t="str" cm="1">
        <f t="array" ref="N566">_xlfn.IFS(I566="Rob","Robusta",I566="Exc","Excelsa",I566="Ara","Arabica",I566="Lib","Liberica")</f>
        <v>Robusta</v>
      </c>
      <c r="O566" s="4" t="str" cm="1">
        <f t="array" ref="O566">_xlfn.IFS(J566="M","Medium",J566="L","Light",J566="D","Dark")</f>
        <v>Light</v>
      </c>
      <c r="P566" s="4" t="str">
        <f>_xlfn.XLOOKUP(CoffeeOrderstable[[#This Row],[Customer ID]],customers!$A$1:$A$1001,customers!$I$1:$I$1001,,0)</f>
        <v>No</v>
      </c>
    </row>
    <row r="567" spans="1:16" x14ac:dyDescent="0.3">
      <c r="A567" s="3" t="s">
        <v>3683</v>
      </c>
      <c r="B567" s="5">
        <v>44031</v>
      </c>
      <c r="C567" s="3" t="s">
        <v>3684</v>
      </c>
      <c r="D567" s="4" t="s">
        <v>6149</v>
      </c>
      <c r="E567" s="3">
        <v>4</v>
      </c>
      <c r="F567" s="3" t="str">
        <f>_xlfn.XLOOKUP(C567,customers!$A$1:$A$1001,customers!$B$1:$B$1001,,0)</f>
        <v>Jackquelin Chugg</v>
      </c>
      <c r="G567" s="3" t="str">
        <f>IF(_xlfn.XLOOKUP(C567,customers!$A$1:$A$1001,customers!$C$1:$C$1001,,0)=0,"", _xlfn.XLOOKUP(C567,customers!$A$1:$A$1001,customers!$C$1:$C$1001,,0))</f>
        <v>jchuggfp@about.me</v>
      </c>
      <c r="H567" s="3" t="str">
        <f>_xlfn.XLOOKUP(C567,customers!$A$1:$A$1001,customers!$G$1:$G$1001,,0)</f>
        <v>United States</v>
      </c>
      <c r="I567" s="4" t="str">
        <f>INDEX(products!$A$1:$G$49,MATCH(orders!$D567,products!$A$1:$A$49,0),MATCH(orders!I$1,products!$A$1:$G$1,0))</f>
        <v>Rob</v>
      </c>
      <c r="J567" s="4" t="str">
        <f>INDEX(products!$A$1:$G$49,MATCH(orders!$D567,products!$A$1:$A$49,0),MATCH(orders!J$1,products!$A$1:$G$1,0))</f>
        <v>D</v>
      </c>
      <c r="K567" s="6">
        <f>INDEX(products!$A$1:$G$49,MATCH(orders!$D567,products!$A$1:$A$49,0),MATCH(orders!K$1,products!$A$1:$G$1,0))</f>
        <v>2.5</v>
      </c>
      <c r="L567" s="7">
        <f>INDEX(products!$A$1:$G$49,MATCH(orders!$D567,products!$A$1:$A$49,0),MATCH(orders!L$1,products!$A$1:$G$1,0))</f>
        <v>20.584999999999997</v>
      </c>
      <c r="M567" s="7">
        <f t="shared" si="8"/>
        <v>82.339999999999989</v>
      </c>
      <c r="N567" s="4" t="str" cm="1">
        <f t="array" ref="N567">_xlfn.IFS(I567="Rob","Robusta",I567="Exc","Excelsa",I567="Ara","Arabica",I567="Lib","Liberica")</f>
        <v>Robusta</v>
      </c>
      <c r="O567" s="4" t="str" cm="1">
        <f t="array" ref="O567">_xlfn.IFS(J567="M","Medium",J567="L","Light",J567="D","Dark")</f>
        <v>Dark</v>
      </c>
      <c r="P567" s="4" t="str">
        <f>_xlfn.XLOOKUP(CoffeeOrderstable[[#This Row],[Customer ID]],customers!$A$1:$A$1001,customers!$I$1:$I$1001,,0)</f>
        <v>No</v>
      </c>
    </row>
    <row r="568" spans="1:16" x14ac:dyDescent="0.3">
      <c r="A568" s="3" t="s">
        <v>3689</v>
      </c>
      <c r="B568" s="5">
        <v>44459</v>
      </c>
      <c r="C568" s="3" t="s">
        <v>3690</v>
      </c>
      <c r="D568" s="4" t="s">
        <v>6152</v>
      </c>
      <c r="E568" s="3">
        <v>6</v>
      </c>
      <c r="F568" s="3" t="str">
        <f>_xlfn.XLOOKUP(C568,customers!$A$1:$A$1001,customers!$B$1:$B$1001,,0)</f>
        <v>Audra Kelston</v>
      </c>
      <c r="G568" s="3" t="str">
        <f>IF(_xlfn.XLOOKUP(C568,customers!$A$1:$A$1001,customers!$C$1:$C$1001,,0)=0,"", _xlfn.XLOOKUP(C568,customers!$A$1:$A$1001,customers!$C$1:$C$1001,,0))</f>
        <v>akelstonfq@sakura.ne.jp</v>
      </c>
      <c r="H568" s="3" t="str">
        <f>_xlfn.XLOOKUP(C568,customers!$A$1:$A$1001,customers!$G$1:$G$1001,,0)</f>
        <v>United States</v>
      </c>
      <c r="I568" s="4" t="str">
        <f>INDEX(products!$A$1:$G$49,MATCH(orders!$D568,products!$A$1:$A$49,0),MATCH(orders!I$1,products!$A$1:$G$1,0))</f>
        <v>Ara</v>
      </c>
      <c r="J568" s="4" t="str">
        <f>INDEX(products!$A$1:$G$49,MATCH(orders!$D568,products!$A$1:$A$49,0),MATCH(orders!J$1,products!$A$1:$G$1,0))</f>
        <v>M</v>
      </c>
      <c r="K568" s="6">
        <f>INDEX(products!$A$1:$G$49,MATCH(orders!$D568,products!$A$1:$A$49,0),MATCH(orders!K$1,products!$A$1:$G$1,0))</f>
        <v>0.2</v>
      </c>
      <c r="L568" s="7">
        <f>INDEX(products!$A$1:$G$49,MATCH(orders!$D568,products!$A$1:$A$49,0),MATCH(orders!L$1,products!$A$1:$G$1,0))</f>
        <v>3.375</v>
      </c>
      <c r="M568" s="7">
        <f t="shared" si="8"/>
        <v>20.25</v>
      </c>
      <c r="N568" s="4" t="str" cm="1">
        <f t="array" ref="N568">_xlfn.IFS(I568="Rob","Robusta",I568="Exc","Excelsa",I568="Ara","Arabica",I568="Lib","Liberica")</f>
        <v>Arabica</v>
      </c>
      <c r="O568" s="4" t="str" cm="1">
        <f t="array" ref="O568">_xlfn.IFS(J568="M","Medium",J568="L","Light",J568="D","Dark")</f>
        <v>Medium</v>
      </c>
      <c r="P568" s="4" t="str">
        <f>_xlfn.XLOOKUP(CoffeeOrderstable[[#This Row],[Customer ID]],customers!$A$1:$A$1001,customers!$I$1:$I$1001,,0)</f>
        <v>Yes</v>
      </c>
    </row>
    <row r="569" spans="1:16" x14ac:dyDescent="0.3">
      <c r="A569" s="3" t="s">
        <v>3695</v>
      </c>
      <c r="B569" s="5">
        <v>44318</v>
      </c>
      <c r="C569" s="3" t="s">
        <v>3696</v>
      </c>
      <c r="D569" s="4" t="s">
        <v>6142</v>
      </c>
      <c r="E569" s="3">
        <v>6</v>
      </c>
      <c r="F569" s="3" t="str">
        <f>_xlfn.XLOOKUP(C569,customers!$A$1:$A$1001,customers!$B$1:$B$1001,,0)</f>
        <v>Elvina Angel</v>
      </c>
      <c r="G569" s="3" t="str">
        <f>IF(_xlfn.XLOOKUP(C569,customers!$A$1:$A$1001,customers!$C$1:$C$1001,,0)=0,"", _xlfn.XLOOKUP(C569,customers!$A$1:$A$1001,customers!$C$1:$C$1001,,0))</f>
        <v/>
      </c>
      <c r="H569" s="3" t="str">
        <f>_xlfn.XLOOKUP(C569,customers!$A$1:$A$1001,customers!$G$1:$G$1001,,0)</f>
        <v>Ireland</v>
      </c>
      <c r="I569" s="4" t="str">
        <f>INDEX(products!$A$1:$G$49,MATCH(orders!$D569,products!$A$1:$A$49,0),MATCH(orders!I$1,products!$A$1:$G$1,0))</f>
        <v>Rob</v>
      </c>
      <c r="J569" s="4" t="str">
        <f>INDEX(products!$A$1:$G$49,MATCH(orders!$D569,products!$A$1:$A$49,0),MATCH(orders!J$1,products!$A$1:$G$1,0))</f>
        <v>L</v>
      </c>
      <c r="K569" s="6">
        <f>INDEX(products!$A$1:$G$49,MATCH(orders!$D569,products!$A$1:$A$49,0),MATCH(orders!K$1,products!$A$1:$G$1,0))</f>
        <v>2.5</v>
      </c>
      <c r="L569" s="7">
        <f>INDEX(products!$A$1:$G$49,MATCH(orders!$D569,products!$A$1:$A$49,0),MATCH(orders!L$1,products!$A$1:$G$1,0))</f>
        <v>27.484999999999996</v>
      </c>
      <c r="M569" s="7">
        <f t="shared" si="8"/>
        <v>164.90999999999997</v>
      </c>
      <c r="N569" s="4" t="str" cm="1">
        <f t="array" ref="N569">_xlfn.IFS(I569="Rob","Robusta",I569="Exc","Excelsa",I569="Ara","Arabica",I569="Lib","Liberica")</f>
        <v>Robusta</v>
      </c>
      <c r="O569" s="4" t="str" cm="1">
        <f t="array" ref="O569">_xlfn.IFS(J569="M","Medium",J569="L","Light",J569="D","Dark")</f>
        <v>Light</v>
      </c>
      <c r="P569" s="4" t="str">
        <f>_xlfn.XLOOKUP(CoffeeOrderstable[[#This Row],[Customer ID]],customers!$A$1:$A$1001,customers!$I$1:$I$1001,,0)</f>
        <v>No</v>
      </c>
    </row>
    <row r="570" spans="1:16" x14ac:dyDescent="0.3">
      <c r="A570" s="3" t="s">
        <v>3700</v>
      </c>
      <c r="B570" s="5">
        <v>44526</v>
      </c>
      <c r="C570" s="3" t="s">
        <v>3701</v>
      </c>
      <c r="D570" s="4" t="s">
        <v>6145</v>
      </c>
      <c r="E570" s="3">
        <v>4</v>
      </c>
      <c r="F570" s="3" t="str">
        <f>_xlfn.XLOOKUP(C570,customers!$A$1:$A$1001,customers!$B$1:$B$1001,,0)</f>
        <v>Claiborne Mottram</v>
      </c>
      <c r="G570" s="3" t="str">
        <f>IF(_xlfn.XLOOKUP(C570,customers!$A$1:$A$1001,customers!$C$1:$C$1001,,0)=0,"", _xlfn.XLOOKUP(C570,customers!$A$1:$A$1001,customers!$C$1:$C$1001,,0))</f>
        <v>cmottramfs@harvard.edu</v>
      </c>
      <c r="H570" s="3" t="str">
        <f>_xlfn.XLOOKUP(C570,customers!$A$1:$A$1001,customers!$G$1:$G$1001,,0)</f>
        <v>United States</v>
      </c>
      <c r="I570" s="4" t="str">
        <f>INDEX(products!$A$1:$G$49,MATCH(orders!$D570,products!$A$1:$A$49,0),MATCH(orders!I$1,products!$A$1:$G$1,0))</f>
        <v>Lib</v>
      </c>
      <c r="J570" s="4" t="str">
        <f>INDEX(products!$A$1:$G$49,MATCH(orders!$D570,products!$A$1:$A$49,0),MATCH(orders!J$1,products!$A$1:$G$1,0))</f>
        <v>L</v>
      </c>
      <c r="K570" s="6">
        <f>INDEX(products!$A$1:$G$49,MATCH(orders!$D570,products!$A$1:$A$49,0),MATCH(orders!K$1,products!$A$1:$G$1,0))</f>
        <v>0.2</v>
      </c>
      <c r="L570" s="7">
        <f>INDEX(products!$A$1:$G$49,MATCH(orders!$D570,products!$A$1:$A$49,0),MATCH(orders!L$1,products!$A$1:$G$1,0))</f>
        <v>4.7549999999999999</v>
      </c>
      <c r="M570" s="7">
        <f t="shared" si="8"/>
        <v>19.02</v>
      </c>
      <c r="N570" s="4" t="str" cm="1">
        <f t="array" ref="N570">_xlfn.IFS(I570="Rob","Robusta",I570="Exc","Excelsa",I570="Ara","Arabica",I570="Lib","Liberica")</f>
        <v>Liberica</v>
      </c>
      <c r="O570" s="4" t="str" cm="1">
        <f t="array" ref="O570">_xlfn.IFS(J570="M","Medium",J570="L","Light",J570="D","Dark")</f>
        <v>Light</v>
      </c>
      <c r="P570" s="4" t="str">
        <f>_xlfn.XLOOKUP(CoffeeOrderstable[[#This Row],[Customer ID]],customers!$A$1:$A$1001,customers!$I$1:$I$1001,,0)</f>
        <v>Yes</v>
      </c>
    </row>
    <row r="571" spans="1:16" x14ac:dyDescent="0.3">
      <c r="A571" s="3" t="s">
        <v>3706</v>
      </c>
      <c r="B571" s="5">
        <v>43879</v>
      </c>
      <c r="C571" s="3" t="s">
        <v>3752</v>
      </c>
      <c r="D571" s="4" t="s">
        <v>6168</v>
      </c>
      <c r="E571" s="3">
        <v>6</v>
      </c>
      <c r="F571" s="3" t="str">
        <f>_xlfn.XLOOKUP(C571,customers!$A$1:$A$1001,customers!$B$1:$B$1001,,0)</f>
        <v>Don Flintiff</v>
      </c>
      <c r="G571" s="3" t="str">
        <f>IF(_xlfn.XLOOKUP(C571,customers!$A$1:$A$1001,customers!$C$1:$C$1001,,0)=0,"", _xlfn.XLOOKUP(C571,customers!$A$1:$A$1001,customers!$C$1:$C$1001,,0))</f>
        <v>dflintiffg1@e-recht24.de</v>
      </c>
      <c r="H571" s="3" t="str">
        <f>_xlfn.XLOOKUP(C571,customers!$A$1:$A$1001,customers!$G$1:$G$1001,,0)</f>
        <v>United Kingdom</v>
      </c>
      <c r="I571" s="4" t="str">
        <f>INDEX(products!$A$1:$G$49,MATCH(orders!$D571,products!$A$1:$A$49,0),MATCH(orders!I$1,products!$A$1:$G$1,0))</f>
        <v>Ara</v>
      </c>
      <c r="J571" s="4" t="str">
        <f>INDEX(products!$A$1:$G$49,MATCH(orders!$D571,products!$A$1:$A$49,0),MATCH(orders!J$1,products!$A$1:$G$1,0))</f>
        <v>D</v>
      </c>
      <c r="K571" s="6">
        <f>INDEX(products!$A$1:$G$49,MATCH(orders!$D571,products!$A$1:$A$49,0),MATCH(orders!K$1,products!$A$1:$G$1,0))</f>
        <v>2.5</v>
      </c>
      <c r="L571" s="7">
        <f>INDEX(products!$A$1:$G$49,MATCH(orders!$D571,products!$A$1:$A$49,0),MATCH(orders!L$1,products!$A$1:$G$1,0))</f>
        <v>22.884999999999998</v>
      </c>
      <c r="M571" s="7">
        <f t="shared" si="8"/>
        <v>137.31</v>
      </c>
      <c r="N571" s="4" t="str" cm="1">
        <f t="array" ref="N571">_xlfn.IFS(I571="Rob","Robusta",I571="Exc","Excelsa",I571="Ara","Arabica",I571="Lib","Liberica")</f>
        <v>Arabica</v>
      </c>
      <c r="O571" s="4" t="str" cm="1">
        <f t="array" ref="O571">_xlfn.IFS(J571="M","Medium",J571="L","Light",J571="D","Dark")</f>
        <v>Dark</v>
      </c>
      <c r="P571" s="4" t="str">
        <f>_xlfn.XLOOKUP(CoffeeOrderstable[[#This Row],[Customer ID]],customers!$A$1:$A$1001,customers!$I$1:$I$1001,,0)</f>
        <v>No</v>
      </c>
    </row>
    <row r="572" spans="1:16" x14ac:dyDescent="0.3">
      <c r="A572" s="3" t="s">
        <v>3712</v>
      </c>
      <c r="B572" s="5">
        <v>43928</v>
      </c>
      <c r="C572" s="3" t="s">
        <v>3713</v>
      </c>
      <c r="D572" s="4" t="s">
        <v>6157</v>
      </c>
      <c r="E572" s="3">
        <v>4</v>
      </c>
      <c r="F572" s="3" t="str">
        <f>_xlfn.XLOOKUP(C572,customers!$A$1:$A$1001,customers!$B$1:$B$1001,,0)</f>
        <v>Donalt Sangwin</v>
      </c>
      <c r="G572" s="3" t="str">
        <f>IF(_xlfn.XLOOKUP(C572,customers!$A$1:$A$1001,customers!$C$1:$C$1001,,0)=0,"", _xlfn.XLOOKUP(C572,customers!$A$1:$A$1001,customers!$C$1:$C$1001,,0))</f>
        <v>dsangwinfu@weebly.com</v>
      </c>
      <c r="H572" s="3" t="str">
        <f>_xlfn.XLOOKUP(C572,customers!$A$1:$A$1001,customers!$G$1:$G$1001,,0)</f>
        <v>United States</v>
      </c>
      <c r="I572" s="4" t="str">
        <f>INDEX(products!$A$1:$G$49,MATCH(orders!$D572,products!$A$1:$A$49,0),MATCH(orders!I$1,products!$A$1:$G$1,0))</f>
        <v>Ara</v>
      </c>
      <c r="J572" s="4" t="str">
        <f>INDEX(products!$A$1:$G$49,MATCH(orders!$D572,products!$A$1:$A$49,0),MATCH(orders!J$1,products!$A$1:$G$1,0))</f>
        <v>M</v>
      </c>
      <c r="K572" s="6">
        <f>INDEX(products!$A$1:$G$49,MATCH(orders!$D572,products!$A$1:$A$49,0),MATCH(orders!K$1,products!$A$1:$G$1,0))</f>
        <v>0.5</v>
      </c>
      <c r="L572" s="7">
        <f>INDEX(products!$A$1:$G$49,MATCH(orders!$D572,products!$A$1:$A$49,0),MATCH(orders!L$1,products!$A$1:$G$1,0))</f>
        <v>6.75</v>
      </c>
      <c r="M572" s="7">
        <f t="shared" si="8"/>
        <v>27</v>
      </c>
      <c r="N572" s="4" t="str" cm="1">
        <f t="array" ref="N572">_xlfn.IFS(I572="Rob","Robusta",I572="Exc","Excelsa",I572="Ara","Arabica",I572="Lib","Liberica")</f>
        <v>Arabica</v>
      </c>
      <c r="O572" s="4" t="str" cm="1">
        <f t="array" ref="O572">_xlfn.IFS(J572="M","Medium",J572="L","Light",J572="D","Dark")</f>
        <v>Medium</v>
      </c>
      <c r="P572" s="4" t="str">
        <f>_xlfn.XLOOKUP(CoffeeOrderstable[[#This Row],[Customer ID]],customers!$A$1:$A$1001,customers!$I$1:$I$1001,,0)</f>
        <v>No</v>
      </c>
    </row>
    <row r="573" spans="1:16" x14ac:dyDescent="0.3">
      <c r="A573" s="3" t="s">
        <v>3718</v>
      </c>
      <c r="B573" s="5">
        <v>44592</v>
      </c>
      <c r="C573" s="3" t="s">
        <v>3719</v>
      </c>
      <c r="D573" s="4" t="s">
        <v>6176</v>
      </c>
      <c r="E573" s="3">
        <v>4</v>
      </c>
      <c r="F573" s="3" t="str">
        <f>_xlfn.XLOOKUP(C573,customers!$A$1:$A$1001,customers!$B$1:$B$1001,,0)</f>
        <v>Elizabet Aizikowitz</v>
      </c>
      <c r="G573" s="3" t="str">
        <f>IF(_xlfn.XLOOKUP(C573,customers!$A$1:$A$1001,customers!$C$1:$C$1001,,0)=0,"", _xlfn.XLOOKUP(C573,customers!$A$1:$A$1001,customers!$C$1:$C$1001,,0))</f>
        <v>eaizikowitzfv@virginia.edu</v>
      </c>
      <c r="H573" s="3" t="str">
        <f>_xlfn.XLOOKUP(C573,customers!$A$1:$A$1001,customers!$G$1:$G$1001,,0)</f>
        <v>United Kingdom</v>
      </c>
      <c r="I573" s="4" t="str">
        <f>INDEX(products!$A$1:$G$49,MATCH(orders!$D573,products!$A$1:$A$49,0),MATCH(orders!I$1,products!$A$1:$G$1,0))</f>
        <v>Exc</v>
      </c>
      <c r="J573" s="4" t="str">
        <f>INDEX(products!$A$1:$G$49,MATCH(orders!$D573,products!$A$1:$A$49,0),MATCH(orders!J$1,products!$A$1:$G$1,0))</f>
        <v>L</v>
      </c>
      <c r="K573" s="6">
        <f>INDEX(products!$A$1:$G$49,MATCH(orders!$D573,products!$A$1:$A$49,0),MATCH(orders!K$1,products!$A$1:$G$1,0))</f>
        <v>0.5</v>
      </c>
      <c r="L573" s="7">
        <f>INDEX(products!$A$1:$G$49,MATCH(orders!$D573,products!$A$1:$A$49,0),MATCH(orders!L$1,products!$A$1:$G$1,0))</f>
        <v>8.91</v>
      </c>
      <c r="M573" s="7">
        <f t="shared" si="8"/>
        <v>35.64</v>
      </c>
      <c r="N573" s="4" t="str" cm="1">
        <f t="array" ref="N573">_xlfn.IFS(I573="Rob","Robusta",I573="Exc","Excelsa",I573="Ara","Arabica",I573="Lib","Liberica")</f>
        <v>Excelsa</v>
      </c>
      <c r="O573" s="4" t="str" cm="1">
        <f t="array" ref="O573">_xlfn.IFS(J573="M","Medium",J573="L","Light",J573="D","Dark")</f>
        <v>Light</v>
      </c>
      <c r="P573" s="4" t="str">
        <f>_xlfn.XLOOKUP(CoffeeOrderstable[[#This Row],[Customer ID]],customers!$A$1:$A$1001,customers!$I$1:$I$1001,,0)</f>
        <v>No</v>
      </c>
    </row>
    <row r="574" spans="1:16" x14ac:dyDescent="0.3">
      <c r="A574" s="3" t="s">
        <v>3724</v>
      </c>
      <c r="B574" s="5">
        <v>43515</v>
      </c>
      <c r="C574" s="3" t="s">
        <v>3725</v>
      </c>
      <c r="D574" s="4" t="s">
        <v>6154</v>
      </c>
      <c r="E574" s="3">
        <v>2</v>
      </c>
      <c r="F574" s="3" t="str">
        <f>_xlfn.XLOOKUP(C574,customers!$A$1:$A$1001,customers!$B$1:$B$1001,,0)</f>
        <v>Herbie Peppard</v>
      </c>
      <c r="G574" s="3" t="str">
        <f>IF(_xlfn.XLOOKUP(C574,customers!$A$1:$A$1001,customers!$C$1:$C$1001,,0)=0,"", _xlfn.XLOOKUP(C574,customers!$A$1:$A$1001,customers!$C$1:$C$1001,,0))</f>
        <v/>
      </c>
      <c r="H574" s="3" t="str">
        <f>_xlfn.XLOOKUP(C574,customers!$A$1:$A$1001,customers!$G$1:$G$1001,,0)</f>
        <v>United States</v>
      </c>
      <c r="I574" s="4" t="str">
        <f>INDEX(products!$A$1:$G$49,MATCH(orders!$D574,products!$A$1:$A$49,0),MATCH(orders!I$1,products!$A$1:$G$1,0))</f>
        <v>Ara</v>
      </c>
      <c r="J574" s="4" t="str">
        <f>INDEX(products!$A$1:$G$49,MATCH(orders!$D574,products!$A$1:$A$49,0),MATCH(orders!J$1,products!$A$1:$G$1,0))</f>
        <v>D</v>
      </c>
      <c r="K574" s="6">
        <f>INDEX(products!$A$1:$G$49,MATCH(orders!$D574,products!$A$1:$A$49,0),MATCH(orders!K$1,products!$A$1:$G$1,0))</f>
        <v>0.2</v>
      </c>
      <c r="L574" s="7">
        <f>INDEX(products!$A$1:$G$49,MATCH(orders!$D574,products!$A$1:$A$49,0),MATCH(orders!L$1,products!$A$1:$G$1,0))</f>
        <v>2.9849999999999999</v>
      </c>
      <c r="M574" s="7">
        <f t="shared" si="8"/>
        <v>5.97</v>
      </c>
      <c r="N574" s="4" t="str" cm="1">
        <f t="array" ref="N574">_xlfn.IFS(I574="Rob","Robusta",I574="Exc","Excelsa",I574="Ara","Arabica",I574="Lib","Liberica")</f>
        <v>Arabica</v>
      </c>
      <c r="O574" s="4" t="str" cm="1">
        <f t="array" ref="O574">_xlfn.IFS(J574="M","Medium",J574="L","Light",J574="D","Dark")</f>
        <v>Dark</v>
      </c>
      <c r="P574" s="4" t="str">
        <f>_xlfn.XLOOKUP(CoffeeOrderstable[[#This Row],[Customer ID]],customers!$A$1:$A$1001,customers!$I$1:$I$1001,,0)</f>
        <v>Yes</v>
      </c>
    </row>
    <row r="575" spans="1:16" x14ac:dyDescent="0.3">
      <c r="A575" s="3" t="s">
        <v>3728</v>
      </c>
      <c r="B575" s="5">
        <v>43781</v>
      </c>
      <c r="C575" s="3" t="s">
        <v>3729</v>
      </c>
      <c r="D575" s="4" t="s">
        <v>6155</v>
      </c>
      <c r="E575" s="3">
        <v>6</v>
      </c>
      <c r="F575" s="3" t="str">
        <f>_xlfn.XLOOKUP(C575,customers!$A$1:$A$1001,customers!$B$1:$B$1001,,0)</f>
        <v>Cornie Venour</v>
      </c>
      <c r="G575" s="3" t="str">
        <f>IF(_xlfn.XLOOKUP(C575,customers!$A$1:$A$1001,customers!$C$1:$C$1001,,0)=0,"", _xlfn.XLOOKUP(C575,customers!$A$1:$A$1001,customers!$C$1:$C$1001,,0))</f>
        <v>cvenourfx@ask.com</v>
      </c>
      <c r="H575" s="3" t="str">
        <f>_xlfn.XLOOKUP(C575,customers!$A$1:$A$1001,customers!$G$1:$G$1001,,0)</f>
        <v>United States</v>
      </c>
      <c r="I575" s="4" t="str">
        <f>INDEX(products!$A$1:$G$49,MATCH(orders!$D575,products!$A$1:$A$49,0),MATCH(orders!I$1,products!$A$1:$G$1,0))</f>
        <v>Ara</v>
      </c>
      <c r="J575" s="4" t="str">
        <f>INDEX(products!$A$1:$G$49,MATCH(orders!$D575,products!$A$1:$A$49,0),MATCH(orders!J$1,products!$A$1:$G$1,0))</f>
        <v>M</v>
      </c>
      <c r="K575" s="6">
        <f>INDEX(products!$A$1:$G$49,MATCH(orders!$D575,products!$A$1:$A$49,0),MATCH(orders!K$1,products!$A$1:$G$1,0))</f>
        <v>1</v>
      </c>
      <c r="L575" s="7">
        <f>INDEX(products!$A$1:$G$49,MATCH(orders!$D575,products!$A$1:$A$49,0),MATCH(orders!L$1,products!$A$1:$G$1,0))</f>
        <v>11.25</v>
      </c>
      <c r="M575" s="7">
        <f t="shared" si="8"/>
        <v>67.5</v>
      </c>
      <c r="N575" s="4" t="str" cm="1">
        <f t="array" ref="N575">_xlfn.IFS(I575="Rob","Robusta",I575="Exc","Excelsa",I575="Ara","Arabica",I575="Lib","Liberica")</f>
        <v>Arabica</v>
      </c>
      <c r="O575" s="4" t="str" cm="1">
        <f t="array" ref="O575">_xlfn.IFS(J575="M","Medium",J575="L","Light",J575="D","Dark")</f>
        <v>Medium</v>
      </c>
      <c r="P575" s="4" t="str">
        <f>_xlfn.XLOOKUP(CoffeeOrderstable[[#This Row],[Customer ID]],customers!$A$1:$A$1001,customers!$I$1:$I$1001,,0)</f>
        <v>No</v>
      </c>
    </row>
    <row r="576" spans="1:16" x14ac:dyDescent="0.3">
      <c r="A576" s="3" t="s">
        <v>3734</v>
      </c>
      <c r="B576" s="5">
        <v>44697</v>
      </c>
      <c r="C576" s="3" t="s">
        <v>3735</v>
      </c>
      <c r="D576" s="4" t="s">
        <v>6178</v>
      </c>
      <c r="E576" s="3">
        <v>6</v>
      </c>
      <c r="F576" s="3" t="str">
        <f>_xlfn.XLOOKUP(C576,customers!$A$1:$A$1001,customers!$B$1:$B$1001,,0)</f>
        <v>Maggy Harby</v>
      </c>
      <c r="G576" s="3" t="str">
        <f>IF(_xlfn.XLOOKUP(C576,customers!$A$1:$A$1001,customers!$C$1:$C$1001,,0)=0,"", _xlfn.XLOOKUP(C576,customers!$A$1:$A$1001,customers!$C$1:$C$1001,,0))</f>
        <v>mharbyfy@163.com</v>
      </c>
      <c r="H576" s="3" t="str">
        <f>_xlfn.XLOOKUP(C576,customers!$A$1:$A$1001,customers!$G$1:$G$1001,,0)</f>
        <v>United States</v>
      </c>
      <c r="I576" s="4" t="str">
        <f>INDEX(products!$A$1:$G$49,MATCH(orders!$D576,products!$A$1:$A$49,0),MATCH(orders!I$1,products!$A$1:$G$1,0))</f>
        <v>Rob</v>
      </c>
      <c r="J576" s="4" t="str">
        <f>INDEX(products!$A$1:$G$49,MATCH(orders!$D576,products!$A$1:$A$49,0),MATCH(orders!J$1,products!$A$1:$G$1,0))</f>
        <v>L</v>
      </c>
      <c r="K576" s="6">
        <f>INDEX(products!$A$1:$G$49,MATCH(orders!$D576,products!$A$1:$A$49,0),MATCH(orders!K$1,products!$A$1:$G$1,0))</f>
        <v>0.2</v>
      </c>
      <c r="L576" s="7">
        <f>INDEX(products!$A$1:$G$49,MATCH(orders!$D576,products!$A$1:$A$49,0),MATCH(orders!L$1,products!$A$1:$G$1,0))</f>
        <v>3.5849999999999995</v>
      </c>
      <c r="M576" s="7">
        <f t="shared" si="8"/>
        <v>21.509999999999998</v>
      </c>
      <c r="N576" s="4" t="str" cm="1">
        <f t="array" ref="N576">_xlfn.IFS(I576="Rob","Robusta",I576="Exc","Excelsa",I576="Ara","Arabica",I576="Lib","Liberica")</f>
        <v>Robusta</v>
      </c>
      <c r="O576" s="4" t="str" cm="1">
        <f t="array" ref="O576">_xlfn.IFS(J576="M","Medium",J576="L","Light",J576="D","Dark")</f>
        <v>Light</v>
      </c>
      <c r="P576" s="4" t="str">
        <f>_xlfn.XLOOKUP(CoffeeOrderstable[[#This Row],[Customer ID]],customers!$A$1:$A$1001,customers!$I$1:$I$1001,,0)</f>
        <v>Yes</v>
      </c>
    </row>
    <row r="577" spans="1:16" x14ac:dyDescent="0.3">
      <c r="A577" s="3" t="s">
        <v>3739</v>
      </c>
      <c r="B577" s="5">
        <v>44239</v>
      </c>
      <c r="C577" s="3" t="s">
        <v>3740</v>
      </c>
      <c r="D577" s="4" t="s">
        <v>6181</v>
      </c>
      <c r="E577" s="3">
        <v>2</v>
      </c>
      <c r="F577" s="3" t="str">
        <f>_xlfn.XLOOKUP(C577,customers!$A$1:$A$1001,customers!$B$1:$B$1001,,0)</f>
        <v>Reggie Thickpenny</v>
      </c>
      <c r="G577" s="3" t="str">
        <f>IF(_xlfn.XLOOKUP(C577,customers!$A$1:$A$1001,customers!$C$1:$C$1001,,0)=0,"", _xlfn.XLOOKUP(C577,customers!$A$1:$A$1001,customers!$C$1:$C$1001,,0))</f>
        <v>rthickpennyfz@cafepress.com</v>
      </c>
      <c r="H577" s="3" t="str">
        <f>_xlfn.XLOOKUP(C577,customers!$A$1:$A$1001,customers!$G$1:$G$1001,,0)</f>
        <v>United States</v>
      </c>
      <c r="I577" s="4" t="str">
        <f>INDEX(products!$A$1:$G$49,MATCH(orders!$D577,products!$A$1:$A$49,0),MATCH(orders!I$1,products!$A$1:$G$1,0))</f>
        <v>Lib</v>
      </c>
      <c r="J577" s="4" t="str">
        <f>INDEX(products!$A$1:$G$49,MATCH(orders!$D577,products!$A$1:$A$49,0),MATCH(orders!J$1,products!$A$1:$G$1,0))</f>
        <v>M</v>
      </c>
      <c r="K577" s="6">
        <f>INDEX(products!$A$1:$G$49,MATCH(orders!$D577,products!$A$1:$A$49,0),MATCH(orders!K$1,products!$A$1:$G$1,0))</f>
        <v>2.5</v>
      </c>
      <c r="L577" s="7">
        <f>INDEX(products!$A$1:$G$49,MATCH(orders!$D577,products!$A$1:$A$49,0),MATCH(orders!L$1,products!$A$1:$G$1,0))</f>
        <v>33.464999999999996</v>
      </c>
      <c r="M577" s="7">
        <f t="shared" si="8"/>
        <v>66.929999999999993</v>
      </c>
      <c r="N577" s="4" t="str" cm="1">
        <f t="array" ref="N577">_xlfn.IFS(I577="Rob","Robusta",I577="Exc","Excelsa",I577="Ara","Arabica",I577="Lib","Liberica")</f>
        <v>Liberica</v>
      </c>
      <c r="O577" s="4" t="str" cm="1">
        <f t="array" ref="O577">_xlfn.IFS(J577="M","Medium",J577="L","Light",J577="D","Dark")</f>
        <v>Medium</v>
      </c>
      <c r="P577" s="4" t="str">
        <f>_xlfn.XLOOKUP(CoffeeOrderstable[[#This Row],[Customer ID]],customers!$A$1:$A$1001,customers!$I$1:$I$1001,,0)</f>
        <v>No</v>
      </c>
    </row>
    <row r="578" spans="1:16" x14ac:dyDescent="0.3">
      <c r="A578" s="3" t="s">
        <v>3745</v>
      </c>
      <c r="B578" s="5">
        <v>44290</v>
      </c>
      <c r="C578" s="3" t="s">
        <v>3746</v>
      </c>
      <c r="D578" s="4" t="s">
        <v>6154</v>
      </c>
      <c r="E578" s="3">
        <v>6</v>
      </c>
      <c r="F578" s="3" t="str">
        <f>_xlfn.XLOOKUP(C578,customers!$A$1:$A$1001,customers!$B$1:$B$1001,,0)</f>
        <v>Phyllys Ormerod</v>
      </c>
      <c r="G578" s="3" t="str">
        <f>IF(_xlfn.XLOOKUP(C578,customers!$A$1:$A$1001,customers!$C$1:$C$1001,,0)=0,"", _xlfn.XLOOKUP(C578,customers!$A$1:$A$1001,customers!$C$1:$C$1001,,0))</f>
        <v>pormerodg0@redcross.org</v>
      </c>
      <c r="H578" s="3" t="str">
        <f>_xlfn.XLOOKUP(C578,customers!$A$1:$A$1001,customers!$G$1:$G$1001,,0)</f>
        <v>United States</v>
      </c>
      <c r="I578" s="4" t="str">
        <f>INDEX(products!$A$1:$G$49,MATCH(orders!$D578,products!$A$1:$A$49,0),MATCH(orders!I$1,products!$A$1:$G$1,0))</f>
        <v>Ara</v>
      </c>
      <c r="J578" s="4" t="str">
        <f>INDEX(products!$A$1:$G$49,MATCH(orders!$D578,products!$A$1:$A$49,0),MATCH(orders!J$1,products!$A$1:$G$1,0))</f>
        <v>D</v>
      </c>
      <c r="K578" s="6">
        <f>INDEX(products!$A$1:$G$49,MATCH(orders!$D578,products!$A$1:$A$49,0),MATCH(orders!K$1,products!$A$1:$G$1,0))</f>
        <v>0.2</v>
      </c>
      <c r="L578" s="7">
        <f>INDEX(products!$A$1:$G$49,MATCH(orders!$D578,products!$A$1:$A$49,0),MATCH(orders!L$1,products!$A$1:$G$1,0))</f>
        <v>2.9849999999999999</v>
      </c>
      <c r="M578" s="7">
        <f t="shared" si="8"/>
        <v>17.91</v>
      </c>
      <c r="N578" s="4" t="str" cm="1">
        <f t="array" ref="N578">_xlfn.IFS(I578="Rob","Robusta",I578="Exc","Excelsa",I578="Ara","Arabica",I578="Lib","Liberica")</f>
        <v>Arabica</v>
      </c>
      <c r="O578" s="4" t="str" cm="1">
        <f t="array" ref="O578">_xlfn.IFS(J578="M","Medium",J578="L","Light",J578="D","Dark")</f>
        <v>Dark</v>
      </c>
      <c r="P578" s="4" t="str">
        <f>_xlfn.XLOOKUP(CoffeeOrderstable[[#This Row],[Customer ID]],customers!$A$1:$A$1001,customers!$I$1:$I$1001,,0)</f>
        <v>No</v>
      </c>
    </row>
    <row r="579" spans="1:16" x14ac:dyDescent="0.3">
      <c r="A579" s="3" t="s">
        <v>3751</v>
      </c>
      <c r="B579" s="5">
        <v>44410</v>
      </c>
      <c r="C579" s="3" t="s">
        <v>3752</v>
      </c>
      <c r="D579" s="4" t="s">
        <v>6162</v>
      </c>
      <c r="E579" s="3">
        <v>4</v>
      </c>
      <c r="F579" s="3" t="str">
        <f>_xlfn.XLOOKUP(C579,customers!$A$1:$A$1001,customers!$B$1:$B$1001,,0)</f>
        <v>Don Flintiff</v>
      </c>
      <c r="G579" s="3" t="str">
        <f>IF(_xlfn.XLOOKUP(C579,customers!$A$1:$A$1001,customers!$C$1:$C$1001,,0)=0,"", _xlfn.XLOOKUP(C579,customers!$A$1:$A$1001,customers!$C$1:$C$1001,,0))</f>
        <v>dflintiffg1@e-recht24.de</v>
      </c>
      <c r="H579" s="3" t="str">
        <f>_xlfn.XLOOKUP(C579,customers!$A$1:$A$1001,customers!$G$1:$G$1001,,0)</f>
        <v>United Kingdom</v>
      </c>
      <c r="I579" s="4" t="str">
        <f>INDEX(products!$A$1:$G$49,MATCH(orders!$D579,products!$A$1:$A$49,0),MATCH(orders!I$1,products!$A$1:$G$1,0))</f>
        <v>Lib</v>
      </c>
      <c r="J579" s="4" t="str">
        <f>INDEX(products!$A$1:$G$49,MATCH(orders!$D579,products!$A$1:$A$49,0),MATCH(orders!J$1,products!$A$1:$G$1,0))</f>
        <v>M</v>
      </c>
      <c r="K579" s="6">
        <f>INDEX(products!$A$1:$G$49,MATCH(orders!$D579,products!$A$1:$A$49,0),MATCH(orders!K$1,products!$A$1:$G$1,0))</f>
        <v>1</v>
      </c>
      <c r="L579" s="7">
        <f>INDEX(products!$A$1:$G$49,MATCH(orders!$D579,products!$A$1:$A$49,0),MATCH(orders!L$1,products!$A$1:$G$1,0))</f>
        <v>14.55</v>
      </c>
      <c r="M579" s="7">
        <f t="shared" ref="M579:M642" si="9">L579*E579</f>
        <v>58.2</v>
      </c>
      <c r="N579" s="4" t="str" cm="1">
        <f t="array" ref="N579">_xlfn.IFS(I579="Rob","Robusta",I579="Exc","Excelsa",I579="Ara","Arabica",I579="Lib","Liberica")</f>
        <v>Liberica</v>
      </c>
      <c r="O579" s="4" t="str" cm="1">
        <f t="array" ref="O579">_xlfn.IFS(J579="M","Medium",J579="L","Light",J579="D","Dark")</f>
        <v>Medium</v>
      </c>
      <c r="P579" s="4" t="str">
        <f>_xlfn.XLOOKUP(CoffeeOrderstable[[#This Row],[Customer ID]],customers!$A$1:$A$1001,customers!$I$1:$I$1001,,0)</f>
        <v>No</v>
      </c>
    </row>
    <row r="580" spans="1:16" x14ac:dyDescent="0.3">
      <c r="A580" s="3" t="s">
        <v>3756</v>
      </c>
      <c r="B580" s="5">
        <v>44720</v>
      </c>
      <c r="C580" s="3" t="s">
        <v>3757</v>
      </c>
      <c r="D580" s="4" t="s">
        <v>6184</v>
      </c>
      <c r="E580" s="3">
        <v>3</v>
      </c>
      <c r="F580" s="3" t="str">
        <f>_xlfn.XLOOKUP(C580,customers!$A$1:$A$1001,customers!$B$1:$B$1001,,0)</f>
        <v>Tymon Zanetti</v>
      </c>
      <c r="G580" s="3" t="str">
        <f>IF(_xlfn.XLOOKUP(C580,customers!$A$1:$A$1001,customers!$C$1:$C$1001,,0)=0,"", _xlfn.XLOOKUP(C580,customers!$A$1:$A$1001,customers!$C$1:$C$1001,,0))</f>
        <v>tzanettig2@gravatar.com</v>
      </c>
      <c r="H580" s="3" t="str">
        <f>_xlfn.XLOOKUP(C580,customers!$A$1:$A$1001,customers!$G$1:$G$1001,,0)</f>
        <v>Ireland</v>
      </c>
      <c r="I580" s="4" t="str">
        <f>INDEX(products!$A$1:$G$49,MATCH(orders!$D580,products!$A$1:$A$49,0),MATCH(orders!I$1,products!$A$1:$G$1,0))</f>
        <v>Exc</v>
      </c>
      <c r="J580" s="4" t="str">
        <f>INDEX(products!$A$1:$G$49,MATCH(orders!$D580,products!$A$1:$A$49,0),MATCH(orders!J$1,products!$A$1:$G$1,0))</f>
        <v>L</v>
      </c>
      <c r="K580" s="6">
        <f>INDEX(products!$A$1:$G$49,MATCH(orders!$D580,products!$A$1:$A$49,0),MATCH(orders!K$1,products!$A$1:$G$1,0))</f>
        <v>0.2</v>
      </c>
      <c r="L580" s="7">
        <f>INDEX(products!$A$1:$G$49,MATCH(orders!$D580,products!$A$1:$A$49,0),MATCH(orders!L$1,products!$A$1:$G$1,0))</f>
        <v>4.4550000000000001</v>
      </c>
      <c r="M580" s="7">
        <f t="shared" si="9"/>
        <v>13.365</v>
      </c>
      <c r="N580" s="4" t="str" cm="1">
        <f t="array" ref="N580">_xlfn.IFS(I580="Rob","Robusta",I580="Exc","Excelsa",I580="Ara","Arabica",I580="Lib","Liberica")</f>
        <v>Excelsa</v>
      </c>
      <c r="O580" s="4" t="str" cm="1">
        <f t="array" ref="O580">_xlfn.IFS(J580="M","Medium",J580="L","Light",J580="D","Dark")</f>
        <v>Light</v>
      </c>
      <c r="P580" s="4" t="str">
        <f>_xlfn.XLOOKUP(CoffeeOrderstable[[#This Row],[Customer ID]],customers!$A$1:$A$1001,customers!$I$1:$I$1001,,0)</f>
        <v>No</v>
      </c>
    </row>
    <row r="581" spans="1:16" x14ac:dyDescent="0.3">
      <c r="A581" s="3" t="s">
        <v>3756</v>
      </c>
      <c r="B581" s="5">
        <v>44720</v>
      </c>
      <c r="C581" s="3" t="s">
        <v>3757</v>
      </c>
      <c r="D581" s="4" t="s">
        <v>6157</v>
      </c>
      <c r="E581" s="3">
        <v>5</v>
      </c>
      <c r="F581" s="3" t="str">
        <f>_xlfn.XLOOKUP(C581,customers!$A$1:$A$1001,customers!$B$1:$B$1001,,0)</f>
        <v>Tymon Zanetti</v>
      </c>
      <c r="G581" s="3" t="str">
        <f>IF(_xlfn.XLOOKUP(C581,customers!$A$1:$A$1001,customers!$C$1:$C$1001,,0)=0,"", _xlfn.XLOOKUP(C581,customers!$A$1:$A$1001,customers!$C$1:$C$1001,,0))</f>
        <v>tzanettig2@gravatar.com</v>
      </c>
      <c r="H581" s="3" t="str">
        <f>_xlfn.XLOOKUP(C581,customers!$A$1:$A$1001,customers!$G$1:$G$1001,,0)</f>
        <v>Ireland</v>
      </c>
      <c r="I581" s="4" t="str">
        <f>INDEX(products!$A$1:$G$49,MATCH(orders!$D581,products!$A$1:$A$49,0),MATCH(orders!I$1,products!$A$1:$G$1,0))</f>
        <v>Ara</v>
      </c>
      <c r="J581" s="4" t="str">
        <f>INDEX(products!$A$1:$G$49,MATCH(orders!$D581,products!$A$1:$A$49,0),MATCH(orders!J$1,products!$A$1:$G$1,0))</f>
        <v>M</v>
      </c>
      <c r="K581" s="6">
        <f>INDEX(products!$A$1:$G$49,MATCH(orders!$D581,products!$A$1:$A$49,0),MATCH(orders!K$1,products!$A$1:$G$1,0))</f>
        <v>0.5</v>
      </c>
      <c r="L581" s="7">
        <f>INDEX(products!$A$1:$G$49,MATCH(orders!$D581,products!$A$1:$A$49,0),MATCH(orders!L$1,products!$A$1:$G$1,0))</f>
        <v>6.75</v>
      </c>
      <c r="M581" s="7">
        <f t="shared" si="9"/>
        <v>33.75</v>
      </c>
      <c r="N581" s="4" t="str" cm="1">
        <f t="array" ref="N581">_xlfn.IFS(I581="Rob","Robusta",I581="Exc","Excelsa",I581="Ara","Arabica",I581="Lib","Liberica")</f>
        <v>Arabica</v>
      </c>
      <c r="O581" s="4" t="str" cm="1">
        <f t="array" ref="O581">_xlfn.IFS(J581="M","Medium",J581="L","Light",J581="D","Dark")</f>
        <v>Medium</v>
      </c>
      <c r="P581" s="4" t="str">
        <f>_xlfn.XLOOKUP(CoffeeOrderstable[[#This Row],[Customer ID]],customers!$A$1:$A$1001,customers!$I$1:$I$1001,,0)</f>
        <v>No</v>
      </c>
    </row>
    <row r="582" spans="1:16" x14ac:dyDescent="0.3">
      <c r="A582" s="3" t="s">
        <v>3767</v>
      </c>
      <c r="B582" s="5">
        <v>43965</v>
      </c>
      <c r="C582" s="3" t="s">
        <v>3768</v>
      </c>
      <c r="D582" s="4" t="s">
        <v>6171</v>
      </c>
      <c r="E582" s="3">
        <v>3</v>
      </c>
      <c r="F582" s="3" t="str">
        <f>_xlfn.XLOOKUP(C582,customers!$A$1:$A$1001,customers!$B$1:$B$1001,,0)</f>
        <v>Reinaldos Kirtley</v>
      </c>
      <c r="G582" s="3" t="str">
        <f>IF(_xlfn.XLOOKUP(C582,customers!$A$1:$A$1001,customers!$C$1:$C$1001,,0)=0,"", _xlfn.XLOOKUP(C582,customers!$A$1:$A$1001,customers!$C$1:$C$1001,,0))</f>
        <v>rkirtleyg4@hatena.ne.jp</v>
      </c>
      <c r="H582" s="3" t="str">
        <f>_xlfn.XLOOKUP(C582,customers!$A$1:$A$1001,customers!$G$1:$G$1001,,0)</f>
        <v>United States</v>
      </c>
      <c r="I582" s="4" t="str">
        <f>INDEX(products!$A$1:$G$49,MATCH(orders!$D582,products!$A$1:$A$49,0),MATCH(orders!I$1,products!$A$1:$G$1,0))</f>
        <v>Exc</v>
      </c>
      <c r="J582" s="4" t="str">
        <f>INDEX(products!$A$1:$G$49,MATCH(orders!$D582,products!$A$1:$A$49,0),MATCH(orders!J$1,products!$A$1:$G$1,0))</f>
        <v>L</v>
      </c>
      <c r="K582" s="6">
        <f>INDEX(products!$A$1:$G$49,MATCH(orders!$D582,products!$A$1:$A$49,0),MATCH(orders!K$1,products!$A$1:$G$1,0))</f>
        <v>1</v>
      </c>
      <c r="L582" s="7">
        <f>INDEX(products!$A$1:$G$49,MATCH(orders!$D582,products!$A$1:$A$49,0),MATCH(orders!L$1,products!$A$1:$G$1,0))</f>
        <v>14.85</v>
      </c>
      <c r="M582" s="7">
        <f t="shared" si="9"/>
        <v>44.55</v>
      </c>
      <c r="N582" s="4" t="str" cm="1">
        <f t="array" ref="N582">_xlfn.IFS(I582="Rob","Robusta",I582="Exc","Excelsa",I582="Ara","Arabica",I582="Lib","Liberica")</f>
        <v>Excelsa</v>
      </c>
      <c r="O582" s="4" t="str" cm="1">
        <f t="array" ref="O582">_xlfn.IFS(J582="M","Medium",J582="L","Light",J582="D","Dark")</f>
        <v>Light</v>
      </c>
      <c r="P582" s="4" t="str">
        <f>_xlfn.XLOOKUP(CoffeeOrderstable[[#This Row],[Customer ID]],customers!$A$1:$A$1001,customers!$I$1:$I$1001,,0)</f>
        <v>Yes</v>
      </c>
    </row>
    <row r="583" spans="1:16" x14ac:dyDescent="0.3">
      <c r="A583" s="3" t="s">
        <v>3773</v>
      </c>
      <c r="B583" s="5">
        <v>44190</v>
      </c>
      <c r="C583" s="3" t="s">
        <v>3774</v>
      </c>
      <c r="D583" s="4" t="s">
        <v>6176</v>
      </c>
      <c r="E583" s="3">
        <v>5</v>
      </c>
      <c r="F583" s="3" t="str">
        <f>_xlfn.XLOOKUP(C583,customers!$A$1:$A$1001,customers!$B$1:$B$1001,,0)</f>
        <v>Carney Clemencet</v>
      </c>
      <c r="G583" s="3" t="str">
        <f>IF(_xlfn.XLOOKUP(C583,customers!$A$1:$A$1001,customers!$C$1:$C$1001,,0)=0,"", _xlfn.XLOOKUP(C583,customers!$A$1:$A$1001,customers!$C$1:$C$1001,,0))</f>
        <v>cclemencetg5@weather.com</v>
      </c>
      <c r="H583" s="3" t="str">
        <f>_xlfn.XLOOKUP(C583,customers!$A$1:$A$1001,customers!$G$1:$G$1001,,0)</f>
        <v>United Kingdom</v>
      </c>
      <c r="I583" s="4" t="str">
        <f>INDEX(products!$A$1:$G$49,MATCH(orders!$D583,products!$A$1:$A$49,0),MATCH(orders!I$1,products!$A$1:$G$1,0))</f>
        <v>Exc</v>
      </c>
      <c r="J583" s="4" t="str">
        <f>INDEX(products!$A$1:$G$49,MATCH(orders!$D583,products!$A$1:$A$49,0),MATCH(orders!J$1,products!$A$1:$G$1,0))</f>
        <v>L</v>
      </c>
      <c r="K583" s="6">
        <f>INDEX(products!$A$1:$G$49,MATCH(orders!$D583,products!$A$1:$A$49,0),MATCH(orders!K$1,products!$A$1:$G$1,0))</f>
        <v>0.5</v>
      </c>
      <c r="L583" s="7">
        <f>INDEX(products!$A$1:$G$49,MATCH(orders!$D583,products!$A$1:$A$49,0),MATCH(orders!L$1,products!$A$1:$G$1,0))</f>
        <v>8.91</v>
      </c>
      <c r="M583" s="7">
        <f t="shared" si="9"/>
        <v>44.55</v>
      </c>
      <c r="N583" s="4" t="str" cm="1">
        <f t="array" ref="N583">_xlfn.IFS(I583="Rob","Robusta",I583="Exc","Excelsa",I583="Ara","Arabica",I583="Lib","Liberica")</f>
        <v>Excelsa</v>
      </c>
      <c r="O583" s="4" t="str" cm="1">
        <f t="array" ref="O583">_xlfn.IFS(J583="M","Medium",J583="L","Light",J583="D","Dark")</f>
        <v>Light</v>
      </c>
      <c r="P583" s="4" t="str">
        <f>_xlfn.XLOOKUP(CoffeeOrderstable[[#This Row],[Customer ID]],customers!$A$1:$A$1001,customers!$I$1:$I$1001,,0)</f>
        <v>Yes</v>
      </c>
    </row>
    <row r="584" spans="1:16" x14ac:dyDescent="0.3">
      <c r="A584" s="3" t="s">
        <v>3778</v>
      </c>
      <c r="B584" s="5">
        <v>44382</v>
      </c>
      <c r="C584" s="3" t="s">
        <v>3779</v>
      </c>
      <c r="D584" s="4" t="s">
        <v>6183</v>
      </c>
      <c r="E584" s="3">
        <v>5</v>
      </c>
      <c r="F584" s="3" t="str">
        <f>_xlfn.XLOOKUP(C584,customers!$A$1:$A$1001,customers!$B$1:$B$1001,,0)</f>
        <v>Russell Donet</v>
      </c>
      <c r="G584" s="3" t="str">
        <f>IF(_xlfn.XLOOKUP(C584,customers!$A$1:$A$1001,customers!$C$1:$C$1001,,0)=0,"", _xlfn.XLOOKUP(C584,customers!$A$1:$A$1001,customers!$C$1:$C$1001,,0))</f>
        <v>rdonetg6@oakley.com</v>
      </c>
      <c r="H584" s="3" t="str">
        <f>_xlfn.XLOOKUP(C584,customers!$A$1:$A$1001,customers!$G$1:$G$1001,,0)</f>
        <v>United States</v>
      </c>
      <c r="I584" s="4" t="str">
        <f>INDEX(products!$A$1:$G$49,MATCH(orders!$D584,products!$A$1:$A$49,0),MATCH(orders!I$1,products!$A$1:$G$1,0))</f>
        <v>Exc</v>
      </c>
      <c r="J584" s="4" t="str">
        <f>INDEX(products!$A$1:$G$49,MATCH(orders!$D584,products!$A$1:$A$49,0),MATCH(orders!J$1,products!$A$1:$G$1,0))</f>
        <v>D</v>
      </c>
      <c r="K584" s="6">
        <f>INDEX(products!$A$1:$G$49,MATCH(orders!$D584,products!$A$1:$A$49,0),MATCH(orders!K$1,products!$A$1:$G$1,0))</f>
        <v>1</v>
      </c>
      <c r="L584" s="7">
        <f>INDEX(products!$A$1:$G$49,MATCH(orders!$D584,products!$A$1:$A$49,0),MATCH(orders!L$1,products!$A$1:$G$1,0))</f>
        <v>12.15</v>
      </c>
      <c r="M584" s="7">
        <f t="shared" si="9"/>
        <v>60.75</v>
      </c>
      <c r="N584" s="4" t="str" cm="1">
        <f t="array" ref="N584">_xlfn.IFS(I584="Rob","Robusta",I584="Exc","Excelsa",I584="Ara","Arabica",I584="Lib","Liberica")</f>
        <v>Excelsa</v>
      </c>
      <c r="O584" s="4" t="str" cm="1">
        <f t="array" ref="O584">_xlfn.IFS(J584="M","Medium",J584="L","Light",J584="D","Dark")</f>
        <v>Dark</v>
      </c>
      <c r="P584" s="4" t="str">
        <f>_xlfn.XLOOKUP(CoffeeOrderstable[[#This Row],[Customer ID]],customers!$A$1:$A$1001,customers!$I$1:$I$1001,,0)</f>
        <v>No</v>
      </c>
    </row>
    <row r="585" spans="1:16" x14ac:dyDescent="0.3">
      <c r="A585" s="3" t="s">
        <v>3784</v>
      </c>
      <c r="B585" s="5">
        <v>43538</v>
      </c>
      <c r="C585" s="3" t="s">
        <v>3785</v>
      </c>
      <c r="D585" s="4" t="s">
        <v>6178</v>
      </c>
      <c r="E585" s="3">
        <v>1</v>
      </c>
      <c r="F585" s="3" t="str">
        <f>_xlfn.XLOOKUP(C585,customers!$A$1:$A$1001,customers!$B$1:$B$1001,,0)</f>
        <v>Sidney Gawen</v>
      </c>
      <c r="G585" s="3" t="str">
        <f>IF(_xlfn.XLOOKUP(C585,customers!$A$1:$A$1001,customers!$C$1:$C$1001,,0)=0,"", _xlfn.XLOOKUP(C585,customers!$A$1:$A$1001,customers!$C$1:$C$1001,,0))</f>
        <v>sgaweng7@creativecommons.org</v>
      </c>
      <c r="H585" s="3" t="str">
        <f>_xlfn.XLOOKUP(C585,customers!$A$1:$A$1001,customers!$G$1:$G$1001,,0)</f>
        <v>United States</v>
      </c>
      <c r="I585" s="4" t="str">
        <f>INDEX(products!$A$1:$G$49,MATCH(orders!$D585,products!$A$1:$A$49,0),MATCH(orders!I$1,products!$A$1:$G$1,0))</f>
        <v>Rob</v>
      </c>
      <c r="J585" s="4" t="str">
        <f>INDEX(products!$A$1:$G$49,MATCH(orders!$D585,products!$A$1:$A$49,0),MATCH(orders!J$1,products!$A$1:$G$1,0))</f>
        <v>L</v>
      </c>
      <c r="K585" s="6">
        <f>INDEX(products!$A$1:$G$49,MATCH(orders!$D585,products!$A$1:$A$49,0),MATCH(orders!K$1,products!$A$1:$G$1,0))</f>
        <v>0.2</v>
      </c>
      <c r="L585" s="7">
        <f>INDEX(products!$A$1:$G$49,MATCH(orders!$D585,products!$A$1:$A$49,0),MATCH(orders!L$1,products!$A$1:$G$1,0))</f>
        <v>3.5849999999999995</v>
      </c>
      <c r="M585" s="7">
        <f t="shared" si="9"/>
        <v>3.5849999999999995</v>
      </c>
      <c r="N585" s="4" t="str" cm="1">
        <f t="array" ref="N585">_xlfn.IFS(I585="Rob","Robusta",I585="Exc","Excelsa",I585="Ara","Arabica",I585="Lib","Liberica")</f>
        <v>Robusta</v>
      </c>
      <c r="O585" s="4" t="str" cm="1">
        <f t="array" ref="O585">_xlfn.IFS(J585="M","Medium",J585="L","Light",J585="D","Dark")</f>
        <v>Light</v>
      </c>
      <c r="P585" s="4" t="str">
        <f>_xlfn.XLOOKUP(CoffeeOrderstable[[#This Row],[Customer ID]],customers!$A$1:$A$1001,customers!$I$1:$I$1001,,0)</f>
        <v>Yes</v>
      </c>
    </row>
    <row r="586" spans="1:16" x14ac:dyDescent="0.3">
      <c r="A586" s="3" t="s">
        <v>3790</v>
      </c>
      <c r="B586" s="5">
        <v>44262</v>
      </c>
      <c r="C586" s="3" t="s">
        <v>3791</v>
      </c>
      <c r="D586" s="4" t="s">
        <v>6178</v>
      </c>
      <c r="E586" s="3">
        <v>6</v>
      </c>
      <c r="F586" s="3" t="str">
        <f>_xlfn.XLOOKUP(C586,customers!$A$1:$A$1001,customers!$B$1:$B$1001,,0)</f>
        <v>Rickey Readie</v>
      </c>
      <c r="G586" s="3" t="str">
        <f>IF(_xlfn.XLOOKUP(C586,customers!$A$1:$A$1001,customers!$C$1:$C$1001,,0)=0,"", _xlfn.XLOOKUP(C586,customers!$A$1:$A$1001,customers!$C$1:$C$1001,,0))</f>
        <v>rreadieg8@guardian.co.uk</v>
      </c>
      <c r="H586" s="3" t="str">
        <f>_xlfn.XLOOKUP(C586,customers!$A$1:$A$1001,customers!$G$1:$G$1001,,0)</f>
        <v>United States</v>
      </c>
      <c r="I586" s="4" t="str">
        <f>INDEX(products!$A$1:$G$49,MATCH(orders!$D586,products!$A$1:$A$49,0),MATCH(orders!I$1,products!$A$1:$G$1,0))</f>
        <v>Rob</v>
      </c>
      <c r="J586" s="4" t="str">
        <f>INDEX(products!$A$1:$G$49,MATCH(orders!$D586,products!$A$1:$A$49,0),MATCH(orders!J$1,products!$A$1:$G$1,0))</f>
        <v>L</v>
      </c>
      <c r="K586" s="6">
        <f>INDEX(products!$A$1:$G$49,MATCH(orders!$D586,products!$A$1:$A$49,0),MATCH(orders!K$1,products!$A$1:$G$1,0))</f>
        <v>0.2</v>
      </c>
      <c r="L586" s="7">
        <f>INDEX(products!$A$1:$G$49,MATCH(orders!$D586,products!$A$1:$A$49,0),MATCH(orders!L$1,products!$A$1:$G$1,0))</f>
        <v>3.5849999999999995</v>
      </c>
      <c r="M586" s="7">
        <f t="shared" si="9"/>
        <v>21.509999999999998</v>
      </c>
      <c r="N586" s="4" t="str" cm="1">
        <f t="array" ref="N586">_xlfn.IFS(I586="Rob","Robusta",I586="Exc","Excelsa",I586="Ara","Arabica",I586="Lib","Liberica")</f>
        <v>Robusta</v>
      </c>
      <c r="O586" s="4" t="str" cm="1">
        <f t="array" ref="O586">_xlfn.IFS(J586="M","Medium",J586="L","Light",J586="D","Dark")</f>
        <v>Light</v>
      </c>
      <c r="P586" s="4" t="str">
        <f>_xlfn.XLOOKUP(CoffeeOrderstable[[#This Row],[Customer ID]],customers!$A$1:$A$1001,customers!$I$1:$I$1001,,0)</f>
        <v>No</v>
      </c>
    </row>
    <row r="587" spans="1:16" x14ac:dyDescent="0.3">
      <c r="A587" s="3" t="s">
        <v>3796</v>
      </c>
      <c r="B587" s="5">
        <v>44505</v>
      </c>
      <c r="C587" s="3" t="s">
        <v>3840</v>
      </c>
      <c r="D587" s="4" t="s">
        <v>6139</v>
      </c>
      <c r="E587" s="3">
        <v>2</v>
      </c>
      <c r="F587" s="3" t="str">
        <f>_xlfn.XLOOKUP(C587,customers!$A$1:$A$1001,customers!$B$1:$B$1001,,0)</f>
        <v>Cody Verissimo</v>
      </c>
      <c r="G587" s="3" t="str">
        <f>IF(_xlfn.XLOOKUP(C587,customers!$A$1:$A$1001,customers!$C$1:$C$1001,,0)=0,"", _xlfn.XLOOKUP(C587,customers!$A$1:$A$1001,customers!$C$1:$C$1001,,0))</f>
        <v>cverissimogh@theglobeandmail.com</v>
      </c>
      <c r="H587" s="3" t="str">
        <f>_xlfn.XLOOKUP(C587,customers!$A$1:$A$1001,customers!$G$1:$G$1001,,0)</f>
        <v>United Kingdom</v>
      </c>
      <c r="I587" s="4" t="str">
        <f>INDEX(products!$A$1:$G$49,MATCH(orders!$D587,products!$A$1:$A$49,0),MATCH(orders!I$1,products!$A$1:$G$1,0))</f>
        <v>Exc</v>
      </c>
      <c r="J587" s="4" t="str">
        <f>INDEX(products!$A$1:$G$49,MATCH(orders!$D587,products!$A$1:$A$49,0),MATCH(orders!J$1,products!$A$1:$G$1,0))</f>
        <v>M</v>
      </c>
      <c r="K587" s="6">
        <f>INDEX(products!$A$1:$G$49,MATCH(orders!$D587,products!$A$1:$A$49,0),MATCH(orders!K$1,products!$A$1:$G$1,0))</f>
        <v>0.5</v>
      </c>
      <c r="L587" s="7">
        <f>INDEX(products!$A$1:$G$49,MATCH(orders!$D587,products!$A$1:$A$49,0),MATCH(orders!L$1,products!$A$1:$G$1,0))</f>
        <v>8.25</v>
      </c>
      <c r="M587" s="7">
        <f t="shared" si="9"/>
        <v>16.5</v>
      </c>
      <c r="N587" s="4" t="str" cm="1">
        <f t="array" ref="N587">_xlfn.IFS(I587="Rob","Robusta",I587="Exc","Excelsa",I587="Ara","Arabica",I587="Lib","Liberica")</f>
        <v>Excelsa</v>
      </c>
      <c r="O587" s="4" t="str" cm="1">
        <f t="array" ref="O587">_xlfn.IFS(J587="M","Medium",J587="L","Light",J587="D","Dark")</f>
        <v>Medium</v>
      </c>
      <c r="P587" s="4" t="str">
        <f>_xlfn.XLOOKUP(CoffeeOrderstable[[#This Row],[Customer ID]],customers!$A$1:$A$1001,customers!$I$1:$I$1001,,0)</f>
        <v>Yes</v>
      </c>
    </row>
    <row r="588" spans="1:16" x14ac:dyDescent="0.3">
      <c r="A588" s="3" t="s">
        <v>3802</v>
      </c>
      <c r="B588" s="5">
        <v>43867</v>
      </c>
      <c r="C588" s="3" t="s">
        <v>3803</v>
      </c>
      <c r="D588" s="4" t="s">
        <v>6142</v>
      </c>
      <c r="E588" s="3">
        <v>3</v>
      </c>
      <c r="F588" s="3" t="str">
        <f>_xlfn.XLOOKUP(C588,customers!$A$1:$A$1001,customers!$B$1:$B$1001,,0)</f>
        <v>Zilvia Claisse</v>
      </c>
      <c r="G588" s="3" t="str">
        <f>IF(_xlfn.XLOOKUP(C588,customers!$A$1:$A$1001,customers!$C$1:$C$1001,,0)=0,"", _xlfn.XLOOKUP(C588,customers!$A$1:$A$1001,customers!$C$1:$C$1001,,0))</f>
        <v/>
      </c>
      <c r="H588" s="3" t="str">
        <f>_xlfn.XLOOKUP(C588,customers!$A$1:$A$1001,customers!$G$1:$G$1001,,0)</f>
        <v>United States</v>
      </c>
      <c r="I588" s="4" t="str">
        <f>INDEX(products!$A$1:$G$49,MATCH(orders!$D588,products!$A$1:$A$49,0),MATCH(orders!I$1,products!$A$1:$G$1,0))</f>
        <v>Rob</v>
      </c>
      <c r="J588" s="4" t="str">
        <f>INDEX(products!$A$1:$G$49,MATCH(orders!$D588,products!$A$1:$A$49,0),MATCH(orders!J$1,products!$A$1:$G$1,0))</f>
        <v>L</v>
      </c>
      <c r="K588" s="6">
        <f>INDEX(products!$A$1:$G$49,MATCH(orders!$D588,products!$A$1:$A$49,0),MATCH(orders!K$1,products!$A$1:$G$1,0))</f>
        <v>2.5</v>
      </c>
      <c r="L588" s="7">
        <f>INDEX(products!$A$1:$G$49,MATCH(orders!$D588,products!$A$1:$A$49,0),MATCH(orders!L$1,products!$A$1:$G$1,0))</f>
        <v>27.484999999999996</v>
      </c>
      <c r="M588" s="7">
        <f t="shared" si="9"/>
        <v>82.454999999999984</v>
      </c>
      <c r="N588" s="4" t="str" cm="1">
        <f t="array" ref="N588">_xlfn.IFS(I588="Rob","Robusta",I588="Exc","Excelsa",I588="Ara","Arabica",I588="Lib","Liberica")</f>
        <v>Robusta</v>
      </c>
      <c r="O588" s="4" t="str" cm="1">
        <f t="array" ref="O588">_xlfn.IFS(J588="M","Medium",J588="L","Light",J588="D","Dark")</f>
        <v>Light</v>
      </c>
      <c r="P588" s="4" t="str">
        <f>_xlfn.XLOOKUP(CoffeeOrderstable[[#This Row],[Customer ID]],customers!$A$1:$A$1001,customers!$I$1:$I$1001,,0)</f>
        <v>No</v>
      </c>
    </row>
    <row r="589" spans="1:16" x14ac:dyDescent="0.3">
      <c r="A589" s="3" t="s">
        <v>3807</v>
      </c>
      <c r="B589" s="5">
        <v>44267</v>
      </c>
      <c r="C589" s="3" t="s">
        <v>3808</v>
      </c>
      <c r="D589" s="4" t="s">
        <v>6169</v>
      </c>
      <c r="E589" s="3">
        <v>1</v>
      </c>
      <c r="F589" s="3" t="str">
        <f>_xlfn.XLOOKUP(C589,customers!$A$1:$A$1001,customers!$B$1:$B$1001,,0)</f>
        <v>Bar O' Mahony</v>
      </c>
      <c r="G589" s="3" t="str">
        <f>IF(_xlfn.XLOOKUP(C589,customers!$A$1:$A$1001,customers!$C$1:$C$1001,,0)=0,"", _xlfn.XLOOKUP(C589,customers!$A$1:$A$1001,customers!$C$1:$C$1001,,0))</f>
        <v>bogb@elpais.com</v>
      </c>
      <c r="H589" s="3" t="str">
        <f>_xlfn.XLOOKUP(C589,customers!$A$1:$A$1001,customers!$G$1:$G$1001,,0)</f>
        <v>United States</v>
      </c>
      <c r="I589" s="4" t="str">
        <f>INDEX(products!$A$1:$G$49,MATCH(orders!$D589,products!$A$1:$A$49,0),MATCH(orders!I$1,products!$A$1:$G$1,0))</f>
        <v>Lib</v>
      </c>
      <c r="J589" s="4" t="str">
        <f>INDEX(products!$A$1:$G$49,MATCH(orders!$D589,products!$A$1:$A$49,0),MATCH(orders!J$1,products!$A$1:$G$1,0))</f>
        <v>D</v>
      </c>
      <c r="K589" s="6">
        <f>INDEX(products!$A$1:$G$49,MATCH(orders!$D589,products!$A$1:$A$49,0),MATCH(orders!K$1,products!$A$1:$G$1,0))</f>
        <v>0.5</v>
      </c>
      <c r="L589" s="7">
        <f>INDEX(products!$A$1:$G$49,MATCH(orders!$D589,products!$A$1:$A$49,0),MATCH(orders!L$1,products!$A$1:$G$1,0))</f>
        <v>7.77</v>
      </c>
      <c r="M589" s="7">
        <f t="shared" si="9"/>
        <v>7.77</v>
      </c>
      <c r="N589" s="4" t="str" cm="1">
        <f t="array" ref="N589">_xlfn.IFS(I589="Rob","Robusta",I589="Exc","Excelsa",I589="Ara","Arabica",I589="Lib","Liberica")</f>
        <v>Liberica</v>
      </c>
      <c r="O589" s="4" t="str" cm="1">
        <f t="array" ref="O589">_xlfn.IFS(J589="M","Medium",J589="L","Light",J589="D","Dark")</f>
        <v>Dark</v>
      </c>
      <c r="P589" s="4" t="str">
        <f>_xlfn.XLOOKUP(CoffeeOrderstable[[#This Row],[Customer ID]],customers!$A$1:$A$1001,customers!$I$1:$I$1001,,0)</f>
        <v>Yes</v>
      </c>
    </row>
    <row r="590" spans="1:16" x14ac:dyDescent="0.3">
      <c r="A590" s="3" t="s">
        <v>3812</v>
      </c>
      <c r="B590" s="5">
        <v>44046</v>
      </c>
      <c r="C590" s="3" t="s">
        <v>3813</v>
      </c>
      <c r="D590" s="4" t="s">
        <v>6146</v>
      </c>
      <c r="E590" s="3">
        <v>2</v>
      </c>
      <c r="F590" s="3" t="str">
        <f>_xlfn.XLOOKUP(C590,customers!$A$1:$A$1001,customers!$B$1:$B$1001,,0)</f>
        <v>Valenka Stansbury</v>
      </c>
      <c r="G590" s="3" t="str">
        <f>IF(_xlfn.XLOOKUP(C590,customers!$A$1:$A$1001,customers!$C$1:$C$1001,,0)=0,"", _xlfn.XLOOKUP(C590,customers!$A$1:$A$1001,customers!$C$1:$C$1001,,0))</f>
        <v>vstansburygc@unblog.fr</v>
      </c>
      <c r="H590" s="3" t="str">
        <f>_xlfn.XLOOKUP(C590,customers!$A$1:$A$1001,customers!$G$1:$G$1001,,0)</f>
        <v>United States</v>
      </c>
      <c r="I590" s="4" t="str">
        <f>INDEX(products!$A$1:$G$49,MATCH(orders!$D590,products!$A$1:$A$49,0),MATCH(orders!I$1,products!$A$1:$G$1,0))</f>
        <v>Rob</v>
      </c>
      <c r="J590" s="4" t="str">
        <f>INDEX(products!$A$1:$G$49,MATCH(orders!$D590,products!$A$1:$A$49,0),MATCH(orders!J$1,products!$A$1:$G$1,0))</f>
        <v>M</v>
      </c>
      <c r="K590" s="6">
        <f>INDEX(products!$A$1:$G$49,MATCH(orders!$D590,products!$A$1:$A$49,0),MATCH(orders!K$1,products!$A$1:$G$1,0))</f>
        <v>0.5</v>
      </c>
      <c r="L590" s="7">
        <f>INDEX(products!$A$1:$G$49,MATCH(orders!$D590,products!$A$1:$A$49,0),MATCH(orders!L$1,products!$A$1:$G$1,0))</f>
        <v>5.97</v>
      </c>
      <c r="M590" s="7">
        <f t="shared" si="9"/>
        <v>11.94</v>
      </c>
      <c r="N590" s="4" t="str" cm="1">
        <f t="array" ref="N590">_xlfn.IFS(I590="Rob","Robusta",I590="Exc","Excelsa",I590="Ara","Arabica",I590="Lib","Liberica")</f>
        <v>Robusta</v>
      </c>
      <c r="O590" s="4" t="str" cm="1">
        <f t="array" ref="O590">_xlfn.IFS(J590="M","Medium",J590="L","Light",J590="D","Dark")</f>
        <v>Medium</v>
      </c>
      <c r="P590" s="4" t="str">
        <f>_xlfn.XLOOKUP(CoffeeOrderstable[[#This Row],[Customer ID]],customers!$A$1:$A$1001,customers!$I$1:$I$1001,,0)</f>
        <v>Yes</v>
      </c>
    </row>
    <row r="591" spans="1:16" x14ac:dyDescent="0.3">
      <c r="A591" s="3" t="s">
        <v>3818</v>
      </c>
      <c r="B591" s="5">
        <v>43671</v>
      </c>
      <c r="C591" s="3" t="s">
        <v>3819</v>
      </c>
      <c r="D591" s="4" t="s">
        <v>6148</v>
      </c>
      <c r="E591" s="3">
        <v>6</v>
      </c>
      <c r="F591" s="3" t="str">
        <f>_xlfn.XLOOKUP(C591,customers!$A$1:$A$1001,customers!$B$1:$B$1001,,0)</f>
        <v>Daniel Heinonen</v>
      </c>
      <c r="G591" s="3" t="str">
        <f>IF(_xlfn.XLOOKUP(C591,customers!$A$1:$A$1001,customers!$C$1:$C$1001,,0)=0,"", _xlfn.XLOOKUP(C591,customers!$A$1:$A$1001,customers!$C$1:$C$1001,,0))</f>
        <v>dheinonengd@printfriendly.com</v>
      </c>
      <c r="H591" s="3" t="str">
        <f>_xlfn.XLOOKUP(C591,customers!$A$1:$A$1001,customers!$G$1:$G$1001,,0)</f>
        <v>United States</v>
      </c>
      <c r="I591" s="4" t="str">
        <f>INDEX(products!$A$1:$G$49,MATCH(orders!$D591,products!$A$1:$A$49,0),MATCH(orders!I$1,products!$A$1:$G$1,0))</f>
        <v>Exc</v>
      </c>
      <c r="J591" s="4" t="str">
        <f>INDEX(products!$A$1:$G$49,MATCH(orders!$D591,products!$A$1:$A$49,0),MATCH(orders!J$1,products!$A$1:$G$1,0))</f>
        <v>L</v>
      </c>
      <c r="K591" s="6">
        <f>INDEX(products!$A$1:$G$49,MATCH(orders!$D591,products!$A$1:$A$49,0),MATCH(orders!K$1,products!$A$1:$G$1,0))</f>
        <v>2.5</v>
      </c>
      <c r="L591" s="7">
        <f>INDEX(products!$A$1:$G$49,MATCH(orders!$D591,products!$A$1:$A$49,0),MATCH(orders!L$1,products!$A$1:$G$1,0))</f>
        <v>34.154999999999994</v>
      </c>
      <c r="M591" s="7">
        <f t="shared" si="9"/>
        <v>204.92999999999995</v>
      </c>
      <c r="N591" s="4" t="str" cm="1">
        <f t="array" ref="N591">_xlfn.IFS(I591="Rob","Robusta",I591="Exc","Excelsa",I591="Ara","Arabica",I591="Lib","Liberica")</f>
        <v>Excelsa</v>
      </c>
      <c r="O591" s="4" t="str" cm="1">
        <f t="array" ref="O591">_xlfn.IFS(J591="M","Medium",J591="L","Light",J591="D","Dark")</f>
        <v>Light</v>
      </c>
      <c r="P591" s="4" t="str">
        <f>_xlfn.XLOOKUP(CoffeeOrderstable[[#This Row],[Customer ID]],customers!$A$1:$A$1001,customers!$I$1:$I$1001,,0)</f>
        <v>No</v>
      </c>
    </row>
    <row r="592" spans="1:16" x14ac:dyDescent="0.3">
      <c r="A592" s="3" t="s">
        <v>3823</v>
      </c>
      <c r="B592" s="5">
        <v>43950</v>
      </c>
      <c r="C592" s="3" t="s">
        <v>3824</v>
      </c>
      <c r="D592" s="4" t="s">
        <v>6166</v>
      </c>
      <c r="E592" s="3">
        <v>2</v>
      </c>
      <c r="F592" s="3" t="str">
        <f>_xlfn.XLOOKUP(C592,customers!$A$1:$A$1001,customers!$B$1:$B$1001,,0)</f>
        <v>Jewelle Shenton</v>
      </c>
      <c r="G592" s="3" t="str">
        <f>IF(_xlfn.XLOOKUP(C592,customers!$A$1:$A$1001,customers!$C$1:$C$1001,,0)=0,"", _xlfn.XLOOKUP(C592,customers!$A$1:$A$1001,customers!$C$1:$C$1001,,0))</f>
        <v>jshentonge@google.com.hk</v>
      </c>
      <c r="H592" s="3" t="str">
        <f>_xlfn.XLOOKUP(C592,customers!$A$1:$A$1001,customers!$G$1:$G$1001,,0)</f>
        <v>United States</v>
      </c>
      <c r="I592" s="4" t="str">
        <f>INDEX(products!$A$1:$G$49,MATCH(orders!$D592,products!$A$1:$A$49,0),MATCH(orders!I$1,products!$A$1:$G$1,0))</f>
        <v>Exc</v>
      </c>
      <c r="J592" s="4" t="str">
        <f>INDEX(products!$A$1:$G$49,MATCH(orders!$D592,products!$A$1:$A$49,0),MATCH(orders!J$1,products!$A$1:$G$1,0))</f>
        <v>M</v>
      </c>
      <c r="K592" s="6">
        <f>INDEX(products!$A$1:$G$49,MATCH(orders!$D592,products!$A$1:$A$49,0),MATCH(orders!K$1,products!$A$1:$G$1,0))</f>
        <v>2.5</v>
      </c>
      <c r="L592" s="7">
        <f>INDEX(products!$A$1:$G$49,MATCH(orders!$D592,products!$A$1:$A$49,0),MATCH(orders!L$1,products!$A$1:$G$1,0))</f>
        <v>31.624999999999996</v>
      </c>
      <c r="M592" s="7">
        <f t="shared" si="9"/>
        <v>63.249999999999993</v>
      </c>
      <c r="N592" s="4" t="str" cm="1">
        <f t="array" ref="N592">_xlfn.IFS(I592="Rob","Robusta",I592="Exc","Excelsa",I592="Ara","Arabica",I592="Lib","Liberica")</f>
        <v>Excelsa</v>
      </c>
      <c r="O592" s="4" t="str" cm="1">
        <f t="array" ref="O592">_xlfn.IFS(J592="M","Medium",J592="L","Light",J592="D","Dark")</f>
        <v>Medium</v>
      </c>
      <c r="P592" s="4" t="str">
        <f>_xlfn.XLOOKUP(CoffeeOrderstable[[#This Row],[Customer ID]],customers!$A$1:$A$1001,customers!$I$1:$I$1001,,0)</f>
        <v>Yes</v>
      </c>
    </row>
    <row r="593" spans="1:16" x14ac:dyDescent="0.3">
      <c r="A593" s="3" t="s">
        <v>3829</v>
      </c>
      <c r="B593" s="5">
        <v>43587</v>
      </c>
      <c r="C593" s="3" t="s">
        <v>3830</v>
      </c>
      <c r="D593" s="4" t="s">
        <v>6163</v>
      </c>
      <c r="E593" s="3">
        <v>3</v>
      </c>
      <c r="F593" s="3" t="str">
        <f>_xlfn.XLOOKUP(C593,customers!$A$1:$A$1001,customers!$B$1:$B$1001,,0)</f>
        <v>Jennifer Wilkisson</v>
      </c>
      <c r="G593" s="3" t="str">
        <f>IF(_xlfn.XLOOKUP(C593,customers!$A$1:$A$1001,customers!$C$1:$C$1001,,0)=0,"", _xlfn.XLOOKUP(C593,customers!$A$1:$A$1001,customers!$C$1:$C$1001,,0))</f>
        <v>jwilkissongf@nba.com</v>
      </c>
      <c r="H593" s="3" t="str">
        <f>_xlfn.XLOOKUP(C593,customers!$A$1:$A$1001,customers!$G$1:$G$1001,,0)</f>
        <v>United States</v>
      </c>
      <c r="I593" s="4" t="str">
        <f>INDEX(products!$A$1:$G$49,MATCH(orders!$D593,products!$A$1:$A$49,0),MATCH(orders!I$1,products!$A$1:$G$1,0))</f>
        <v>Rob</v>
      </c>
      <c r="J593" s="4" t="str">
        <f>INDEX(products!$A$1:$G$49,MATCH(orders!$D593,products!$A$1:$A$49,0),MATCH(orders!J$1,products!$A$1:$G$1,0))</f>
        <v>D</v>
      </c>
      <c r="K593" s="6">
        <f>INDEX(products!$A$1:$G$49,MATCH(orders!$D593,products!$A$1:$A$49,0),MATCH(orders!K$1,products!$A$1:$G$1,0))</f>
        <v>0.2</v>
      </c>
      <c r="L593" s="7">
        <f>INDEX(products!$A$1:$G$49,MATCH(orders!$D593,products!$A$1:$A$49,0),MATCH(orders!L$1,products!$A$1:$G$1,0))</f>
        <v>2.6849999999999996</v>
      </c>
      <c r="M593" s="7">
        <f t="shared" si="9"/>
        <v>8.0549999999999997</v>
      </c>
      <c r="N593" s="4" t="str" cm="1">
        <f t="array" ref="N593">_xlfn.IFS(I593="Rob","Robusta",I593="Exc","Excelsa",I593="Ara","Arabica",I593="Lib","Liberica")</f>
        <v>Robusta</v>
      </c>
      <c r="O593" s="4" t="str" cm="1">
        <f t="array" ref="O593">_xlfn.IFS(J593="M","Medium",J593="L","Light",J593="D","Dark")</f>
        <v>Dark</v>
      </c>
      <c r="P593" s="4" t="str">
        <f>_xlfn.XLOOKUP(CoffeeOrderstable[[#This Row],[Customer ID]],customers!$A$1:$A$1001,customers!$I$1:$I$1001,,0)</f>
        <v>Yes</v>
      </c>
    </row>
    <row r="594" spans="1:16" x14ac:dyDescent="0.3">
      <c r="A594" s="3" t="s">
        <v>3834</v>
      </c>
      <c r="B594" s="5">
        <v>44437</v>
      </c>
      <c r="C594" s="3" t="s">
        <v>3835</v>
      </c>
      <c r="D594" s="4" t="s">
        <v>6175</v>
      </c>
      <c r="E594" s="3">
        <v>2</v>
      </c>
      <c r="F594" s="3" t="str">
        <f>_xlfn.XLOOKUP(C594,customers!$A$1:$A$1001,customers!$B$1:$B$1001,,0)</f>
        <v>Kylie Mowat</v>
      </c>
      <c r="G594" s="3" t="str">
        <f>IF(_xlfn.XLOOKUP(C594,customers!$A$1:$A$1001,customers!$C$1:$C$1001,,0)=0,"", _xlfn.XLOOKUP(C594,customers!$A$1:$A$1001,customers!$C$1:$C$1001,,0))</f>
        <v/>
      </c>
      <c r="H594" s="3" t="str">
        <f>_xlfn.XLOOKUP(C594,customers!$A$1:$A$1001,customers!$G$1:$G$1001,,0)</f>
        <v>United States</v>
      </c>
      <c r="I594" s="4" t="str">
        <f>INDEX(products!$A$1:$G$49,MATCH(orders!$D594,products!$A$1:$A$49,0),MATCH(orders!I$1,products!$A$1:$G$1,0))</f>
        <v>Ara</v>
      </c>
      <c r="J594" s="4" t="str">
        <f>INDEX(products!$A$1:$G$49,MATCH(orders!$D594,products!$A$1:$A$49,0),MATCH(orders!J$1,products!$A$1:$G$1,0))</f>
        <v>M</v>
      </c>
      <c r="K594" s="6">
        <f>INDEX(products!$A$1:$G$49,MATCH(orders!$D594,products!$A$1:$A$49,0),MATCH(orders!K$1,products!$A$1:$G$1,0))</f>
        <v>2.5</v>
      </c>
      <c r="L594" s="7">
        <f>INDEX(products!$A$1:$G$49,MATCH(orders!$D594,products!$A$1:$A$49,0),MATCH(orders!L$1,products!$A$1:$G$1,0))</f>
        <v>25.874999999999996</v>
      </c>
      <c r="M594" s="7">
        <f t="shared" si="9"/>
        <v>51.749999999999993</v>
      </c>
      <c r="N594" s="4" t="str" cm="1">
        <f t="array" ref="N594">_xlfn.IFS(I594="Rob","Robusta",I594="Exc","Excelsa",I594="Ara","Arabica",I594="Lib","Liberica")</f>
        <v>Arabica</v>
      </c>
      <c r="O594" s="4" t="str" cm="1">
        <f t="array" ref="O594">_xlfn.IFS(J594="M","Medium",J594="L","Light",J594="D","Dark")</f>
        <v>Medium</v>
      </c>
      <c r="P594" s="4" t="str">
        <f>_xlfn.XLOOKUP(CoffeeOrderstable[[#This Row],[Customer ID]],customers!$A$1:$A$1001,customers!$I$1:$I$1001,,0)</f>
        <v>No</v>
      </c>
    </row>
    <row r="595" spans="1:16" x14ac:dyDescent="0.3">
      <c r="A595" s="3" t="s">
        <v>3839</v>
      </c>
      <c r="B595" s="5">
        <v>43903</v>
      </c>
      <c r="C595" s="3" t="s">
        <v>3840</v>
      </c>
      <c r="D595" s="4" t="s">
        <v>6185</v>
      </c>
      <c r="E595" s="3">
        <v>1</v>
      </c>
      <c r="F595" s="3" t="str">
        <f>_xlfn.XLOOKUP(C595,customers!$A$1:$A$1001,customers!$B$1:$B$1001,,0)</f>
        <v>Cody Verissimo</v>
      </c>
      <c r="G595" s="3" t="str">
        <f>IF(_xlfn.XLOOKUP(C595,customers!$A$1:$A$1001,customers!$C$1:$C$1001,,0)=0,"", _xlfn.XLOOKUP(C595,customers!$A$1:$A$1001,customers!$C$1:$C$1001,,0))</f>
        <v>cverissimogh@theglobeandmail.com</v>
      </c>
      <c r="H595" s="3" t="str">
        <f>_xlfn.XLOOKUP(C595,customers!$A$1:$A$1001,customers!$G$1:$G$1001,,0)</f>
        <v>United Kingdom</v>
      </c>
      <c r="I595" s="4" t="str">
        <f>INDEX(products!$A$1:$G$49,MATCH(orders!$D595,products!$A$1:$A$49,0),MATCH(orders!I$1,products!$A$1:$G$1,0))</f>
        <v>Exc</v>
      </c>
      <c r="J595" s="4" t="str">
        <f>INDEX(products!$A$1:$G$49,MATCH(orders!$D595,products!$A$1:$A$49,0),MATCH(orders!J$1,products!$A$1:$G$1,0))</f>
        <v>D</v>
      </c>
      <c r="K595" s="6">
        <f>INDEX(products!$A$1:$G$49,MATCH(orders!$D595,products!$A$1:$A$49,0),MATCH(orders!K$1,products!$A$1:$G$1,0))</f>
        <v>2.5</v>
      </c>
      <c r="L595" s="7">
        <f>INDEX(products!$A$1:$G$49,MATCH(orders!$D595,products!$A$1:$A$49,0),MATCH(orders!L$1,products!$A$1:$G$1,0))</f>
        <v>27.945</v>
      </c>
      <c r="M595" s="7">
        <f t="shared" si="9"/>
        <v>27.945</v>
      </c>
      <c r="N595" s="4" t="str" cm="1">
        <f t="array" ref="N595">_xlfn.IFS(I595="Rob","Robusta",I595="Exc","Excelsa",I595="Ara","Arabica",I595="Lib","Liberica")</f>
        <v>Excelsa</v>
      </c>
      <c r="O595" s="4" t="str" cm="1">
        <f t="array" ref="O595">_xlfn.IFS(J595="M","Medium",J595="L","Light",J595="D","Dark")</f>
        <v>Dark</v>
      </c>
      <c r="P595" s="4" t="str">
        <f>_xlfn.XLOOKUP(CoffeeOrderstable[[#This Row],[Customer ID]],customers!$A$1:$A$1001,customers!$I$1:$I$1001,,0)</f>
        <v>Yes</v>
      </c>
    </row>
    <row r="596" spans="1:16" x14ac:dyDescent="0.3">
      <c r="A596" s="3" t="s">
        <v>3844</v>
      </c>
      <c r="B596" s="5">
        <v>43512</v>
      </c>
      <c r="C596" s="3" t="s">
        <v>3845</v>
      </c>
      <c r="D596" s="4" t="s">
        <v>6182</v>
      </c>
      <c r="E596" s="3">
        <v>2</v>
      </c>
      <c r="F596" s="3" t="str">
        <f>_xlfn.XLOOKUP(C596,customers!$A$1:$A$1001,customers!$B$1:$B$1001,,0)</f>
        <v>Gabriel Starcks</v>
      </c>
      <c r="G596" s="3" t="str">
        <f>IF(_xlfn.XLOOKUP(C596,customers!$A$1:$A$1001,customers!$C$1:$C$1001,,0)=0,"", _xlfn.XLOOKUP(C596,customers!$A$1:$A$1001,customers!$C$1:$C$1001,,0))</f>
        <v>gstarcksgi@abc.net.au</v>
      </c>
      <c r="H596" s="3" t="str">
        <f>_xlfn.XLOOKUP(C596,customers!$A$1:$A$1001,customers!$G$1:$G$1001,,0)</f>
        <v>United States</v>
      </c>
      <c r="I596" s="4" t="str">
        <f>INDEX(products!$A$1:$G$49,MATCH(orders!$D596,products!$A$1:$A$49,0),MATCH(orders!I$1,products!$A$1:$G$1,0))</f>
        <v>Ara</v>
      </c>
      <c r="J596" s="4" t="str">
        <f>INDEX(products!$A$1:$G$49,MATCH(orders!$D596,products!$A$1:$A$49,0),MATCH(orders!J$1,products!$A$1:$G$1,0))</f>
        <v>L</v>
      </c>
      <c r="K596" s="6">
        <f>INDEX(products!$A$1:$G$49,MATCH(orders!$D596,products!$A$1:$A$49,0),MATCH(orders!K$1,products!$A$1:$G$1,0))</f>
        <v>2.5</v>
      </c>
      <c r="L596" s="7">
        <f>INDEX(products!$A$1:$G$49,MATCH(orders!$D596,products!$A$1:$A$49,0),MATCH(orders!L$1,products!$A$1:$G$1,0))</f>
        <v>29.784999999999997</v>
      </c>
      <c r="M596" s="7">
        <f t="shared" si="9"/>
        <v>59.569999999999993</v>
      </c>
      <c r="N596" s="4" t="str" cm="1">
        <f t="array" ref="N596">_xlfn.IFS(I596="Rob","Robusta",I596="Exc","Excelsa",I596="Ara","Arabica",I596="Lib","Liberica")</f>
        <v>Arabica</v>
      </c>
      <c r="O596" s="4" t="str" cm="1">
        <f t="array" ref="O596">_xlfn.IFS(J596="M","Medium",J596="L","Light",J596="D","Dark")</f>
        <v>Light</v>
      </c>
      <c r="P596" s="4" t="str">
        <f>_xlfn.XLOOKUP(CoffeeOrderstable[[#This Row],[Customer ID]],customers!$A$1:$A$1001,customers!$I$1:$I$1001,,0)</f>
        <v>No</v>
      </c>
    </row>
    <row r="597" spans="1:16" x14ac:dyDescent="0.3">
      <c r="A597" s="3" t="s">
        <v>3850</v>
      </c>
      <c r="B597" s="5">
        <v>44527</v>
      </c>
      <c r="C597" s="3" t="s">
        <v>3851</v>
      </c>
      <c r="D597" s="4" t="s">
        <v>6171</v>
      </c>
      <c r="E597" s="3">
        <v>1</v>
      </c>
      <c r="F597" s="3" t="str">
        <f>_xlfn.XLOOKUP(C597,customers!$A$1:$A$1001,customers!$B$1:$B$1001,,0)</f>
        <v>Darby Dummer</v>
      </c>
      <c r="G597" s="3" t="str">
        <f>IF(_xlfn.XLOOKUP(C597,customers!$A$1:$A$1001,customers!$C$1:$C$1001,,0)=0,"", _xlfn.XLOOKUP(C597,customers!$A$1:$A$1001,customers!$C$1:$C$1001,,0))</f>
        <v/>
      </c>
      <c r="H597" s="3" t="str">
        <f>_xlfn.XLOOKUP(C597,customers!$A$1:$A$1001,customers!$G$1:$G$1001,,0)</f>
        <v>United Kingdom</v>
      </c>
      <c r="I597" s="4" t="str">
        <f>INDEX(products!$A$1:$G$49,MATCH(orders!$D597,products!$A$1:$A$49,0),MATCH(orders!I$1,products!$A$1:$G$1,0))</f>
        <v>Exc</v>
      </c>
      <c r="J597" s="4" t="str">
        <f>INDEX(products!$A$1:$G$49,MATCH(orders!$D597,products!$A$1:$A$49,0),MATCH(orders!J$1,products!$A$1:$G$1,0))</f>
        <v>L</v>
      </c>
      <c r="K597" s="6">
        <f>INDEX(products!$A$1:$G$49,MATCH(orders!$D597,products!$A$1:$A$49,0),MATCH(orders!K$1,products!$A$1:$G$1,0))</f>
        <v>1</v>
      </c>
      <c r="L597" s="7">
        <f>INDEX(products!$A$1:$G$49,MATCH(orders!$D597,products!$A$1:$A$49,0),MATCH(orders!L$1,products!$A$1:$G$1,0))</f>
        <v>14.85</v>
      </c>
      <c r="M597" s="7">
        <f t="shared" si="9"/>
        <v>14.85</v>
      </c>
      <c r="N597" s="4" t="str" cm="1">
        <f t="array" ref="N597">_xlfn.IFS(I597="Rob","Robusta",I597="Exc","Excelsa",I597="Ara","Arabica",I597="Lib","Liberica")</f>
        <v>Excelsa</v>
      </c>
      <c r="O597" s="4" t="str" cm="1">
        <f t="array" ref="O597">_xlfn.IFS(J597="M","Medium",J597="L","Light",J597="D","Dark")</f>
        <v>Light</v>
      </c>
      <c r="P597" s="4" t="str">
        <f>_xlfn.XLOOKUP(CoffeeOrderstable[[#This Row],[Customer ID]],customers!$A$1:$A$1001,customers!$I$1:$I$1001,,0)</f>
        <v>No</v>
      </c>
    </row>
    <row r="598" spans="1:16" x14ac:dyDescent="0.3">
      <c r="A598" s="3" t="s">
        <v>3854</v>
      </c>
      <c r="B598" s="5">
        <v>44523</v>
      </c>
      <c r="C598" s="3" t="s">
        <v>3855</v>
      </c>
      <c r="D598" s="4" t="s">
        <v>6157</v>
      </c>
      <c r="E598" s="3">
        <v>5</v>
      </c>
      <c r="F598" s="3" t="str">
        <f>_xlfn.XLOOKUP(C598,customers!$A$1:$A$1001,customers!$B$1:$B$1001,,0)</f>
        <v>Kienan Scholard</v>
      </c>
      <c r="G598" s="3" t="str">
        <f>IF(_xlfn.XLOOKUP(C598,customers!$A$1:$A$1001,customers!$C$1:$C$1001,,0)=0,"", _xlfn.XLOOKUP(C598,customers!$A$1:$A$1001,customers!$C$1:$C$1001,,0))</f>
        <v>kscholardgk@sbwire.com</v>
      </c>
      <c r="H598" s="3" t="str">
        <f>_xlfn.XLOOKUP(C598,customers!$A$1:$A$1001,customers!$G$1:$G$1001,,0)</f>
        <v>United States</v>
      </c>
      <c r="I598" s="4" t="str">
        <f>INDEX(products!$A$1:$G$49,MATCH(orders!$D598,products!$A$1:$A$49,0),MATCH(orders!I$1,products!$A$1:$G$1,0))</f>
        <v>Ara</v>
      </c>
      <c r="J598" s="4" t="str">
        <f>INDEX(products!$A$1:$G$49,MATCH(orders!$D598,products!$A$1:$A$49,0),MATCH(orders!J$1,products!$A$1:$G$1,0))</f>
        <v>M</v>
      </c>
      <c r="K598" s="6">
        <f>INDEX(products!$A$1:$G$49,MATCH(orders!$D598,products!$A$1:$A$49,0),MATCH(orders!K$1,products!$A$1:$G$1,0))</f>
        <v>0.5</v>
      </c>
      <c r="L598" s="7">
        <f>INDEX(products!$A$1:$G$49,MATCH(orders!$D598,products!$A$1:$A$49,0),MATCH(orders!L$1,products!$A$1:$G$1,0))</f>
        <v>6.75</v>
      </c>
      <c r="M598" s="7">
        <f t="shared" si="9"/>
        <v>33.75</v>
      </c>
      <c r="N598" s="4" t="str" cm="1">
        <f t="array" ref="N598">_xlfn.IFS(I598="Rob","Robusta",I598="Exc","Excelsa",I598="Ara","Arabica",I598="Lib","Liberica")</f>
        <v>Arabica</v>
      </c>
      <c r="O598" s="4" t="str" cm="1">
        <f t="array" ref="O598">_xlfn.IFS(J598="M","Medium",J598="L","Light",J598="D","Dark")</f>
        <v>Medium</v>
      </c>
      <c r="P598" s="4" t="str">
        <f>_xlfn.XLOOKUP(CoffeeOrderstable[[#This Row],[Customer ID]],customers!$A$1:$A$1001,customers!$I$1:$I$1001,,0)</f>
        <v>No</v>
      </c>
    </row>
    <row r="599" spans="1:16" x14ac:dyDescent="0.3">
      <c r="A599" s="3" t="s">
        <v>3860</v>
      </c>
      <c r="B599" s="5">
        <v>44532</v>
      </c>
      <c r="C599" s="3" t="s">
        <v>3861</v>
      </c>
      <c r="D599" s="4" t="s">
        <v>6164</v>
      </c>
      <c r="E599" s="3">
        <v>4</v>
      </c>
      <c r="F599" s="3" t="str">
        <f>_xlfn.XLOOKUP(C599,customers!$A$1:$A$1001,customers!$B$1:$B$1001,,0)</f>
        <v>Bo Kindley</v>
      </c>
      <c r="G599" s="3" t="str">
        <f>IF(_xlfn.XLOOKUP(C599,customers!$A$1:$A$1001,customers!$C$1:$C$1001,,0)=0,"", _xlfn.XLOOKUP(C599,customers!$A$1:$A$1001,customers!$C$1:$C$1001,,0))</f>
        <v>bkindleygl@wikimedia.org</v>
      </c>
      <c r="H599" s="3" t="str">
        <f>_xlfn.XLOOKUP(C599,customers!$A$1:$A$1001,customers!$G$1:$G$1001,,0)</f>
        <v>United States</v>
      </c>
      <c r="I599" s="4" t="str">
        <f>INDEX(products!$A$1:$G$49,MATCH(orders!$D599,products!$A$1:$A$49,0),MATCH(orders!I$1,products!$A$1:$G$1,0))</f>
        <v>Lib</v>
      </c>
      <c r="J599" s="4" t="str">
        <f>INDEX(products!$A$1:$G$49,MATCH(orders!$D599,products!$A$1:$A$49,0),MATCH(orders!J$1,products!$A$1:$G$1,0))</f>
        <v>L</v>
      </c>
      <c r="K599" s="6">
        <f>INDEX(products!$A$1:$G$49,MATCH(orders!$D599,products!$A$1:$A$49,0),MATCH(orders!K$1,products!$A$1:$G$1,0))</f>
        <v>2.5</v>
      </c>
      <c r="L599" s="7">
        <f>INDEX(products!$A$1:$G$49,MATCH(orders!$D599,products!$A$1:$A$49,0),MATCH(orders!L$1,products!$A$1:$G$1,0))</f>
        <v>36.454999999999998</v>
      </c>
      <c r="M599" s="7">
        <f t="shared" si="9"/>
        <v>145.82</v>
      </c>
      <c r="N599" s="4" t="str" cm="1">
        <f t="array" ref="N599">_xlfn.IFS(I599="Rob","Robusta",I599="Exc","Excelsa",I599="Ara","Arabica",I599="Lib","Liberica")</f>
        <v>Liberica</v>
      </c>
      <c r="O599" s="4" t="str" cm="1">
        <f t="array" ref="O599">_xlfn.IFS(J599="M","Medium",J599="L","Light",J599="D","Dark")</f>
        <v>Light</v>
      </c>
      <c r="P599" s="4" t="str">
        <f>_xlfn.XLOOKUP(CoffeeOrderstable[[#This Row],[Customer ID]],customers!$A$1:$A$1001,customers!$I$1:$I$1001,,0)</f>
        <v>Yes</v>
      </c>
    </row>
    <row r="600" spans="1:16" x14ac:dyDescent="0.3">
      <c r="A600" s="3" t="s">
        <v>3866</v>
      </c>
      <c r="B600" s="5">
        <v>43471</v>
      </c>
      <c r="C600" s="3" t="s">
        <v>3867</v>
      </c>
      <c r="D600" s="4" t="s">
        <v>6174</v>
      </c>
      <c r="E600" s="3">
        <v>4</v>
      </c>
      <c r="F600" s="3" t="str">
        <f>_xlfn.XLOOKUP(C600,customers!$A$1:$A$1001,customers!$B$1:$B$1001,,0)</f>
        <v>Krissie Hammett</v>
      </c>
      <c r="G600" s="3" t="str">
        <f>IF(_xlfn.XLOOKUP(C600,customers!$A$1:$A$1001,customers!$C$1:$C$1001,,0)=0,"", _xlfn.XLOOKUP(C600,customers!$A$1:$A$1001,customers!$C$1:$C$1001,,0))</f>
        <v>khammettgm@dmoz.org</v>
      </c>
      <c r="H600" s="3" t="str">
        <f>_xlfn.XLOOKUP(C600,customers!$A$1:$A$1001,customers!$G$1:$G$1001,,0)</f>
        <v>United States</v>
      </c>
      <c r="I600" s="4" t="str">
        <f>INDEX(products!$A$1:$G$49,MATCH(orders!$D600,products!$A$1:$A$49,0),MATCH(orders!I$1,products!$A$1:$G$1,0))</f>
        <v>Rob</v>
      </c>
      <c r="J600" s="4" t="str">
        <f>INDEX(products!$A$1:$G$49,MATCH(orders!$D600,products!$A$1:$A$49,0),MATCH(orders!J$1,products!$A$1:$G$1,0))</f>
        <v>M</v>
      </c>
      <c r="K600" s="6">
        <f>INDEX(products!$A$1:$G$49,MATCH(orders!$D600,products!$A$1:$A$49,0),MATCH(orders!K$1,products!$A$1:$G$1,0))</f>
        <v>0.2</v>
      </c>
      <c r="L600" s="7">
        <f>INDEX(products!$A$1:$G$49,MATCH(orders!$D600,products!$A$1:$A$49,0),MATCH(orders!L$1,products!$A$1:$G$1,0))</f>
        <v>2.9849999999999999</v>
      </c>
      <c r="M600" s="7">
        <f t="shared" si="9"/>
        <v>11.94</v>
      </c>
      <c r="N600" s="4" t="str" cm="1">
        <f t="array" ref="N600">_xlfn.IFS(I600="Rob","Robusta",I600="Exc","Excelsa",I600="Ara","Arabica",I600="Lib","Liberica")</f>
        <v>Robusta</v>
      </c>
      <c r="O600" s="4" t="str" cm="1">
        <f t="array" ref="O600">_xlfn.IFS(J600="M","Medium",J600="L","Light",J600="D","Dark")</f>
        <v>Medium</v>
      </c>
      <c r="P600" s="4" t="str">
        <f>_xlfn.XLOOKUP(CoffeeOrderstable[[#This Row],[Customer ID]],customers!$A$1:$A$1001,customers!$I$1:$I$1001,,0)</f>
        <v>Yes</v>
      </c>
    </row>
    <row r="601" spans="1:16" x14ac:dyDescent="0.3">
      <c r="A601" s="3" t="s">
        <v>3872</v>
      </c>
      <c r="B601" s="5">
        <v>44321</v>
      </c>
      <c r="C601" s="3" t="s">
        <v>3873</v>
      </c>
      <c r="D601" s="4" t="s">
        <v>6154</v>
      </c>
      <c r="E601" s="3">
        <v>4</v>
      </c>
      <c r="F601" s="3" t="str">
        <f>_xlfn.XLOOKUP(C601,customers!$A$1:$A$1001,customers!$B$1:$B$1001,,0)</f>
        <v>Alisha Hulburt</v>
      </c>
      <c r="G601" s="3" t="str">
        <f>IF(_xlfn.XLOOKUP(C601,customers!$A$1:$A$1001,customers!$C$1:$C$1001,,0)=0,"", _xlfn.XLOOKUP(C601,customers!$A$1:$A$1001,customers!$C$1:$C$1001,,0))</f>
        <v>ahulburtgn@fda.gov</v>
      </c>
      <c r="H601" s="3" t="str">
        <f>_xlfn.XLOOKUP(C601,customers!$A$1:$A$1001,customers!$G$1:$G$1001,,0)</f>
        <v>United States</v>
      </c>
      <c r="I601" s="4" t="str">
        <f>INDEX(products!$A$1:$G$49,MATCH(orders!$D601,products!$A$1:$A$49,0),MATCH(orders!I$1,products!$A$1:$G$1,0))</f>
        <v>Ara</v>
      </c>
      <c r="J601" s="4" t="str">
        <f>INDEX(products!$A$1:$G$49,MATCH(orders!$D601,products!$A$1:$A$49,0),MATCH(orders!J$1,products!$A$1:$G$1,0))</f>
        <v>D</v>
      </c>
      <c r="K601" s="6">
        <f>INDEX(products!$A$1:$G$49,MATCH(orders!$D601,products!$A$1:$A$49,0),MATCH(orders!K$1,products!$A$1:$G$1,0))</f>
        <v>0.2</v>
      </c>
      <c r="L601" s="7">
        <f>INDEX(products!$A$1:$G$49,MATCH(orders!$D601,products!$A$1:$A$49,0),MATCH(orders!L$1,products!$A$1:$G$1,0))</f>
        <v>2.9849999999999999</v>
      </c>
      <c r="M601" s="7">
        <f t="shared" si="9"/>
        <v>11.94</v>
      </c>
      <c r="N601" s="4" t="str" cm="1">
        <f t="array" ref="N601">_xlfn.IFS(I601="Rob","Robusta",I601="Exc","Excelsa",I601="Ara","Arabica",I601="Lib","Liberica")</f>
        <v>Arabica</v>
      </c>
      <c r="O601" s="4" t="str" cm="1">
        <f t="array" ref="O601">_xlfn.IFS(J601="M","Medium",J601="L","Light",J601="D","Dark")</f>
        <v>Dark</v>
      </c>
      <c r="P601" s="4" t="str">
        <f>_xlfn.XLOOKUP(CoffeeOrderstable[[#This Row],[Customer ID]],customers!$A$1:$A$1001,customers!$I$1:$I$1001,,0)</f>
        <v>Yes</v>
      </c>
    </row>
    <row r="602" spans="1:16" x14ac:dyDescent="0.3">
      <c r="A602" s="3" t="s">
        <v>3877</v>
      </c>
      <c r="B602" s="5">
        <v>44492</v>
      </c>
      <c r="C602" s="3" t="s">
        <v>3878</v>
      </c>
      <c r="D602" s="4" t="s">
        <v>6169</v>
      </c>
      <c r="E602" s="3">
        <v>1</v>
      </c>
      <c r="F602" s="3" t="str">
        <f>_xlfn.XLOOKUP(C602,customers!$A$1:$A$1001,customers!$B$1:$B$1001,,0)</f>
        <v>Peyter Lauritzen</v>
      </c>
      <c r="G602" s="3" t="str">
        <f>IF(_xlfn.XLOOKUP(C602,customers!$A$1:$A$1001,customers!$C$1:$C$1001,,0)=0,"", _xlfn.XLOOKUP(C602,customers!$A$1:$A$1001,customers!$C$1:$C$1001,,0))</f>
        <v>plauritzengo@photobucket.com</v>
      </c>
      <c r="H602" s="3" t="str">
        <f>_xlfn.XLOOKUP(C602,customers!$A$1:$A$1001,customers!$G$1:$G$1001,,0)</f>
        <v>United States</v>
      </c>
      <c r="I602" s="4" t="str">
        <f>INDEX(products!$A$1:$G$49,MATCH(orders!$D602,products!$A$1:$A$49,0),MATCH(orders!I$1,products!$A$1:$G$1,0))</f>
        <v>Lib</v>
      </c>
      <c r="J602" s="4" t="str">
        <f>INDEX(products!$A$1:$G$49,MATCH(orders!$D602,products!$A$1:$A$49,0),MATCH(orders!J$1,products!$A$1:$G$1,0))</f>
        <v>D</v>
      </c>
      <c r="K602" s="6">
        <f>INDEX(products!$A$1:$G$49,MATCH(orders!$D602,products!$A$1:$A$49,0),MATCH(orders!K$1,products!$A$1:$G$1,0))</f>
        <v>0.5</v>
      </c>
      <c r="L602" s="7">
        <f>INDEX(products!$A$1:$G$49,MATCH(orders!$D602,products!$A$1:$A$49,0),MATCH(orders!L$1,products!$A$1:$G$1,0))</f>
        <v>7.77</v>
      </c>
      <c r="M602" s="7">
        <f t="shared" si="9"/>
        <v>7.77</v>
      </c>
      <c r="N602" s="4" t="str" cm="1">
        <f t="array" ref="N602">_xlfn.IFS(I602="Rob","Robusta",I602="Exc","Excelsa",I602="Ara","Arabica",I602="Lib","Liberica")</f>
        <v>Liberica</v>
      </c>
      <c r="O602" s="4" t="str" cm="1">
        <f t="array" ref="O602">_xlfn.IFS(J602="M","Medium",J602="L","Light",J602="D","Dark")</f>
        <v>Dark</v>
      </c>
      <c r="P602" s="4" t="str">
        <f>_xlfn.XLOOKUP(CoffeeOrderstable[[#This Row],[Customer ID]],customers!$A$1:$A$1001,customers!$I$1:$I$1001,,0)</f>
        <v>No</v>
      </c>
    </row>
    <row r="603" spans="1:16" x14ac:dyDescent="0.3">
      <c r="A603" s="3" t="s">
        <v>3883</v>
      </c>
      <c r="B603" s="5">
        <v>43815</v>
      </c>
      <c r="C603" s="3" t="s">
        <v>3884</v>
      </c>
      <c r="D603" s="4" t="s">
        <v>6142</v>
      </c>
      <c r="E603" s="3">
        <v>4</v>
      </c>
      <c r="F603" s="3" t="str">
        <f>_xlfn.XLOOKUP(C603,customers!$A$1:$A$1001,customers!$B$1:$B$1001,,0)</f>
        <v>Aurelia Burgwin</v>
      </c>
      <c r="G603" s="3" t="str">
        <f>IF(_xlfn.XLOOKUP(C603,customers!$A$1:$A$1001,customers!$C$1:$C$1001,,0)=0,"", _xlfn.XLOOKUP(C603,customers!$A$1:$A$1001,customers!$C$1:$C$1001,,0))</f>
        <v>aburgwingp@redcross.org</v>
      </c>
      <c r="H603" s="3" t="str">
        <f>_xlfn.XLOOKUP(C603,customers!$A$1:$A$1001,customers!$G$1:$G$1001,,0)</f>
        <v>United States</v>
      </c>
      <c r="I603" s="4" t="str">
        <f>INDEX(products!$A$1:$G$49,MATCH(orders!$D603,products!$A$1:$A$49,0),MATCH(orders!I$1,products!$A$1:$G$1,0))</f>
        <v>Rob</v>
      </c>
      <c r="J603" s="4" t="str">
        <f>INDEX(products!$A$1:$G$49,MATCH(orders!$D603,products!$A$1:$A$49,0),MATCH(orders!J$1,products!$A$1:$G$1,0))</f>
        <v>L</v>
      </c>
      <c r="K603" s="6">
        <f>INDEX(products!$A$1:$G$49,MATCH(orders!$D603,products!$A$1:$A$49,0),MATCH(orders!K$1,products!$A$1:$G$1,0))</f>
        <v>2.5</v>
      </c>
      <c r="L603" s="7">
        <f>INDEX(products!$A$1:$G$49,MATCH(orders!$D603,products!$A$1:$A$49,0),MATCH(orders!L$1,products!$A$1:$G$1,0))</f>
        <v>27.484999999999996</v>
      </c>
      <c r="M603" s="7">
        <f t="shared" si="9"/>
        <v>109.93999999999998</v>
      </c>
      <c r="N603" s="4" t="str" cm="1">
        <f t="array" ref="N603">_xlfn.IFS(I603="Rob","Robusta",I603="Exc","Excelsa",I603="Ara","Arabica",I603="Lib","Liberica")</f>
        <v>Robusta</v>
      </c>
      <c r="O603" s="4" t="str" cm="1">
        <f t="array" ref="O603">_xlfn.IFS(J603="M","Medium",J603="L","Light",J603="D","Dark")</f>
        <v>Light</v>
      </c>
      <c r="P603" s="4" t="str">
        <f>_xlfn.XLOOKUP(CoffeeOrderstable[[#This Row],[Customer ID]],customers!$A$1:$A$1001,customers!$I$1:$I$1001,,0)</f>
        <v>Yes</v>
      </c>
    </row>
    <row r="604" spans="1:16" x14ac:dyDescent="0.3">
      <c r="A604" s="3" t="s">
        <v>3889</v>
      </c>
      <c r="B604" s="5">
        <v>43603</v>
      </c>
      <c r="C604" s="3" t="s">
        <v>3890</v>
      </c>
      <c r="D604" s="4" t="s">
        <v>6184</v>
      </c>
      <c r="E604" s="3">
        <v>5</v>
      </c>
      <c r="F604" s="3" t="str">
        <f>_xlfn.XLOOKUP(C604,customers!$A$1:$A$1001,customers!$B$1:$B$1001,,0)</f>
        <v>Emalee Rolin</v>
      </c>
      <c r="G604" s="3" t="str">
        <f>IF(_xlfn.XLOOKUP(C604,customers!$A$1:$A$1001,customers!$C$1:$C$1001,,0)=0,"", _xlfn.XLOOKUP(C604,customers!$A$1:$A$1001,customers!$C$1:$C$1001,,0))</f>
        <v>erolingq@google.fr</v>
      </c>
      <c r="H604" s="3" t="str">
        <f>_xlfn.XLOOKUP(C604,customers!$A$1:$A$1001,customers!$G$1:$G$1001,,0)</f>
        <v>United States</v>
      </c>
      <c r="I604" s="4" t="str">
        <f>INDEX(products!$A$1:$G$49,MATCH(orders!$D604,products!$A$1:$A$49,0),MATCH(orders!I$1,products!$A$1:$G$1,0))</f>
        <v>Exc</v>
      </c>
      <c r="J604" s="4" t="str">
        <f>INDEX(products!$A$1:$G$49,MATCH(orders!$D604,products!$A$1:$A$49,0),MATCH(orders!J$1,products!$A$1:$G$1,0))</f>
        <v>L</v>
      </c>
      <c r="K604" s="6">
        <f>INDEX(products!$A$1:$G$49,MATCH(orders!$D604,products!$A$1:$A$49,0),MATCH(orders!K$1,products!$A$1:$G$1,0))</f>
        <v>0.2</v>
      </c>
      <c r="L604" s="7">
        <f>INDEX(products!$A$1:$G$49,MATCH(orders!$D604,products!$A$1:$A$49,0),MATCH(orders!L$1,products!$A$1:$G$1,0))</f>
        <v>4.4550000000000001</v>
      </c>
      <c r="M604" s="7">
        <f t="shared" si="9"/>
        <v>22.274999999999999</v>
      </c>
      <c r="N604" s="4" t="str" cm="1">
        <f t="array" ref="N604">_xlfn.IFS(I604="Rob","Robusta",I604="Exc","Excelsa",I604="Ara","Arabica",I604="Lib","Liberica")</f>
        <v>Excelsa</v>
      </c>
      <c r="O604" s="4" t="str" cm="1">
        <f t="array" ref="O604">_xlfn.IFS(J604="M","Medium",J604="L","Light",J604="D","Dark")</f>
        <v>Light</v>
      </c>
      <c r="P604" s="4" t="str">
        <f>_xlfn.XLOOKUP(CoffeeOrderstable[[#This Row],[Customer ID]],customers!$A$1:$A$1001,customers!$I$1:$I$1001,,0)</f>
        <v>Yes</v>
      </c>
    </row>
    <row r="605" spans="1:16" x14ac:dyDescent="0.3">
      <c r="A605" s="3" t="s">
        <v>3895</v>
      </c>
      <c r="B605" s="5">
        <v>43660</v>
      </c>
      <c r="C605" s="3" t="s">
        <v>3896</v>
      </c>
      <c r="D605" s="4" t="s">
        <v>6174</v>
      </c>
      <c r="E605" s="3">
        <v>3</v>
      </c>
      <c r="F605" s="3" t="str">
        <f>_xlfn.XLOOKUP(C605,customers!$A$1:$A$1001,customers!$B$1:$B$1001,,0)</f>
        <v>Donavon Fowle</v>
      </c>
      <c r="G605" s="3" t="str">
        <f>IF(_xlfn.XLOOKUP(C605,customers!$A$1:$A$1001,customers!$C$1:$C$1001,,0)=0,"", _xlfn.XLOOKUP(C605,customers!$A$1:$A$1001,customers!$C$1:$C$1001,,0))</f>
        <v>dfowlegr@epa.gov</v>
      </c>
      <c r="H605" s="3" t="str">
        <f>_xlfn.XLOOKUP(C605,customers!$A$1:$A$1001,customers!$G$1:$G$1001,,0)</f>
        <v>United States</v>
      </c>
      <c r="I605" s="4" t="str">
        <f>INDEX(products!$A$1:$G$49,MATCH(orders!$D605,products!$A$1:$A$49,0),MATCH(orders!I$1,products!$A$1:$G$1,0))</f>
        <v>Rob</v>
      </c>
      <c r="J605" s="4" t="str">
        <f>INDEX(products!$A$1:$G$49,MATCH(orders!$D605,products!$A$1:$A$49,0),MATCH(orders!J$1,products!$A$1:$G$1,0))</f>
        <v>M</v>
      </c>
      <c r="K605" s="6">
        <f>INDEX(products!$A$1:$G$49,MATCH(orders!$D605,products!$A$1:$A$49,0),MATCH(orders!K$1,products!$A$1:$G$1,0))</f>
        <v>0.2</v>
      </c>
      <c r="L605" s="7">
        <f>INDEX(products!$A$1:$G$49,MATCH(orders!$D605,products!$A$1:$A$49,0),MATCH(orders!L$1,products!$A$1:$G$1,0))</f>
        <v>2.9849999999999999</v>
      </c>
      <c r="M605" s="7">
        <f t="shared" si="9"/>
        <v>8.9550000000000001</v>
      </c>
      <c r="N605" s="4" t="str" cm="1">
        <f t="array" ref="N605">_xlfn.IFS(I605="Rob","Robusta",I605="Exc","Excelsa",I605="Ara","Arabica",I605="Lib","Liberica")</f>
        <v>Robusta</v>
      </c>
      <c r="O605" s="4" t="str" cm="1">
        <f t="array" ref="O605">_xlfn.IFS(J605="M","Medium",J605="L","Light",J605="D","Dark")</f>
        <v>Medium</v>
      </c>
      <c r="P605" s="4" t="str">
        <f>_xlfn.XLOOKUP(CoffeeOrderstable[[#This Row],[Customer ID]],customers!$A$1:$A$1001,customers!$I$1:$I$1001,,0)</f>
        <v>No</v>
      </c>
    </row>
    <row r="606" spans="1:16" x14ac:dyDescent="0.3">
      <c r="A606" s="3" t="s">
        <v>3900</v>
      </c>
      <c r="B606" s="5">
        <v>44148</v>
      </c>
      <c r="C606" s="3" t="s">
        <v>3901</v>
      </c>
      <c r="D606" s="4" t="s">
        <v>6165</v>
      </c>
      <c r="E606" s="3">
        <v>4</v>
      </c>
      <c r="F606" s="3" t="str">
        <f>_xlfn.XLOOKUP(C606,customers!$A$1:$A$1001,customers!$B$1:$B$1001,,0)</f>
        <v>Jorge Bettison</v>
      </c>
      <c r="G606" s="3" t="str">
        <f>IF(_xlfn.XLOOKUP(C606,customers!$A$1:$A$1001,customers!$C$1:$C$1001,,0)=0,"", _xlfn.XLOOKUP(C606,customers!$A$1:$A$1001,customers!$C$1:$C$1001,,0))</f>
        <v/>
      </c>
      <c r="H606" s="3" t="str">
        <f>_xlfn.XLOOKUP(C606,customers!$A$1:$A$1001,customers!$G$1:$G$1001,,0)</f>
        <v>Ireland</v>
      </c>
      <c r="I606" s="4" t="str">
        <f>INDEX(products!$A$1:$G$49,MATCH(orders!$D606,products!$A$1:$A$49,0),MATCH(orders!I$1,products!$A$1:$G$1,0))</f>
        <v>Lib</v>
      </c>
      <c r="J606" s="4" t="str">
        <f>INDEX(products!$A$1:$G$49,MATCH(orders!$D606,products!$A$1:$A$49,0),MATCH(orders!J$1,products!$A$1:$G$1,0))</f>
        <v>D</v>
      </c>
      <c r="K606" s="6">
        <f>INDEX(products!$A$1:$G$49,MATCH(orders!$D606,products!$A$1:$A$49,0),MATCH(orders!K$1,products!$A$1:$G$1,0))</f>
        <v>2.5</v>
      </c>
      <c r="L606" s="7">
        <f>INDEX(products!$A$1:$G$49,MATCH(orders!$D606,products!$A$1:$A$49,0),MATCH(orders!L$1,products!$A$1:$G$1,0))</f>
        <v>29.784999999999997</v>
      </c>
      <c r="M606" s="7">
        <f t="shared" si="9"/>
        <v>119.13999999999999</v>
      </c>
      <c r="N606" s="4" t="str" cm="1">
        <f t="array" ref="N606">_xlfn.IFS(I606="Rob","Robusta",I606="Exc","Excelsa",I606="Ara","Arabica",I606="Lib","Liberica")</f>
        <v>Liberica</v>
      </c>
      <c r="O606" s="4" t="str" cm="1">
        <f t="array" ref="O606">_xlfn.IFS(J606="M","Medium",J606="L","Light",J606="D","Dark")</f>
        <v>Dark</v>
      </c>
      <c r="P606" s="4" t="str">
        <f>_xlfn.XLOOKUP(CoffeeOrderstable[[#This Row],[Customer ID]],customers!$A$1:$A$1001,customers!$I$1:$I$1001,,0)</f>
        <v>No</v>
      </c>
    </row>
    <row r="607" spans="1:16" x14ac:dyDescent="0.3">
      <c r="A607" s="3" t="s">
        <v>3905</v>
      </c>
      <c r="B607" s="5">
        <v>44028</v>
      </c>
      <c r="C607" s="3" t="s">
        <v>3906</v>
      </c>
      <c r="D607" s="4" t="s">
        <v>6182</v>
      </c>
      <c r="E607" s="3">
        <v>5</v>
      </c>
      <c r="F607" s="3" t="str">
        <f>_xlfn.XLOOKUP(C607,customers!$A$1:$A$1001,customers!$B$1:$B$1001,,0)</f>
        <v>Wang Powlesland</v>
      </c>
      <c r="G607" s="3" t="str">
        <f>IF(_xlfn.XLOOKUP(C607,customers!$A$1:$A$1001,customers!$C$1:$C$1001,,0)=0,"", _xlfn.XLOOKUP(C607,customers!$A$1:$A$1001,customers!$C$1:$C$1001,,0))</f>
        <v>wpowleslandgt@soundcloud.com</v>
      </c>
      <c r="H607" s="3" t="str">
        <f>_xlfn.XLOOKUP(C607,customers!$A$1:$A$1001,customers!$G$1:$G$1001,,0)</f>
        <v>United States</v>
      </c>
      <c r="I607" s="4" t="str">
        <f>INDEX(products!$A$1:$G$49,MATCH(orders!$D607,products!$A$1:$A$49,0),MATCH(orders!I$1,products!$A$1:$G$1,0))</f>
        <v>Ara</v>
      </c>
      <c r="J607" s="4" t="str">
        <f>INDEX(products!$A$1:$G$49,MATCH(orders!$D607,products!$A$1:$A$49,0),MATCH(orders!J$1,products!$A$1:$G$1,0))</f>
        <v>L</v>
      </c>
      <c r="K607" s="6">
        <f>INDEX(products!$A$1:$G$49,MATCH(orders!$D607,products!$A$1:$A$49,0),MATCH(orders!K$1,products!$A$1:$G$1,0))</f>
        <v>2.5</v>
      </c>
      <c r="L607" s="7">
        <f>INDEX(products!$A$1:$G$49,MATCH(orders!$D607,products!$A$1:$A$49,0),MATCH(orders!L$1,products!$A$1:$G$1,0))</f>
        <v>29.784999999999997</v>
      </c>
      <c r="M607" s="7">
        <f t="shared" si="9"/>
        <v>148.92499999999998</v>
      </c>
      <c r="N607" s="4" t="str" cm="1">
        <f t="array" ref="N607">_xlfn.IFS(I607="Rob","Robusta",I607="Exc","Excelsa",I607="Ara","Arabica",I607="Lib","Liberica")</f>
        <v>Arabica</v>
      </c>
      <c r="O607" s="4" t="str" cm="1">
        <f t="array" ref="O607">_xlfn.IFS(J607="M","Medium",J607="L","Light",J607="D","Dark")</f>
        <v>Light</v>
      </c>
      <c r="P607" s="4" t="str">
        <f>_xlfn.XLOOKUP(CoffeeOrderstable[[#This Row],[Customer ID]],customers!$A$1:$A$1001,customers!$I$1:$I$1001,,0)</f>
        <v>Yes</v>
      </c>
    </row>
    <row r="608" spans="1:16" x14ac:dyDescent="0.3">
      <c r="A608" s="3" t="s">
        <v>3911</v>
      </c>
      <c r="B608" s="5">
        <v>44138</v>
      </c>
      <c r="C608" s="3" t="s">
        <v>3840</v>
      </c>
      <c r="D608" s="4" t="s">
        <v>6164</v>
      </c>
      <c r="E608" s="3">
        <v>3</v>
      </c>
      <c r="F608" s="3" t="str">
        <f>_xlfn.XLOOKUP(C608,customers!$A$1:$A$1001,customers!$B$1:$B$1001,,0)</f>
        <v>Cody Verissimo</v>
      </c>
      <c r="G608" s="3" t="str">
        <f>IF(_xlfn.XLOOKUP(C608,customers!$A$1:$A$1001,customers!$C$1:$C$1001,,0)=0,"", _xlfn.XLOOKUP(C608,customers!$A$1:$A$1001,customers!$C$1:$C$1001,,0))</f>
        <v>cverissimogh@theglobeandmail.com</v>
      </c>
      <c r="H608" s="3" t="str">
        <f>_xlfn.XLOOKUP(C608,customers!$A$1:$A$1001,customers!$G$1:$G$1001,,0)</f>
        <v>United Kingdom</v>
      </c>
      <c r="I608" s="4" t="str">
        <f>INDEX(products!$A$1:$G$49,MATCH(orders!$D608,products!$A$1:$A$49,0),MATCH(orders!I$1,products!$A$1:$G$1,0))</f>
        <v>Lib</v>
      </c>
      <c r="J608" s="4" t="str">
        <f>INDEX(products!$A$1:$G$49,MATCH(orders!$D608,products!$A$1:$A$49,0),MATCH(orders!J$1,products!$A$1:$G$1,0))</f>
        <v>L</v>
      </c>
      <c r="K608" s="6">
        <f>INDEX(products!$A$1:$G$49,MATCH(orders!$D608,products!$A$1:$A$49,0),MATCH(orders!K$1,products!$A$1:$G$1,0))</f>
        <v>2.5</v>
      </c>
      <c r="L608" s="7">
        <f>INDEX(products!$A$1:$G$49,MATCH(orders!$D608,products!$A$1:$A$49,0),MATCH(orders!L$1,products!$A$1:$G$1,0))</f>
        <v>36.454999999999998</v>
      </c>
      <c r="M608" s="7">
        <f t="shared" si="9"/>
        <v>109.36499999999999</v>
      </c>
      <c r="N608" s="4" t="str" cm="1">
        <f t="array" ref="N608">_xlfn.IFS(I608="Rob","Robusta",I608="Exc","Excelsa",I608="Ara","Arabica",I608="Lib","Liberica")</f>
        <v>Liberica</v>
      </c>
      <c r="O608" s="4" t="str" cm="1">
        <f t="array" ref="O608">_xlfn.IFS(J608="M","Medium",J608="L","Light",J608="D","Dark")</f>
        <v>Light</v>
      </c>
      <c r="P608" s="4" t="str">
        <f>_xlfn.XLOOKUP(CoffeeOrderstable[[#This Row],[Customer ID]],customers!$A$1:$A$1001,customers!$I$1:$I$1001,,0)</f>
        <v>Yes</v>
      </c>
    </row>
    <row r="609" spans="1:16" x14ac:dyDescent="0.3">
      <c r="A609" s="3" t="s">
        <v>3917</v>
      </c>
      <c r="B609" s="5">
        <v>44640</v>
      </c>
      <c r="C609" s="3" t="s">
        <v>3918</v>
      </c>
      <c r="D609" s="4" t="s">
        <v>6153</v>
      </c>
      <c r="E609" s="3">
        <v>1</v>
      </c>
      <c r="F609" s="3" t="str">
        <f>_xlfn.XLOOKUP(C609,customers!$A$1:$A$1001,customers!$B$1:$B$1001,,0)</f>
        <v>Laurence Ellingham</v>
      </c>
      <c r="G609" s="3" t="str">
        <f>IF(_xlfn.XLOOKUP(C609,customers!$A$1:$A$1001,customers!$C$1:$C$1001,,0)=0,"", _xlfn.XLOOKUP(C609,customers!$A$1:$A$1001,customers!$C$1:$C$1001,,0))</f>
        <v>lellinghamgv@sciencedaily.com</v>
      </c>
      <c r="H609" s="3" t="str">
        <f>_xlfn.XLOOKUP(C609,customers!$A$1:$A$1001,customers!$G$1:$G$1001,,0)</f>
        <v>United States</v>
      </c>
      <c r="I609" s="4" t="str">
        <f>INDEX(products!$A$1:$G$49,MATCH(orders!$D609,products!$A$1:$A$49,0),MATCH(orders!I$1,products!$A$1:$G$1,0))</f>
        <v>Exc</v>
      </c>
      <c r="J609" s="4" t="str">
        <f>INDEX(products!$A$1:$G$49,MATCH(orders!$D609,products!$A$1:$A$49,0),MATCH(orders!J$1,products!$A$1:$G$1,0))</f>
        <v>D</v>
      </c>
      <c r="K609" s="6">
        <f>INDEX(products!$A$1:$G$49,MATCH(orders!$D609,products!$A$1:$A$49,0),MATCH(orders!K$1,products!$A$1:$G$1,0))</f>
        <v>0.2</v>
      </c>
      <c r="L609" s="7">
        <f>INDEX(products!$A$1:$G$49,MATCH(orders!$D609,products!$A$1:$A$49,0),MATCH(orders!L$1,products!$A$1:$G$1,0))</f>
        <v>3.645</v>
      </c>
      <c r="M609" s="7">
        <f t="shared" si="9"/>
        <v>3.645</v>
      </c>
      <c r="N609" s="4" t="str" cm="1">
        <f t="array" ref="N609">_xlfn.IFS(I609="Rob","Robusta",I609="Exc","Excelsa",I609="Ara","Arabica",I609="Lib","Liberica")</f>
        <v>Excelsa</v>
      </c>
      <c r="O609" s="4" t="str" cm="1">
        <f t="array" ref="O609">_xlfn.IFS(J609="M","Medium",J609="L","Light",J609="D","Dark")</f>
        <v>Dark</v>
      </c>
      <c r="P609" s="4" t="str">
        <f>_xlfn.XLOOKUP(CoffeeOrderstable[[#This Row],[Customer ID]],customers!$A$1:$A$1001,customers!$I$1:$I$1001,,0)</f>
        <v>Yes</v>
      </c>
    </row>
    <row r="610" spans="1:16" x14ac:dyDescent="0.3">
      <c r="A610" s="3" t="s">
        <v>3923</v>
      </c>
      <c r="B610" s="5">
        <v>44608</v>
      </c>
      <c r="C610" s="3" t="s">
        <v>3924</v>
      </c>
      <c r="D610" s="4" t="s">
        <v>6185</v>
      </c>
      <c r="E610" s="3">
        <v>2</v>
      </c>
      <c r="F610" s="3" t="str">
        <f>_xlfn.XLOOKUP(C610,customers!$A$1:$A$1001,customers!$B$1:$B$1001,,0)</f>
        <v>Billy Neiland</v>
      </c>
      <c r="G610" s="3" t="str">
        <f>IF(_xlfn.XLOOKUP(C610,customers!$A$1:$A$1001,customers!$C$1:$C$1001,,0)=0,"", _xlfn.XLOOKUP(C610,customers!$A$1:$A$1001,customers!$C$1:$C$1001,,0))</f>
        <v/>
      </c>
      <c r="H610" s="3" t="str">
        <f>_xlfn.XLOOKUP(C610,customers!$A$1:$A$1001,customers!$G$1:$G$1001,,0)</f>
        <v>United States</v>
      </c>
      <c r="I610" s="4" t="str">
        <f>INDEX(products!$A$1:$G$49,MATCH(orders!$D610,products!$A$1:$A$49,0),MATCH(orders!I$1,products!$A$1:$G$1,0))</f>
        <v>Exc</v>
      </c>
      <c r="J610" s="4" t="str">
        <f>INDEX(products!$A$1:$G$49,MATCH(orders!$D610,products!$A$1:$A$49,0),MATCH(orders!J$1,products!$A$1:$G$1,0))</f>
        <v>D</v>
      </c>
      <c r="K610" s="6">
        <f>INDEX(products!$A$1:$G$49,MATCH(orders!$D610,products!$A$1:$A$49,0),MATCH(orders!K$1,products!$A$1:$G$1,0))</f>
        <v>2.5</v>
      </c>
      <c r="L610" s="7">
        <f>INDEX(products!$A$1:$G$49,MATCH(orders!$D610,products!$A$1:$A$49,0),MATCH(orders!L$1,products!$A$1:$G$1,0))</f>
        <v>27.945</v>
      </c>
      <c r="M610" s="7">
        <f t="shared" si="9"/>
        <v>55.89</v>
      </c>
      <c r="N610" s="4" t="str" cm="1">
        <f t="array" ref="N610">_xlfn.IFS(I610="Rob","Robusta",I610="Exc","Excelsa",I610="Ara","Arabica",I610="Lib","Liberica")</f>
        <v>Excelsa</v>
      </c>
      <c r="O610" s="4" t="str" cm="1">
        <f t="array" ref="O610">_xlfn.IFS(J610="M","Medium",J610="L","Light",J610="D","Dark")</f>
        <v>Dark</v>
      </c>
      <c r="P610" s="4" t="str">
        <f>_xlfn.XLOOKUP(CoffeeOrderstable[[#This Row],[Customer ID]],customers!$A$1:$A$1001,customers!$I$1:$I$1001,,0)</f>
        <v>No</v>
      </c>
    </row>
    <row r="611" spans="1:16" x14ac:dyDescent="0.3">
      <c r="A611" s="3" t="s">
        <v>3927</v>
      </c>
      <c r="B611" s="5">
        <v>44147</v>
      </c>
      <c r="C611" s="3" t="s">
        <v>3928</v>
      </c>
      <c r="D611" s="4" t="s">
        <v>6159</v>
      </c>
      <c r="E611" s="3">
        <v>6</v>
      </c>
      <c r="F611" s="3" t="str">
        <f>_xlfn.XLOOKUP(C611,customers!$A$1:$A$1001,customers!$B$1:$B$1001,,0)</f>
        <v>Ancell Fendt</v>
      </c>
      <c r="G611" s="3" t="str">
        <f>IF(_xlfn.XLOOKUP(C611,customers!$A$1:$A$1001,customers!$C$1:$C$1001,,0)=0,"", _xlfn.XLOOKUP(C611,customers!$A$1:$A$1001,customers!$C$1:$C$1001,,0))</f>
        <v>afendtgx@forbes.com</v>
      </c>
      <c r="H611" s="3" t="str">
        <f>_xlfn.XLOOKUP(C611,customers!$A$1:$A$1001,customers!$G$1:$G$1001,,0)</f>
        <v>United States</v>
      </c>
      <c r="I611" s="4" t="str">
        <f>INDEX(products!$A$1:$G$49,MATCH(orders!$D611,products!$A$1:$A$49,0),MATCH(orders!I$1,products!$A$1:$G$1,0))</f>
        <v>Lib</v>
      </c>
      <c r="J611" s="4" t="str">
        <f>INDEX(products!$A$1:$G$49,MATCH(orders!$D611,products!$A$1:$A$49,0),MATCH(orders!J$1,products!$A$1:$G$1,0))</f>
        <v>M</v>
      </c>
      <c r="K611" s="6">
        <f>INDEX(products!$A$1:$G$49,MATCH(orders!$D611,products!$A$1:$A$49,0),MATCH(orders!K$1,products!$A$1:$G$1,0))</f>
        <v>0.2</v>
      </c>
      <c r="L611" s="7">
        <f>INDEX(products!$A$1:$G$49,MATCH(orders!$D611,products!$A$1:$A$49,0),MATCH(orders!L$1,products!$A$1:$G$1,0))</f>
        <v>4.3650000000000002</v>
      </c>
      <c r="M611" s="7">
        <f t="shared" si="9"/>
        <v>26.19</v>
      </c>
      <c r="N611" s="4" t="str" cm="1">
        <f t="array" ref="N611">_xlfn.IFS(I611="Rob","Robusta",I611="Exc","Excelsa",I611="Ara","Arabica",I611="Lib","Liberica")</f>
        <v>Liberica</v>
      </c>
      <c r="O611" s="4" t="str" cm="1">
        <f t="array" ref="O611">_xlfn.IFS(J611="M","Medium",J611="L","Light",J611="D","Dark")</f>
        <v>Medium</v>
      </c>
      <c r="P611" s="4" t="str">
        <f>_xlfn.XLOOKUP(CoffeeOrderstable[[#This Row],[Customer ID]],customers!$A$1:$A$1001,customers!$I$1:$I$1001,,0)</f>
        <v>Yes</v>
      </c>
    </row>
    <row r="612" spans="1:16" x14ac:dyDescent="0.3">
      <c r="A612" s="3" t="s">
        <v>3933</v>
      </c>
      <c r="B612" s="5">
        <v>43743</v>
      </c>
      <c r="C612" s="3" t="s">
        <v>3934</v>
      </c>
      <c r="D612" s="4" t="s">
        <v>6138</v>
      </c>
      <c r="E612" s="3">
        <v>4</v>
      </c>
      <c r="F612" s="3" t="str">
        <f>_xlfn.XLOOKUP(C612,customers!$A$1:$A$1001,customers!$B$1:$B$1001,,0)</f>
        <v>Angelia Cleyburn</v>
      </c>
      <c r="G612" s="3" t="str">
        <f>IF(_xlfn.XLOOKUP(C612,customers!$A$1:$A$1001,customers!$C$1:$C$1001,,0)=0,"", _xlfn.XLOOKUP(C612,customers!$A$1:$A$1001,customers!$C$1:$C$1001,,0))</f>
        <v>acleyburngy@lycos.com</v>
      </c>
      <c r="H612" s="3" t="str">
        <f>_xlfn.XLOOKUP(C612,customers!$A$1:$A$1001,customers!$G$1:$G$1001,,0)</f>
        <v>United States</v>
      </c>
      <c r="I612" s="4" t="str">
        <f>INDEX(products!$A$1:$G$49,MATCH(orders!$D612,products!$A$1:$A$49,0),MATCH(orders!I$1,products!$A$1:$G$1,0))</f>
        <v>Rob</v>
      </c>
      <c r="J612" s="4" t="str">
        <f>INDEX(products!$A$1:$G$49,MATCH(orders!$D612,products!$A$1:$A$49,0),MATCH(orders!J$1,products!$A$1:$G$1,0))</f>
        <v>M</v>
      </c>
      <c r="K612" s="6">
        <f>INDEX(products!$A$1:$G$49,MATCH(orders!$D612,products!$A$1:$A$49,0),MATCH(orders!K$1,products!$A$1:$G$1,0))</f>
        <v>1</v>
      </c>
      <c r="L612" s="7">
        <f>INDEX(products!$A$1:$G$49,MATCH(orders!$D612,products!$A$1:$A$49,0),MATCH(orders!L$1,products!$A$1:$G$1,0))</f>
        <v>9.9499999999999993</v>
      </c>
      <c r="M612" s="7">
        <f t="shared" si="9"/>
        <v>39.799999999999997</v>
      </c>
      <c r="N612" s="4" t="str" cm="1">
        <f t="array" ref="N612">_xlfn.IFS(I612="Rob","Robusta",I612="Exc","Excelsa",I612="Ara","Arabica",I612="Lib","Liberica")</f>
        <v>Robusta</v>
      </c>
      <c r="O612" s="4" t="str" cm="1">
        <f t="array" ref="O612">_xlfn.IFS(J612="M","Medium",J612="L","Light",J612="D","Dark")</f>
        <v>Medium</v>
      </c>
      <c r="P612" s="4" t="str">
        <f>_xlfn.XLOOKUP(CoffeeOrderstable[[#This Row],[Customer ID]],customers!$A$1:$A$1001,customers!$I$1:$I$1001,,0)</f>
        <v>No</v>
      </c>
    </row>
    <row r="613" spans="1:16" x14ac:dyDescent="0.3">
      <c r="A613" s="3" t="s">
        <v>3939</v>
      </c>
      <c r="B613" s="5">
        <v>43739</v>
      </c>
      <c r="C613" s="3" t="s">
        <v>3940</v>
      </c>
      <c r="D613" s="4" t="s">
        <v>6148</v>
      </c>
      <c r="E613" s="3">
        <v>2</v>
      </c>
      <c r="F613" s="3" t="str">
        <f>_xlfn.XLOOKUP(C613,customers!$A$1:$A$1001,customers!$B$1:$B$1001,,0)</f>
        <v>Temple Castiglione</v>
      </c>
      <c r="G613" s="3" t="str">
        <f>IF(_xlfn.XLOOKUP(C613,customers!$A$1:$A$1001,customers!$C$1:$C$1001,,0)=0,"", _xlfn.XLOOKUP(C613,customers!$A$1:$A$1001,customers!$C$1:$C$1001,,0))</f>
        <v>tcastiglionegz@xing.com</v>
      </c>
      <c r="H613" s="3" t="str">
        <f>_xlfn.XLOOKUP(C613,customers!$A$1:$A$1001,customers!$G$1:$G$1001,,0)</f>
        <v>United States</v>
      </c>
      <c r="I613" s="4" t="str">
        <f>INDEX(products!$A$1:$G$49,MATCH(orders!$D613,products!$A$1:$A$49,0),MATCH(orders!I$1,products!$A$1:$G$1,0))</f>
        <v>Exc</v>
      </c>
      <c r="J613" s="4" t="str">
        <f>INDEX(products!$A$1:$G$49,MATCH(orders!$D613,products!$A$1:$A$49,0),MATCH(orders!J$1,products!$A$1:$G$1,0))</f>
        <v>L</v>
      </c>
      <c r="K613" s="6">
        <f>INDEX(products!$A$1:$G$49,MATCH(orders!$D613,products!$A$1:$A$49,0),MATCH(orders!K$1,products!$A$1:$G$1,0))</f>
        <v>2.5</v>
      </c>
      <c r="L613" s="7">
        <f>INDEX(products!$A$1:$G$49,MATCH(orders!$D613,products!$A$1:$A$49,0),MATCH(orders!L$1,products!$A$1:$G$1,0))</f>
        <v>34.154999999999994</v>
      </c>
      <c r="M613" s="7">
        <f t="shared" si="9"/>
        <v>68.309999999999988</v>
      </c>
      <c r="N613" s="4" t="str" cm="1">
        <f t="array" ref="N613">_xlfn.IFS(I613="Rob","Robusta",I613="Exc","Excelsa",I613="Ara","Arabica",I613="Lib","Liberica")</f>
        <v>Excelsa</v>
      </c>
      <c r="O613" s="4" t="str" cm="1">
        <f t="array" ref="O613">_xlfn.IFS(J613="M","Medium",J613="L","Light",J613="D","Dark")</f>
        <v>Light</v>
      </c>
      <c r="P613" s="4" t="str">
        <f>_xlfn.XLOOKUP(CoffeeOrderstable[[#This Row],[Customer ID]],customers!$A$1:$A$1001,customers!$I$1:$I$1001,,0)</f>
        <v>No</v>
      </c>
    </row>
    <row r="614" spans="1:16" x14ac:dyDescent="0.3">
      <c r="A614" s="3" t="s">
        <v>3945</v>
      </c>
      <c r="B614" s="5">
        <v>43896</v>
      </c>
      <c r="C614" s="3" t="s">
        <v>3946</v>
      </c>
      <c r="D614" s="4" t="s">
        <v>6152</v>
      </c>
      <c r="E614" s="3">
        <v>4</v>
      </c>
      <c r="F614" s="3" t="str">
        <f>_xlfn.XLOOKUP(C614,customers!$A$1:$A$1001,customers!$B$1:$B$1001,,0)</f>
        <v>Betti Lacasa</v>
      </c>
      <c r="G614" s="3" t="str">
        <f>IF(_xlfn.XLOOKUP(C614,customers!$A$1:$A$1001,customers!$C$1:$C$1001,,0)=0,"", _xlfn.XLOOKUP(C614,customers!$A$1:$A$1001,customers!$C$1:$C$1001,,0))</f>
        <v/>
      </c>
      <c r="H614" s="3" t="str">
        <f>_xlfn.XLOOKUP(C614,customers!$A$1:$A$1001,customers!$G$1:$G$1001,,0)</f>
        <v>Ireland</v>
      </c>
      <c r="I614" s="4" t="str">
        <f>INDEX(products!$A$1:$G$49,MATCH(orders!$D614,products!$A$1:$A$49,0),MATCH(orders!I$1,products!$A$1:$G$1,0))</f>
        <v>Ara</v>
      </c>
      <c r="J614" s="4" t="str">
        <f>INDEX(products!$A$1:$G$49,MATCH(orders!$D614,products!$A$1:$A$49,0),MATCH(orders!J$1,products!$A$1:$G$1,0))</f>
        <v>M</v>
      </c>
      <c r="K614" s="6">
        <f>INDEX(products!$A$1:$G$49,MATCH(orders!$D614,products!$A$1:$A$49,0),MATCH(orders!K$1,products!$A$1:$G$1,0))</f>
        <v>0.2</v>
      </c>
      <c r="L614" s="7">
        <f>INDEX(products!$A$1:$G$49,MATCH(orders!$D614,products!$A$1:$A$49,0),MATCH(orders!L$1,products!$A$1:$G$1,0))</f>
        <v>3.375</v>
      </c>
      <c r="M614" s="7">
        <f t="shared" si="9"/>
        <v>13.5</v>
      </c>
      <c r="N614" s="4" t="str" cm="1">
        <f t="array" ref="N614">_xlfn.IFS(I614="Rob","Robusta",I614="Exc","Excelsa",I614="Ara","Arabica",I614="Lib","Liberica")</f>
        <v>Arabica</v>
      </c>
      <c r="O614" s="4" t="str" cm="1">
        <f t="array" ref="O614">_xlfn.IFS(J614="M","Medium",J614="L","Light",J614="D","Dark")</f>
        <v>Medium</v>
      </c>
      <c r="P614" s="4" t="str">
        <f>_xlfn.XLOOKUP(CoffeeOrderstable[[#This Row],[Customer ID]],customers!$A$1:$A$1001,customers!$I$1:$I$1001,,0)</f>
        <v>No</v>
      </c>
    </row>
    <row r="615" spans="1:16" x14ac:dyDescent="0.3">
      <c r="A615" s="3" t="s">
        <v>3950</v>
      </c>
      <c r="B615" s="5">
        <v>43761</v>
      </c>
      <c r="C615" s="3" t="s">
        <v>3951</v>
      </c>
      <c r="D615" s="4" t="s">
        <v>6146</v>
      </c>
      <c r="E615" s="3">
        <v>1</v>
      </c>
      <c r="F615" s="3" t="str">
        <f>_xlfn.XLOOKUP(C615,customers!$A$1:$A$1001,customers!$B$1:$B$1001,,0)</f>
        <v>Gunilla Lynch</v>
      </c>
      <c r="G615" s="3" t="str">
        <f>IF(_xlfn.XLOOKUP(C615,customers!$A$1:$A$1001,customers!$C$1:$C$1001,,0)=0,"", _xlfn.XLOOKUP(C615,customers!$A$1:$A$1001,customers!$C$1:$C$1001,,0))</f>
        <v/>
      </c>
      <c r="H615" s="3" t="str">
        <f>_xlfn.XLOOKUP(C615,customers!$A$1:$A$1001,customers!$G$1:$G$1001,,0)</f>
        <v>United States</v>
      </c>
      <c r="I615" s="4" t="str">
        <f>INDEX(products!$A$1:$G$49,MATCH(orders!$D615,products!$A$1:$A$49,0),MATCH(orders!I$1,products!$A$1:$G$1,0))</f>
        <v>Rob</v>
      </c>
      <c r="J615" s="4" t="str">
        <f>INDEX(products!$A$1:$G$49,MATCH(orders!$D615,products!$A$1:$A$49,0),MATCH(orders!J$1,products!$A$1:$G$1,0))</f>
        <v>M</v>
      </c>
      <c r="K615" s="6">
        <f>INDEX(products!$A$1:$G$49,MATCH(orders!$D615,products!$A$1:$A$49,0),MATCH(orders!K$1,products!$A$1:$G$1,0))</f>
        <v>0.5</v>
      </c>
      <c r="L615" s="7">
        <f>INDEX(products!$A$1:$G$49,MATCH(orders!$D615,products!$A$1:$A$49,0),MATCH(orders!L$1,products!$A$1:$G$1,0))</f>
        <v>5.97</v>
      </c>
      <c r="M615" s="7">
        <f t="shared" si="9"/>
        <v>5.97</v>
      </c>
      <c r="N615" s="4" t="str" cm="1">
        <f t="array" ref="N615">_xlfn.IFS(I615="Rob","Robusta",I615="Exc","Excelsa",I615="Ara","Arabica",I615="Lib","Liberica")</f>
        <v>Robusta</v>
      </c>
      <c r="O615" s="4" t="str" cm="1">
        <f t="array" ref="O615">_xlfn.IFS(J615="M","Medium",J615="L","Light",J615="D","Dark")</f>
        <v>Medium</v>
      </c>
      <c r="P615" s="4" t="str">
        <f>_xlfn.XLOOKUP(CoffeeOrderstable[[#This Row],[Customer ID]],customers!$A$1:$A$1001,customers!$I$1:$I$1001,,0)</f>
        <v>No</v>
      </c>
    </row>
    <row r="616" spans="1:16" x14ac:dyDescent="0.3">
      <c r="A616" s="3" t="s">
        <v>3955</v>
      </c>
      <c r="B616" s="5">
        <v>43944</v>
      </c>
      <c r="C616" s="3" t="s">
        <v>3840</v>
      </c>
      <c r="D616" s="4" t="s">
        <v>6146</v>
      </c>
      <c r="E616" s="3">
        <v>5</v>
      </c>
      <c r="F616" s="3" t="str">
        <f>_xlfn.XLOOKUP(C616,customers!$A$1:$A$1001,customers!$B$1:$B$1001,,0)</f>
        <v>Cody Verissimo</v>
      </c>
      <c r="G616" s="3" t="str">
        <f>IF(_xlfn.XLOOKUP(C616,customers!$A$1:$A$1001,customers!$C$1:$C$1001,,0)=0,"", _xlfn.XLOOKUP(C616,customers!$A$1:$A$1001,customers!$C$1:$C$1001,,0))</f>
        <v>cverissimogh@theglobeandmail.com</v>
      </c>
      <c r="H616" s="3" t="str">
        <f>_xlfn.XLOOKUP(C616,customers!$A$1:$A$1001,customers!$G$1:$G$1001,,0)</f>
        <v>United Kingdom</v>
      </c>
      <c r="I616" s="4" t="str">
        <f>INDEX(products!$A$1:$G$49,MATCH(orders!$D616,products!$A$1:$A$49,0),MATCH(orders!I$1,products!$A$1:$G$1,0))</f>
        <v>Rob</v>
      </c>
      <c r="J616" s="4" t="str">
        <f>INDEX(products!$A$1:$G$49,MATCH(orders!$D616,products!$A$1:$A$49,0),MATCH(orders!J$1,products!$A$1:$G$1,0))</f>
        <v>M</v>
      </c>
      <c r="K616" s="6">
        <f>INDEX(products!$A$1:$G$49,MATCH(orders!$D616,products!$A$1:$A$49,0),MATCH(orders!K$1,products!$A$1:$G$1,0))</f>
        <v>0.5</v>
      </c>
      <c r="L616" s="7">
        <f>INDEX(products!$A$1:$G$49,MATCH(orders!$D616,products!$A$1:$A$49,0),MATCH(orders!L$1,products!$A$1:$G$1,0))</f>
        <v>5.97</v>
      </c>
      <c r="M616" s="7">
        <f t="shared" si="9"/>
        <v>29.849999999999998</v>
      </c>
      <c r="N616" s="4" t="str" cm="1">
        <f t="array" ref="N616">_xlfn.IFS(I616="Rob","Robusta",I616="Exc","Excelsa",I616="Ara","Arabica",I616="Lib","Liberica")</f>
        <v>Robusta</v>
      </c>
      <c r="O616" s="4" t="str" cm="1">
        <f t="array" ref="O616">_xlfn.IFS(J616="M","Medium",J616="L","Light",J616="D","Dark")</f>
        <v>Medium</v>
      </c>
      <c r="P616" s="4" t="str">
        <f>_xlfn.XLOOKUP(CoffeeOrderstable[[#This Row],[Customer ID]],customers!$A$1:$A$1001,customers!$I$1:$I$1001,,0)</f>
        <v>Yes</v>
      </c>
    </row>
    <row r="617" spans="1:16" x14ac:dyDescent="0.3">
      <c r="A617" s="3" t="s">
        <v>3960</v>
      </c>
      <c r="B617" s="5">
        <v>44006</v>
      </c>
      <c r="C617" s="3" t="s">
        <v>3961</v>
      </c>
      <c r="D617" s="4" t="s">
        <v>6164</v>
      </c>
      <c r="E617" s="3">
        <v>2</v>
      </c>
      <c r="F617" s="3" t="str">
        <f>_xlfn.XLOOKUP(C617,customers!$A$1:$A$1001,customers!$B$1:$B$1001,,0)</f>
        <v>Shay Couronne</v>
      </c>
      <c r="G617" s="3" t="str">
        <f>IF(_xlfn.XLOOKUP(C617,customers!$A$1:$A$1001,customers!$C$1:$C$1001,,0)=0,"", _xlfn.XLOOKUP(C617,customers!$A$1:$A$1001,customers!$C$1:$C$1001,,0))</f>
        <v>scouronneh3@mozilla.org</v>
      </c>
      <c r="H617" s="3" t="str">
        <f>_xlfn.XLOOKUP(C617,customers!$A$1:$A$1001,customers!$G$1:$G$1001,,0)</f>
        <v>United States</v>
      </c>
      <c r="I617" s="4" t="str">
        <f>INDEX(products!$A$1:$G$49,MATCH(orders!$D617,products!$A$1:$A$49,0),MATCH(orders!I$1,products!$A$1:$G$1,0))</f>
        <v>Lib</v>
      </c>
      <c r="J617" s="4" t="str">
        <f>INDEX(products!$A$1:$G$49,MATCH(orders!$D617,products!$A$1:$A$49,0),MATCH(orders!J$1,products!$A$1:$G$1,0))</f>
        <v>L</v>
      </c>
      <c r="K617" s="6">
        <f>INDEX(products!$A$1:$G$49,MATCH(orders!$D617,products!$A$1:$A$49,0),MATCH(orders!K$1,products!$A$1:$G$1,0))</f>
        <v>2.5</v>
      </c>
      <c r="L617" s="7">
        <f>INDEX(products!$A$1:$G$49,MATCH(orders!$D617,products!$A$1:$A$49,0),MATCH(orders!L$1,products!$A$1:$G$1,0))</f>
        <v>36.454999999999998</v>
      </c>
      <c r="M617" s="7">
        <f t="shared" si="9"/>
        <v>72.91</v>
      </c>
      <c r="N617" s="4" t="str" cm="1">
        <f t="array" ref="N617">_xlfn.IFS(I617="Rob","Robusta",I617="Exc","Excelsa",I617="Ara","Arabica",I617="Lib","Liberica")</f>
        <v>Liberica</v>
      </c>
      <c r="O617" s="4" t="str" cm="1">
        <f t="array" ref="O617">_xlfn.IFS(J617="M","Medium",J617="L","Light",J617="D","Dark")</f>
        <v>Light</v>
      </c>
      <c r="P617" s="4" t="str">
        <f>_xlfn.XLOOKUP(CoffeeOrderstable[[#This Row],[Customer ID]],customers!$A$1:$A$1001,customers!$I$1:$I$1001,,0)</f>
        <v>Yes</v>
      </c>
    </row>
    <row r="618" spans="1:16" x14ac:dyDescent="0.3">
      <c r="A618" s="3" t="s">
        <v>3966</v>
      </c>
      <c r="B618" s="5">
        <v>44271</v>
      </c>
      <c r="C618" s="3" t="s">
        <v>3967</v>
      </c>
      <c r="D618" s="4" t="s">
        <v>6166</v>
      </c>
      <c r="E618" s="3">
        <v>4</v>
      </c>
      <c r="F618" s="3" t="str">
        <f>_xlfn.XLOOKUP(C618,customers!$A$1:$A$1001,customers!$B$1:$B$1001,,0)</f>
        <v>Linus Flippelli</v>
      </c>
      <c r="G618" s="3" t="str">
        <f>IF(_xlfn.XLOOKUP(C618,customers!$A$1:$A$1001,customers!$C$1:$C$1001,,0)=0,"", _xlfn.XLOOKUP(C618,customers!$A$1:$A$1001,customers!$C$1:$C$1001,,0))</f>
        <v>lflippellih4@github.io</v>
      </c>
      <c r="H618" s="3" t="str">
        <f>_xlfn.XLOOKUP(C618,customers!$A$1:$A$1001,customers!$G$1:$G$1001,,0)</f>
        <v>United Kingdom</v>
      </c>
      <c r="I618" s="4" t="str">
        <f>INDEX(products!$A$1:$G$49,MATCH(orders!$D618,products!$A$1:$A$49,0),MATCH(orders!I$1,products!$A$1:$G$1,0))</f>
        <v>Exc</v>
      </c>
      <c r="J618" s="4" t="str">
        <f>INDEX(products!$A$1:$G$49,MATCH(orders!$D618,products!$A$1:$A$49,0),MATCH(orders!J$1,products!$A$1:$G$1,0))</f>
        <v>M</v>
      </c>
      <c r="K618" s="6">
        <f>INDEX(products!$A$1:$G$49,MATCH(orders!$D618,products!$A$1:$A$49,0),MATCH(orders!K$1,products!$A$1:$G$1,0))</f>
        <v>2.5</v>
      </c>
      <c r="L618" s="7">
        <f>INDEX(products!$A$1:$G$49,MATCH(orders!$D618,products!$A$1:$A$49,0),MATCH(orders!L$1,products!$A$1:$G$1,0))</f>
        <v>31.624999999999996</v>
      </c>
      <c r="M618" s="7">
        <f t="shared" si="9"/>
        <v>126.49999999999999</v>
      </c>
      <c r="N618" s="4" t="str" cm="1">
        <f t="array" ref="N618">_xlfn.IFS(I618="Rob","Robusta",I618="Exc","Excelsa",I618="Ara","Arabica",I618="Lib","Liberica")</f>
        <v>Excelsa</v>
      </c>
      <c r="O618" s="4" t="str" cm="1">
        <f t="array" ref="O618">_xlfn.IFS(J618="M","Medium",J618="L","Light",J618="D","Dark")</f>
        <v>Medium</v>
      </c>
      <c r="P618" s="4" t="str">
        <f>_xlfn.XLOOKUP(CoffeeOrderstable[[#This Row],[Customer ID]],customers!$A$1:$A$1001,customers!$I$1:$I$1001,,0)</f>
        <v>No</v>
      </c>
    </row>
    <row r="619" spans="1:16" x14ac:dyDescent="0.3">
      <c r="A619" s="3" t="s">
        <v>3972</v>
      </c>
      <c r="B619" s="5">
        <v>43928</v>
      </c>
      <c r="C619" s="3" t="s">
        <v>3973</v>
      </c>
      <c r="D619" s="4" t="s">
        <v>6181</v>
      </c>
      <c r="E619" s="3">
        <v>1</v>
      </c>
      <c r="F619" s="3" t="str">
        <f>_xlfn.XLOOKUP(C619,customers!$A$1:$A$1001,customers!$B$1:$B$1001,,0)</f>
        <v>Rachelle Elizabeth</v>
      </c>
      <c r="G619" s="3" t="str">
        <f>IF(_xlfn.XLOOKUP(C619,customers!$A$1:$A$1001,customers!$C$1:$C$1001,,0)=0,"", _xlfn.XLOOKUP(C619,customers!$A$1:$A$1001,customers!$C$1:$C$1001,,0))</f>
        <v>relizabethh5@live.com</v>
      </c>
      <c r="H619" s="3" t="str">
        <f>_xlfn.XLOOKUP(C619,customers!$A$1:$A$1001,customers!$G$1:$G$1001,,0)</f>
        <v>United States</v>
      </c>
      <c r="I619" s="4" t="str">
        <f>INDEX(products!$A$1:$G$49,MATCH(orders!$D619,products!$A$1:$A$49,0),MATCH(orders!I$1,products!$A$1:$G$1,0))</f>
        <v>Lib</v>
      </c>
      <c r="J619" s="4" t="str">
        <f>INDEX(products!$A$1:$G$49,MATCH(orders!$D619,products!$A$1:$A$49,0),MATCH(orders!J$1,products!$A$1:$G$1,0))</f>
        <v>M</v>
      </c>
      <c r="K619" s="6">
        <f>INDEX(products!$A$1:$G$49,MATCH(orders!$D619,products!$A$1:$A$49,0),MATCH(orders!K$1,products!$A$1:$G$1,0))</f>
        <v>2.5</v>
      </c>
      <c r="L619" s="7">
        <f>INDEX(products!$A$1:$G$49,MATCH(orders!$D619,products!$A$1:$A$49,0),MATCH(orders!L$1,products!$A$1:$G$1,0))</f>
        <v>33.464999999999996</v>
      </c>
      <c r="M619" s="7">
        <f t="shared" si="9"/>
        <v>33.464999999999996</v>
      </c>
      <c r="N619" s="4" t="str" cm="1">
        <f t="array" ref="N619">_xlfn.IFS(I619="Rob","Robusta",I619="Exc","Excelsa",I619="Ara","Arabica",I619="Lib","Liberica")</f>
        <v>Liberica</v>
      </c>
      <c r="O619" s="4" t="str" cm="1">
        <f t="array" ref="O619">_xlfn.IFS(J619="M","Medium",J619="L","Light",J619="D","Dark")</f>
        <v>Medium</v>
      </c>
      <c r="P619" s="4" t="str">
        <f>_xlfn.XLOOKUP(CoffeeOrderstable[[#This Row],[Customer ID]],customers!$A$1:$A$1001,customers!$I$1:$I$1001,,0)</f>
        <v>No</v>
      </c>
    </row>
    <row r="620" spans="1:16" x14ac:dyDescent="0.3">
      <c r="A620" s="3" t="s">
        <v>3978</v>
      </c>
      <c r="B620" s="5">
        <v>44469</v>
      </c>
      <c r="C620" s="3" t="s">
        <v>3979</v>
      </c>
      <c r="D620" s="4" t="s">
        <v>6183</v>
      </c>
      <c r="E620" s="3">
        <v>6</v>
      </c>
      <c r="F620" s="3" t="str">
        <f>_xlfn.XLOOKUP(C620,customers!$A$1:$A$1001,customers!$B$1:$B$1001,,0)</f>
        <v>Innis Renhard</v>
      </c>
      <c r="G620" s="3" t="str">
        <f>IF(_xlfn.XLOOKUP(C620,customers!$A$1:$A$1001,customers!$C$1:$C$1001,,0)=0,"", _xlfn.XLOOKUP(C620,customers!$A$1:$A$1001,customers!$C$1:$C$1001,,0))</f>
        <v>irenhardh6@i2i.jp</v>
      </c>
      <c r="H620" s="3" t="str">
        <f>_xlfn.XLOOKUP(C620,customers!$A$1:$A$1001,customers!$G$1:$G$1001,,0)</f>
        <v>United States</v>
      </c>
      <c r="I620" s="4" t="str">
        <f>INDEX(products!$A$1:$G$49,MATCH(orders!$D620,products!$A$1:$A$49,0),MATCH(orders!I$1,products!$A$1:$G$1,0))</f>
        <v>Exc</v>
      </c>
      <c r="J620" s="4" t="str">
        <f>INDEX(products!$A$1:$G$49,MATCH(orders!$D620,products!$A$1:$A$49,0),MATCH(orders!J$1,products!$A$1:$G$1,0))</f>
        <v>D</v>
      </c>
      <c r="K620" s="6">
        <f>INDEX(products!$A$1:$G$49,MATCH(orders!$D620,products!$A$1:$A$49,0),MATCH(orders!K$1,products!$A$1:$G$1,0))</f>
        <v>1</v>
      </c>
      <c r="L620" s="7">
        <f>INDEX(products!$A$1:$G$49,MATCH(orders!$D620,products!$A$1:$A$49,0),MATCH(orders!L$1,products!$A$1:$G$1,0))</f>
        <v>12.15</v>
      </c>
      <c r="M620" s="7">
        <f t="shared" si="9"/>
        <v>72.900000000000006</v>
      </c>
      <c r="N620" s="4" t="str" cm="1">
        <f t="array" ref="N620">_xlfn.IFS(I620="Rob","Robusta",I620="Exc","Excelsa",I620="Ara","Arabica",I620="Lib","Liberica")</f>
        <v>Excelsa</v>
      </c>
      <c r="O620" s="4" t="str" cm="1">
        <f t="array" ref="O620">_xlfn.IFS(J620="M","Medium",J620="L","Light",J620="D","Dark")</f>
        <v>Dark</v>
      </c>
      <c r="P620" s="4" t="str">
        <f>_xlfn.XLOOKUP(CoffeeOrderstable[[#This Row],[Customer ID]],customers!$A$1:$A$1001,customers!$I$1:$I$1001,,0)</f>
        <v>Yes</v>
      </c>
    </row>
    <row r="621" spans="1:16" x14ac:dyDescent="0.3">
      <c r="A621" s="3" t="s">
        <v>3984</v>
      </c>
      <c r="B621" s="5">
        <v>44682</v>
      </c>
      <c r="C621" s="3" t="s">
        <v>3985</v>
      </c>
      <c r="D621" s="4" t="s">
        <v>6169</v>
      </c>
      <c r="E621" s="3">
        <v>2</v>
      </c>
      <c r="F621" s="3" t="str">
        <f>_xlfn.XLOOKUP(C621,customers!$A$1:$A$1001,customers!$B$1:$B$1001,,0)</f>
        <v>Winne Roche</v>
      </c>
      <c r="G621" s="3" t="str">
        <f>IF(_xlfn.XLOOKUP(C621,customers!$A$1:$A$1001,customers!$C$1:$C$1001,,0)=0,"", _xlfn.XLOOKUP(C621,customers!$A$1:$A$1001,customers!$C$1:$C$1001,,0))</f>
        <v>wrocheh7@xinhuanet.com</v>
      </c>
      <c r="H621" s="3" t="str">
        <f>_xlfn.XLOOKUP(C621,customers!$A$1:$A$1001,customers!$G$1:$G$1001,,0)</f>
        <v>United States</v>
      </c>
      <c r="I621" s="4" t="str">
        <f>INDEX(products!$A$1:$G$49,MATCH(orders!$D621,products!$A$1:$A$49,0),MATCH(orders!I$1,products!$A$1:$G$1,0))</f>
        <v>Lib</v>
      </c>
      <c r="J621" s="4" t="str">
        <f>INDEX(products!$A$1:$G$49,MATCH(orders!$D621,products!$A$1:$A$49,0),MATCH(orders!J$1,products!$A$1:$G$1,0))</f>
        <v>D</v>
      </c>
      <c r="K621" s="6">
        <f>INDEX(products!$A$1:$G$49,MATCH(orders!$D621,products!$A$1:$A$49,0),MATCH(orders!K$1,products!$A$1:$G$1,0))</f>
        <v>0.5</v>
      </c>
      <c r="L621" s="7">
        <f>INDEX(products!$A$1:$G$49,MATCH(orders!$D621,products!$A$1:$A$49,0),MATCH(orders!L$1,products!$A$1:$G$1,0))</f>
        <v>7.77</v>
      </c>
      <c r="M621" s="7">
        <f t="shared" si="9"/>
        <v>15.54</v>
      </c>
      <c r="N621" s="4" t="str" cm="1">
        <f t="array" ref="N621">_xlfn.IFS(I621="Rob","Robusta",I621="Exc","Excelsa",I621="Ara","Arabica",I621="Lib","Liberica")</f>
        <v>Liberica</v>
      </c>
      <c r="O621" s="4" t="str" cm="1">
        <f t="array" ref="O621">_xlfn.IFS(J621="M","Medium",J621="L","Light",J621="D","Dark")</f>
        <v>Dark</v>
      </c>
      <c r="P621" s="4" t="str">
        <f>_xlfn.XLOOKUP(CoffeeOrderstable[[#This Row],[Customer ID]],customers!$A$1:$A$1001,customers!$I$1:$I$1001,,0)</f>
        <v>Yes</v>
      </c>
    </row>
    <row r="622" spans="1:16" x14ac:dyDescent="0.3">
      <c r="A622" s="3" t="s">
        <v>3990</v>
      </c>
      <c r="B622" s="5">
        <v>44217</v>
      </c>
      <c r="C622" s="3" t="s">
        <v>4042</v>
      </c>
      <c r="D622" s="4" t="s">
        <v>6152</v>
      </c>
      <c r="E622" s="3">
        <v>6</v>
      </c>
      <c r="F622" s="3" t="str">
        <f>_xlfn.XLOOKUP(C622,customers!$A$1:$A$1001,customers!$B$1:$B$1001,,0)</f>
        <v>Linn Alaway</v>
      </c>
      <c r="G622" s="3" t="str">
        <f>IF(_xlfn.XLOOKUP(C622,customers!$A$1:$A$1001,customers!$C$1:$C$1001,,0)=0,"", _xlfn.XLOOKUP(C622,customers!$A$1:$A$1001,customers!$C$1:$C$1001,,0))</f>
        <v>lalawayhh@weather.com</v>
      </c>
      <c r="H622" s="3" t="str">
        <f>_xlfn.XLOOKUP(C622,customers!$A$1:$A$1001,customers!$G$1:$G$1001,,0)</f>
        <v>United States</v>
      </c>
      <c r="I622" s="4" t="str">
        <f>INDEX(products!$A$1:$G$49,MATCH(orders!$D622,products!$A$1:$A$49,0),MATCH(orders!I$1,products!$A$1:$G$1,0))</f>
        <v>Ara</v>
      </c>
      <c r="J622" s="4" t="str">
        <f>INDEX(products!$A$1:$G$49,MATCH(orders!$D622,products!$A$1:$A$49,0),MATCH(orders!J$1,products!$A$1:$G$1,0))</f>
        <v>M</v>
      </c>
      <c r="K622" s="6">
        <f>INDEX(products!$A$1:$G$49,MATCH(orders!$D622,products!$A$1:$A$49,0),MATCH(orders!K$1,products!$A$1:$G$1,0))</f>
        <v>0.2</v>
      </c>
      <c r="L622" s="7">
        <f>INDEX(products!$A$1:$G$49,MATCH(orders!$D622,products!$A$1:$A$49,0),MATCH(orders!L$1,products!$A$1:$G$1,0))</f>
        <v>3.375</v>
      </c>
      <c r="M622" s="7">
        <f t="shared" si="9"/>
        <v>20.25</v>
      </c>
      <c r="N622" s="4" t="str" cm="1">
        <f t="array" ref="N622">_xlfn.IFS(I622="Rob","Robusta",I622="Exc","Excelsa",I622="Ara","Arabica",I622="Lib","Liberica")</f>
        <v>Arabica</v>
      </c>
      <c r="O622" s="4" t="str" cm="1">
        <f t="array" ref="O622">_xlfn.IFS(J622="M","Medium",J622="L","Light",J622="D","Dark")</f>
        <v>Medium</v>
      </c>
      <c r="P622" s="4" t="str">
        <f>_xlfn.XLOOKUP(CoffeeOrderstable[[#This Row],[Customer ID]],customers!$A$1:$A$1001,customers!$I$1:$I$1001,,0)</f>
        <v>No</v>
      </c>
    </row>
    <row r="623" spans="1:16" x14ac:dyDescent="0.3">
      <c r="A623" s="3" t="s">
        <v>3996</v>
      </c>
      <c r="B623" s="5">
        <v>44006</v>
      </c>
      <c r="C623" s="3" t="s">
        <v>3997</v>
      </c>
      <c r="D623" s="4" t="s">
        <v>6140</v>
      </c>
      <c r="E623" s="3">
        <v>6</v>
      </c>
      <c r="F623" s="3" t="str">
        <f>_xlfn.XLOOKUP(C623,customers!$A$1:$A$1001,customers!$B$1:$B$1001,,0)</f>
        <v>Cordy Odgaard</v>
      </c>
      <c r="G623" s="3" t="str">
        <f>IF(_xlfn.XLOOKUP(C623,customers!$A$1:$A$1001,customers!$C$1:$C$1001,,0)=0,"", _xlfn.XLOOKUP(C623,customers!$A$1:$A$1001,customers!$C$1:$C$1001,,0))</f>
        <v>codgaardh9@nsw.gov.au</v>
      </c>
      <c r="H623" s="3" t="str">
        <f>_xlfn.XLOOKUP(C623,customers!$A$1:$A$1001,customers!$G$1:$G$1001,,0)</f>
        <v>United States</v>
      </c>
      <c r="I623" s="4" t="str">
        <f>INDEX(products!$A$1:$G$49,MATCH(orders!$D623,products!$A$1:$A$49,0),MATCH(orders!I$1,products!$A$1:$G$1,0))</f>
        <v>Ara</v>
      </c>
      <c r="J623" s="4" t="str">
        <f>INDEX(products!$A$1:$G$49,MATCH(orders!$D623,products!$A$1:$A$49,0),MATCH(orders!J$1,products!$A$1:$G$1,0))</f>
        <v>L</v>
      </c>
      <c r="K623" s="6">
        <f>INDEX(products!$A$1:$G$49,MATCH(orders!$D623,products!$A$1:$A$49,0),MATCH(orders!K$1,products!$A$1:$G$1,0))</f>
        <v>1</v>
      </c>
      <c r="L623" s="7">
        <f>INDEX(products!$A$1:$G$49,MATCH(orders!$D623,products!$A$1:$A$49,0),MATCH(orders!L$1,products!$A$1:$G$1,0))</f>
        <v>12.95</v>
      </c>
      <c r="M623" s="7">
        <f t="shared" si="9"/>
        <v>77.699999999999989</v>
      </c>
      <c r="N623" s="4" t="str" cm="1">
        <f t="array" ref="N623">_xlfn.IFS(I623="Rob","Robusta",I623="Exc","Excelsa",I623="Ara","Arabica",I623="Lib","Liberica")</f>
        <v>Arabica</v>
      </c>
      <c r="O623" s="4" t="str" cm="1">
        <f t="array" ref="O623">_xlfn.IFS(J623="M","Medium",J623="L","Light",J623="D","Dark")</f>
        <v>Light</v>
      </c>
      <c r="P623" s="4" t="str">
        <f>_xlfn.XLOOKUP(CoffeeOrderstable[[#This Row],[Customer ID]],customers!$A$1:$A$1001,customers!$I$1:$I$1001,,0)</f>
        <v>No</v>
      </c>
    </row>
    <row r="624" spans="1:16" x14ac:dyDescent="0.3">
      <c r="A624" s="3" t="s">
        <v>4002</v>
      </c>
      <c r="B624" s="5">
        <v>43527</v>
      </c>
      <c r="C624" s="3" t="s">
        <v>4003</v>
      </c>
      <c r="D624" s="4" t="s">
        <v>6181</v>
      </c>
      <c r="E624" s="3">
        <v>4</v>
      </c>
      <c r="F624" s="3" t="str">
        <f>_xlfn.XLOOKUP(C624,customers!$A$1:$A$1001,customers!$B$1:$B$1001,,0)</f>
        <v>Bertine Byrd</v>
      </c>
      <c r="G624" s="3" t="str">
        <f>IF(_xlfn.XLOOKUP(C624,customers!$A$1:$A$1001,customers!$C$1:$C$1001,,0)=0,"", _xlfn.XLOOKUP(C624,customers!$A$1:$A$1001,customers!$C$1:$C$1001,,0))</f>
        <v>bbyrdha@4shared.com</v>
      </c>
      <c r="H624" s="3" t="str">
        <f>_xlfn.XLOOKUP(C624,customers!$A$1:$A$1001,customers!$G$1:$G$1001,,0)</f>
        <v>United States</v>
      </c>
      <c r="I624" s="4" t="str">
        <f>INDEX(products!$A$1:$G$49,MATCH(orders!$D624,products!$A$1:$A$49,0),MATCH(orders!I$1,products!$A$1:$G$1,0))</f>
        <v>Lib</v>
      </c>
      <c r="J624" s="4" t="str">
        <f>INDEX(products!$A$1:$G$49,MATCH(orders!$D624,products!$A$1:$A$49,0),MATCH(orders!J$1,products!$A$1:$G$1,0))</f>
        <v>M</v>
      </c>
      <c r="K624" s="6">
        <f>INDEX(products!$A$1:$G$49,MATCH(orders!$D624,products!$A$1:$A$49,0),MATCH(orders!K$1,products!$A$1:$G$1,0))</f>
        <v>2.5</v>
      </c>
      <c r="L624" s="7">
        <f>INDEX(products!$A$1:$G$49,MATCH(orders!$D624,products!$A$1:$A$49,0),MATCH(orders!L$1,products!$A$1:$G$1,0))</f>
        <v>33.464999999999996</v>
      </c>
      <c r="M624" s="7">
        <f t="shared" si="9"/>
        <v>133.85999999999999</v>
      </c>
      <c r="N624" s="4" t="str" cm="1">
        <f t="array" ref="N624">_xlfn.IFS(I624="Rob","Robusta",I624="Exc","Excelsa",I624="Ara","Arabica",I624="Lib","Liberica")</f>
        <v>Liberica</v>
      </c>
      <c r="O624" s="4" t="str" cm="1">
        <f t="array" ref="O624">_xlfn.IFS(J624="M","Medium",J624="L","Light",J624="D","Dark")</f>
        <v>Medium</v>
      </c>
      <c r="P624" s="4" t="str">
        <f>_xlfn.XLOOKUP(CoffeeOrderstable[[#This Row],[Customer ID]],customers!$A$1:$A$1001,customers!$I$1:$I$1001,,0)</f>
        <v>No</v>
      </c>
    </row>
    <row r="625" spans="1:16" x14ac:dyDescent="0.3">
      <c r="A625" s="3" t="s">
        <v>4007</v>
      </c>
      <c r="B625" s="5">
        <v>44224</v>
      </c>
      <c r="C625" s="3" t="s">
        <v>4008</v>
      </c>
      <c r="D625" s="4" t="s">
        <v>6183</v>
      </c>
      <c r="E625" s="3">
        <v>1</v>
      </c>
      <c r="F625" s="3" t="str">
        <f>_xlfn.XLOOKUP(C625,customers!$A$1:$A$1001,customers!$B$1:$B$1001,,0)</f>
        <v>Nelie Garnson</v>
      </c>
      <c r="G625" s="3" t="str">
        <f>IF(_xlfn.XLOOKUP(C625,customers!$A$1:$A$1001,customers!$C$1:$C$1001,,0)=0,"", _xlfn.XLOOKUP(C625,customers!$A$1:$A$1001,customers!$C$1:$C$1001,,0))</f>
        <v/>
      </c>
      <c r="H625" s="3" t="str">
        <f>_xlfn.XLOOKUP(C625,customers!$A$1:$A$1001,customers!$G$1:$G$1001,,0)</f>
        <v>United Kingdom</v>
      </c>
      <c r="I625" s="4" t="str">
        <f>INDEX(products!$A$1:$G$49,MATCH(orders!$D625,products!$A$1:$A$49,0),MATCH(orders!I$1,products!$A$1:$G$1,0))</f>
        <v>Exc</v>
      </c>
      <c r="J625" s="4" t="str">
        <f>INDEX(products!$A$1:$G$49,MATCH(orders!$D625,products!$A$1:$A$49,0),MATCH(orders!J$1,products!$A$1:$G$1,0))</f>
        <v>D</v>
      </c>
      <c r="K625" s="6">
        <f>INDEX(products!$A$1:$G$49,MATCH(orders!$D625,products!$A$1:$A$49,0),MATCH(orders!K$1,products!$A$1:$G$1,0))</f>
        <v>1</v>
      </c>
      <c r="L625" s="7">
        <f>INDEX(products!$A$1:$G$49,MATCH(orders!$D625,products!$A$1:$A$49,0),MATCH(orders!L$1,products!$A$1:$G$1,0))</f>
        <v>12.15</v>
      </c>
      <c r="M625" s="7">
        <f t="shared" si="9"/>
        <v>12.15</v>
      </c>
      <c r="N625" s="4" t="str" cm="1">
        <f t="array" ref="N625">_xlfn.IFS(I625="Rob","Robusta",I625="Exc","Excelsa",I625="Ara","Arabica",I625="Lib","Liberica")</f>
        <v>Excelsa</v>
      </c>
      <c r="O625" s="4" t="str" cm="1">
        <f t="array" ref="O625">_xlfn.IFS(J625="M","Medium",J625="L","Light",J625="D","Dark")</f>
        <v>Dark</v>
      </c>
      <c r="P625" s="4" t="str">
        <f>_xlfn.XLOOKUP(CoffeeOrderstable[[#This Row],[Customer ID]],customers!$A$1:$A$1001,customers!$I$1:$I$1001,,0)</f>
        <v>No</v>
      </c>
    </row>
    <row r="626" spans="1:16" x14ac:dyDescent="0.3">
      <c r="A626" s="3" t="s">
        <v>4012</v>
      </c>
      <c r="B626" s="5">
        <v>44010</v>
      </c>
      <c r="C626" s="3" t="s">
        <v>4013</v>
      </c>
      <c r="D626" s="4" t="s">
        <v>6166</v>
      </c>
      <c r="E626" s="3">
        <v>2</v>
      </c>
      <c r="F626" s="3" t="str">
        <f>_xlfn.XLOOKUP(C626,customers!$A$1:$A$1001,customers!$B$1:$B$1001,,0)</f>
        <v>Dianne Chardin</v>
      </c>
      <c r="G626" s="3" t="str">
        <f>IF(_xlfn.XLOOKUP(C626,customers!$A$1:$A$1001,customers!$C$1:$C$1001,,0)=0,"", _xlfn.XLOOKUP(C626,customers!$A$1:$A$1001,customers!$C$1:$C$1001,,0))</f>
        <v>dchardinhc@nhs.uk</v>
      </c>
      <c r="H626" s="3" t="str">
        <f>_xlfn.XLOOKUP(C626,customers!$A$1:$A$1001,customers!$G$1:$G$1001,,0)</f>
        <v>Ireland</v>
      </c>
      <c r="I626" s="4" t="str">
        <f>INDEX(products!$A$1:$G$49,MATCH(orders!$D626,products!$A$1:$A$49,0),MATCH(orders!I$1,products!$A$1:$G$1,0))</f>
        <v>Exc</v>
      </c>
      <c r="J626" s="4" t="str">
        <f>INDEX(products!$A$1:$G$49,MATCH(orders!$D626,products!$A$1:$A$49,0),MATCH(orders!J$1,products!$A$1:$G$1,0))</f>
        <v>M</v>
      </c>
      <c r="K626" s="6">
        <f>INDEX(products!$A$1:$G$49,MATCH(orders!$D626,products!$A$1:$A$49,0),MATCH(orders!K$1,products!$A$1:$G$1,0))</f>
        <v>2.5</v>
      </c>
      <c r="L626" s="7">
        <f>INDEX(products!$A$1:$G$49,MATCH(orders!$D626,products!$A$1:$A$49,0),MATCH(orders!L$1,products!$A$1:$G$1,0))</f>
        <v>31.624999999999996</v>
      </c>
      <c r="M626" s="7">
        <f t="shared" si="9"/>
        <v>63.249999999999993</v>
      </c>
      <c r="N626" s="4" t="str" cm="1">
        <f t="array" ref="N626">_xlfn.IFS(I626="Rob","Robusta",I626="Exc","Excelsa",I626="Ara","Arabica",I626="Lib","Liberica")</f>
        <v>Excelsa</v>
      </c>
      <c r="O626" s="4" t="str" cm="1">
        <f t="array" ref="O626">_xlfn.IFS(J626="M","Medium",J626="L","Light",J626="D","Dark")</f>
        <v>Medium</v>
      </c>
      <c r="P626" s="4" t="str">
        <f>_xlfn.XLOOKUP(CoffeeOrderstable[[#This Row],[Customer ID]],customers!$A$1:$A$1001,customers!$I$1:$I$1001,,0)</f>
        <v>Yes</v>
      </c>
    </row>
    <row r="627" spans="1:16" x14ac:dyDescent="0.3">
      <c r="A627" s="3" t="s">
        <v>4017</v>
      </c>
      <c r="B627" s="5">
        <v>44017</v>
      </c>
      <c r="C627" s="3" t="s">
        <v>4018</v>
      </c>
      <c r="D627" s="4" t="s">
        <v>6173</v>
      </c>
      <c r="E627" s="3">
        <v>5</v>
      </c>
      <c r="F627" s="3" t="str">
        <f>_xlfn.XLOOKUP(C627,customers!$A$1:$A$1001,customers!$B$1:$B$1001,,0)</f>
        <v>Hailee Radbone</v>
      </c>
      <c r="G627" s="3" t="str">
        <f>IF(_xlfn.XLOOKUP(C627,customers!$A$1:$A$1001,customers!$C$1:$C$1001,,0)=0,"", _xlfn.XLOOKUP(C627,customers!$A$1:$A$1001,customers!$C$1:$C$1001,,0))</f>
        <v>hradbonehd@newsvine.com</v>
      </c>
      <c r="H627" s="3" t="str">
        <f>_xlfn.XLOOKUP(C627,customers!$A$1:$A$1001,customers!$G$1:$G$1001,,0)</f>
        <v>United States</v>
      </c>
      <c r="I627" s="4" t="str">
        <f>INDEX(products!$A$1:$G$49,MATCH(orders!$D627,products!$A$1:$A$49,0),MATCH(orders!I$1,products!$A$1:$G$1,0))</f>
        <v>Rob</v>
      </c>
      <c r="J627" s="4" t="str">
        <f>INDEX(products!$A$1:$G$49,MATCH(orders!$D627,products!$A$1:$A$49,0),MATCH(orders!J$1,products!$A$1:$G$1,0))</f>
        <v>L</v>
      </c>
      <c r="K627" s="6">
        <f>INDEX(products!$A$1:$G$49,MATCH(orders!$D627,products!$A$1:$A$49,0),MATCH(orders!K$1,products!$A$1:$G$1,0))</f>
        <v>0.5</v>
      </c>
      <c r="L627" s="7">
        <f>INDEX(products!$A$1:$G$49,MATCH(orders!$D627,products!$A$1:$A$49,0),MATCH(orders!L$1,products!$A$1:$G$1,0))</f>
        <v>7.169999999999999</v>
      </c>
      <c r="M627" s="7">
        <f t="shared" si="9"/>
        <v>35.849999999999994</v>
      </c>
      <c r="N627" s="4" t="str" cm="1">
        <f t="array" ref="N627">_xlfn.IFS(I627="Rob","Robusta",I627="Exc","Excelsa",I627="Ara","Arabica",I627="Lib","Liberica")</f>
        <v>Robusta</v>
      </c>
      <c r="O627" s="4" t="str" cm="1">
        <f t="array" ref="O627">_xlfn.IFS(J627="M","Medium",J627="L","Light",J627="D","Dark")</f>
        <v>Light</v>
      </c>
      <c r="P627" s="4" t="str">
        <f>_xlfn.XLOOKUP(CoffeeOrderstable[[#This Row],[Customer ID]],customers!$A$1:$A$1001,customers!$I$1:$I$1001,,0)</f>
        <v>No</v>
      </c>
    </row>
    <row r="628" spans="1:16" x14ac:dyDescent="0.3">
      <c r="A628" s="3" t="s">
        <v>4023</v>
      </c>
      <c r="B628" s="5">
        <v>43526</v>
      </c>
      <c r="C628" s="3" t="s">
        <v>4024</v>
      </c>
      <c r="D628" s="4" t="s">
        <v>6175</v>
      </c>
      <c r="E628" s="3">
        <v>3</v>
      </c>
      <c r="F628" s="3" t="str">
        <f>_xlfn.XLOOKUP(C628,customers!$A$1:$A$1001,customers!$B$1:$B$1001,,0)</f>
        <v>Wallis Bernth</v>
      </c>
      <c r="G628" s="3" t="str">
        <f>IF(_xlfn.XLOOKUP(C628,customers!$A$1:$A$1001,customers!$C$1:$C$1001,,0)=0,"", _xlfn.XLOOKUP(C628,customers!$A$1:$A$1001,customers!$C$1:$C$1001,,0))</f>
        <v>wbernthhe@miitbeian.gov.cn</v>
      </c>
      <c r="H628" s="3" t="str">
        <f>_xlfn.XLOOKUP(C628,customers!$A$1:$A$1001,customers!$G$1:$G$1001,,0)</f>
        <v>United States</v>
      </c>
      <c r="I628" s="4" t="str">
        <f>INDEX(products!$A$1:$G$49,MATCH(orders!$D628,products!$A$1:$A$49,0),MATCH(orders!I$1,products!$A$1:$G$1,0))</f>
        <v>Ara</v>
      </c>
      <c r="J628" s="4" t="str">
        <f>INDEX(products!$A$1:$G$49,MATCH(orders!$D628,products!$A$1:$A$49,0),MATCH(orders!J$1,products!$A$1:$G$1,0))</f>
        <v>M</v>
      </c>
      <c r="K628" s="6">
        <f>INDEX(products!$A$1:$G$49,MATCH(orders!$D628,products!$A$1:$A$49,0),MATCH(orders!K$1,products!$A$1:$G$1,0))</f>
        <v>2.5</v>
      </c>
      <c r="L628" s="7">
        <f>INDEX(products!$A$1:$G$49,MATCH(orders!$D628,products!$A$1:$A$49,0),MATCH(orders!L$1,products!$A$1:$G$1,0))</f>
        <v>25.874999999999996</v>
      </c>
      <c r="M628" s="7">
        <f t="shared" si="9"/>
        <v>77.624999999999986</v>
      </c>
      <c r="N628" s="4" t="str" cm="1">
        <f t="array" ref="N628">_xlfn.IFS(I628="Rob","Robusta",I628="Exc","Excelsa",I628="Ara","Arabica",I628="Lib","Liberica")</f>
        <v>Arabica</v>
      </c>
      <c r="O628" s="4" t="str" cm="1">
        <f t="array" ref="O628">_xlfn.IFS(J628="M","Medium",J628="L","Light",J628="D","Dark")</f>
        <v>Medium</v>
      </c>
      <c r="P628" s="4" t="str">
        <f>_xlfn.XLOOKUP(CoffeeOrderstable[[#This Row],[Customer ID]],customers!$A$1:$A$1001,customers!$I$1:$I$1001,,0)</f>
        <v>No</v>
      </c>
    </row>
    <row r="629" spans="1:16" x14ac:dyDescent="0.3">
      <c r="A629" s="3" t="s">
        <v>4029</v>
      </c>
      <c r="B629" s="5">
        <v>44682</v>
      </c>
      <c r="C629" s="3" t="s">
        <v>4030</v>
      </c>
      <c r="D629" s="4" t="s">
        <v>6166</v>
      </c>
      <c r="E629" s="3">
        <v>2</v>
      </c>
      <c r="F629" s="3" t="str">
        <f>_xlfn.XLOOKUP(C629,customers!$A$1:$A$1001,customers!$B$1:$B$1001,,0)</f>
        <v>Byron Acarson</v>
      </c>
      <c r="G629" s="3" t="str">
        <f>IF(_xlfn.XLOOKUP(C629,customers!$A$1:$A$1001,customers!$C$1:$C$1001,,0)=0,"", _xlfn.XLOOKUP(C629,customers!$A$1:$A$1001,customers!$C$1:$C$1001,,0))</f>
        <v>bacarsonhf@cnn.com</v>
      </c>
      <c r="H629" s="3" t="str">
        <f>_xlfn.XLOOKUP(C629,customers!$A$1:$A$1001,customers!$G$1:$G$1001,,0)</f>
        <v>United States</v>
      </c>
      <c r="I629" s="4" t="str">
        <f>INDEX(products!$A$1:$G$49,MATCH(orders!$D629,products!$A$1:$A$49,0),MATCH(orders!I$1,products!$A$1:$G$1,0))</f>
        <v>Exc</v>
      </c>
      <c r="J629" s="4" t="str">
        <f>INDEX(products!$A$1:$G$49,MATCH(orders!$D629,products!$A$1:$A$49,0),MATCH(orders!J$1,products!$A$1:$G$1,0))</f>
        <v>M</v>
      </c>
      <c r="K629" s="6">
        <f>INDEX(products!$A$1:$G$49,MATCH(orders!$D629,products!$A$1:$A$49,0),MATCH(orders!K$1,products!$A$1:$G$1,0))</f>
        <v>2.5</v>
      </c>
      <c r="L629" s="7">
        <f>INDEX(products!$A$1:$G$49,MATCH(orders!$D629,products!$A$1:$A$49,0),MATCH(orders!L$1,products!$A$1:$G$1,0))</f>
        <v>31.624999999999996</v>
      </c>
      <c r="M629" s="7">
        <f t="shared" si="9"/>
        <v>63.249999999999993</v>
      </c>
      <c r="N629" s="4" t="str" cm="1">
        <f t="array" ref="N629">_xlfn.IFS(I629="Rob","Robusta",I629="Exc","Excelsa",I629="Ara","Arabica",I629="Lib","Liberica")</f>
        <v>Excelsa</v>
      </c>
      <c r="O629" s="4" t="str" cm="1">
        <f t="array" ref="O629">_xlfn.IFS(J629="M","Medium",J629="L","Light",J629="D","Dark")</f>
        <v>Medium</v>
      </c>
      <c r="P629" s="4" t="str">
        <f>_xlfn.XLOOKUP(CoffeeOrderstable[[#This Row],[Customer ID]],customers!$A$1:$A$1001,customers!$I$1:$I$1001,,0)</f>
        <v>Yes</v>
      </c>
    </row>
    <row r="630" spans="1:16" x14ac:dyDescent="0.3">
      <c r="A630" s="3" t="s">
        <v>4035</v>
      </c>
      <c r="B630" s="5">
        <v>44680</v>
      </c>
      <c r="C630" s="3" t="s">
        <v>4036</v>
      </c>
      <c r="D630" s="4" t="s">
        <v>6184</v>
      </c>
      <c r="E630" s="3">
        <v>6</v>
      </c>
      <c r="F630" s="3" t="str">
        <f>_xlfn.XLOOKUP(C630,customers!$A$1:$A$1001,customers!$B$1:$B$1001,,0)</f>
        <v>Faunie Brigham</v>
      </c>
      <c r="G630" s="3" t="str">
        <f>IF(_xlfn.XLOOKUP(C630,customers!$A$1:$A$1001,customers!$C$1:$C$1001,,0)=0,"", _xlfn.XLOOKUP(C630,customers!$A$1:$A$1001,customers!$C$1:$C$1001,,0))</f>
        <v>fbrighamhg@blog.com</v>
      </c>
      <c r="H630" s="3" t="str">
        <f>_xlfn.XLOOKUP(C630,customers!$A$1:$A$1001,customers!$G$1:$G$1001,,0)</f>
        <v>Ireland</v>
      </c>
      <c r="I630" s="4" t="str">
        <f>INDEX(products!$A$1:$G$49,MATCH(orders!$D630,products!$A$1:$A$49,0),MATCH(orders!I$1,products!$A$1:$G$1,0))</f>
        <v>Exc</v>
      </c>
      <c r="J630" s="4" t="str">
        <f>INDEX(products!$A$1:$G$49,MATCH(orders!$D630,products!$A$1:$A$49,0),MATCH(orders!J$1,products!$A$1:$G$1,0))</f>
        <v>L</v>
      </c>
      <c r="K630" s="6">
        <f>INDEX(products!$A$1:$G$49,MATCH(orders!$D630,products!$A$1:$A$49,0),MATCH(orders!K$1,products!$A$1:$G$1,0))</f>
        <v>0.2</v>
      </c>
      <c r="L630" s="7">
        <f>INDEX(products!$A$1:$G$49,MATCH(orders!$D630,products!$A$1:$A$49,0),MATCH(orders!L$1,products!$A$1:$G$1,0))</f>
        <v>4.4550000000000001</v>
      </c>
      <c r="M630" s="7">
        <f t="shared" si="9"/>
        <v>26.73</v>
      </c>
      <c r="N630" s="4" t="str" cm="1">
        <f t="array" ref="N630">_xlfn.IFS(I630="Rob","Robusta",I630="Exc","Excelsa",I630="Ara","Arabica",I630="Lib","Liberica")</f>
        <v>Excelsa</v>
      </c>
      <c r="O630" s="4" t="str" cm="1">
        <f t="array" ref="O630">_xlfn.IFS(J630="M","Medium",J630="L","Light",J630="D","Dark")</f>
        <v>Light</v>
      </c>
      <c r="P630" s="4" t="str">
        <f>_xlfn.XLOOKUP(CoffeeOrderstable[[#This Row],[Customer ID]],customers!$A$1:$A$1001,customers!$I$1:$I$1001,,0)</f>
        <v>Yes</v>
      </c>
    </row>
    <row r="631" spans="1:16" x14ac:dyDescent="0.3">
      <c r="A631" s="3" t="s">
        <v>4035</v>
      </c>
      <c r="B631" s="5">
        <v>44680</v>
      </c>
      <c r="C631" s="3" t="s">
        <v>4036</v>
      </c>
      <c r="D631" s="4" t="s">
        <v>6169</v>
      </c>
      <c r="E631" s="3">
        <v>4</v>
      </c>
      <c r="F631" s="3" t="str">
        <f>_xlfn.XLOOKUP(C631,customers!$A$1:$A$1001,customers!$B$1:$B$1001,,0)</f>
        <v>Faunie Brigham</v>
      </c>
      <c r="G631" s="3" t="str">
        <f>IF(_xlfn.XLOOKUP(C631,customers!$A$1:$A$1001,customers!$C$1:$C$1001,,0)=0,"", _xlfn.XLOOKUP(C631,customers!$A$1:$A$1001,customers!$C$1:$C$1001,,0))</f>
        <v>fbrighamhg@blog.com</v>
      </c>
      <c r="H631" s="3" t="str">
        <f>_xlfn.XLOOKUP(C631,customers!$A$1:$A$1001,customers!$G$1:$G$1001,,0)</f>
        <v>Ireland</v>
      </c>
      <c r="I631" s="4" t="str">
        <f>INDEX(products!$A$1:$G$49,MATCH(orders!$D631,products!$A$1:$A$49,0),MATCH(orders!I$1,products!$A$1:$G$1,0))</f>
        <v>Lib</v>
      </c>
      <c r="J631" s="4" t="str">
        <f>INDEX(products!$A$1:$G$49,MATCH(orders!$D631,products!$A$1:$A$49,0),MATCH(orders!J$1,products!$A$1:$G$1,0))</f>
        <v>D</v>
      </c>
      <c r="K631" s="6">
        <f>INDEX(products!$A$1:$G$49,MATCH(orders!$D631,products!$A$1:$A$49,0),MATCH(orders!K$1,products!$A$1:$G$1,0))</f>
        <v>0.5</v>
      </c>
      <c r="L631" s="7">
        <f>INDEX(products!$A$1:$G$49,MATCH(orders!$D631,products!$A$1:$A$49,0),MATCH(orders!L$1,products!$A$1:$G$1,0))</f>
        <v>7.77</v>
      </c>
      <c r="M631" s="7">
        <f t="shared" si="9"/>
        <v>31.08</v>
      </c>
      <c r="N631" s="4" t="str" cm="1">
        <f t="array" ref="N631">_xlfn.IFS(I631="Rob","Robusta",I631="Exc","Excelsa",I631="Ara","Arabica",I631="Lib","Liberica")</f>
        <v>Liberica</v>
      </c>
      <c r="O631" s="4" t="str" cm="1">
        <f t="array" ref="O631">_xlfn.IFS(J631="M","Medium",J631="L","Light",J631="D","Dark")</f>
        <v>Dark</v>
      </c>
      <c r="P631" s="4" t="str">
        <f>_xlfn.XLOOKUP(CoffeeOrderstable[[#This Row],[Customer ID]],customers!$A$1:$A$1001,customers!$I$1:$I$1001,,0)</f>
        <v>Yes</v>
      </c>
    </row>
    <row r="632" spans="1:16" x14ac:dyDescent="0.3">
      <c r="A632" s="3" t="s">
        <v>4035</v>
      </c>
      <c r="B632" s="5">
        <v>44680</v>
      </c>
      <c r="C632" s="3" t="s">
        <v>4036</v>
      </c>
      <c r="D632" s="4" t="s">
        <v>6154</v>
      </c>
      <c r="E632" s="3">
        <v>1</v>
      </c>
      <c r="F632" s="3" t="str">
        <f>_xlfn.XLOOKUP(C632,customers!$A$1:$A$1001,customers!$B$1:$B$1001,,0)</f>
        <v>Faunie Brigham</v>
      </c>
      <c r="G632" s="3" t="str">
        <f>IF(_xlfn.XLOOKUP(C632,customers!$A$1:$A$1001,customers!$C$1:$C$1001,,0)=0,"", _xlfn.XLOOKUP(C632,customers!$A$1:$A$1001,customers!$C$1:$C$1001,,0))</f>
        <v>fbrighamhg@blog.com</v>
      </c>
      <c r="H632" s="3" t="str">
        <f>_xlfn.XLOOKUP(C632,customers!$A$1:$A$1001,customers!$G$1:$G$1001,,0)</f>
        <v>Ireland</v>
      </c>
      <c r="I632" s="4" t="str">
        <f>INDEX(products!$A$1:$G$49,MATCH(orders!$D632,products!$A$1:$A$49,0),MATCH(orders!I$1,products!$A$1:$G$1,0))</f>
        <v>Ara</v>
      </c>
      <c r="J632" s="4" t="str">
        <f>INDEX(products!$A$1:$G$49,MATCH(orders!$D632,products!$A$1:$A$49,0),MATCH(orders!J$1,products!$A$1:$G$1,0))</f>
        <v>D</v>
      </c>
      <c r="K632" s="6">
        <f>INDEX(products!$A$1:$G$49,MATCH(orders!$D632,products!$A$1:$A$49,0),MATCH(orders!K$1,products!$A$1:$G$1,0))</f>
        <v>0.2</v>
      </c>
      <c r="L632" s="7">
        <f>INDEX(products!$A$1:$G$49,MATCH(orders!$D632,products!$A$1:$A$49,0),MATCH(orders!L$1,products!$A$1:$G$1,0))</f>
        <v>2.9849999999999999</v>
      </c>
      <c r="M632" s="7">
        <f t="shared" si="9"/>
        <v>2.9849999999999999</v>
      </c>
      <c r="N632" s="4" t="str" cm="1">
        <f t="array" ref="N632">_xlfn.IFS(I632="Rob","Robusta",I632="Exc","Excelsa",I632="Ara","Arabica",I632="Lib","Liberica")</f>
        <v>Arabica</v>
      </c>
      <c r="O632" s="4" t="str" cm="1">
        <f t="array" ref="O632">_xlfn.IFS(J632="M","Medium",J632="L","Light",J632="D","Dark")</f>
        <v>Dark</v>
      </c>
      <c r="P632" s="4" t="str">
        <f>_xlfn.XLOOKUP(CoffeeOrderstable[[#This Row],[Customer ID]],customers!$A$1:$A$1001,customers!$I$1:$I$1001,,0)</f>
        <v>Yes</v>
      </c>
    </row>
    <row r="633" spans="1:16" x14ac:dyDescent="0.3">
      <c r="A633" s="3" t="s">
        <v>4035</v>
      </c>
      <c r="B633" s="5">
        <v>44680</v>
      </c>
      <c r="C633" s="3" t="s">
        <v>4036</v>
      </c>
      <c r="D633" s="4" t="s">
        <v>6149</v>
      </c>
      <c r="E633" s="3">
        <v>5</v>
      </c>
      <c r="F633" s="3" t="str">
        <f>_xlfn.XLOOKUP(C633,customers!$A$1:$A$1001,customers!$B$1:$B$1001,,0)</f>
        <v>Faunie Brigham</v>
      </c>
      <c r="G633" s="3" t="str">
        <f>IF(_xlfn.XLOOKUP(C633,customers!$A$1:$A$1001,customers!$C$1:$C$1001,,0)=0,"", _xlfn.XLOOKUP(C633,customers!$A$1:$A$1001,customers!$C$1:$C$1001,,0))</f>
        <v>fbrighamhg@blog.com</v>
      </c>
      <c r="H633" s="3" t="str">
        <f>_xlfn.XLOOKUP(C633,customers!$A$1:$A$1001,customers!$G$1:$G$1001,,0)</f>
        <v>Ireland</v>
      </c>
      <c r="I633" s="4" t="str">
        <f>INDEX(products!$A$1:$G$49,MATCH(orders!$D633,products!$A$1:$A$49,0),MATCH(orders!I$1,products!$A$1:$G$1,0))</f>
        <v>Rob</v>
      </c>
      <c r="J633" s="4" t="str">
        <f>INDEX(products!$A$1:$G$49,MATCH(orders!$D633,products!$A$1:$A$49,0),MATCH(orders!J$1,products!$A$1:$G$1,0))</f>
        <v>D</v>
      </c>
      <c r="K633" s="6">
        <f>INDEX(products!$A$1:$G$49,MATCH(orders!$D633,products!$A$1:$A$49,0),MATCH(orders!K$1,products!$A$1:$G$1,0))</f>
        <v>2.5</v>
      </c>
      <c r="L633" s="7">
        <f>INDEX(products!$A$1:$G$49,MATCH(orders!$D633,products!$A$1:$A$49,0),MATCH(orders!L$1,products!$A$1:$G$1,0))</f>
        <v>20.584999999999997</v>
      </c>
      <c r="M633" s="7">
        <f t="shared" si="9"/>
        <v>102.92499999999998</v>
      </c>
      <c r="N633" s="4" t="str" cm="1">
        <f t="array" ref="N633">_xlfn.IFS(I633="Rob","Robusta",I633="Exc","Excelsa",I633="Ara","Arabica",I633="Lib","Liberica")</f>
        <v>Robusta</v>
      </c>
      <c r="O633" s="4" t="str" cm="1">
        <f t="array" ref="O633">_xlfn.IFS(J633="M","Medium",J633="L","Light",J633="D","Dark")</f>
        <v>Dark</v>
      </c>
      <c r="P633" s="4" t="str">
        <f>_xlfn.XLOOKUP(CoffeeOrderstable[[#This Row],[Customer ID]],customers!$A$1:$A$1001,customers!$I$1:$I$1001,,0)</f>
        <v>Yes</v>
      </c>
    </row>
    <row r="634" spans="1:16" x14ac:dyDescent="0.3">
      <c r="A634" s="3" t="s">
        <v>4056</v>
      </c>
      <c r="B634" s="5">
        <v>44049</v>
      </c>
      <c r="C634" s="3" t="s">
        <v>4057</v>
      </c>
      <c r="D634" s="4" t="s">
        <v>6176</v>
      </c>
      <c r="E634" s="3">
        <v>4</v>
      </c>
      <c r="F634" s="3" t="str">
        <f>_xlfn.XLOOKUP(C634,customers!$A$1:$A$1001,customers!$B$1:$B$1001,,0)</f>
        <v>Marjorie Yoxen</v>
      </c>
      <c r="G634" s="3" t="str">
        <f>IF(_xlfn.XLOOKUP(C634,customers!$A$1:$A$1001,customers!$C$1:$C$1001,,0)=0,"", _xlfn.XLOOKUP(C634,customers!$A$1:$A$1001,customers!$C$1:$C$1001,,0))</f>
        <v>myoxenhk@google.com</v>
      </c>
      <c r="H634" s="3" t="str">
        <f>_xlfn.XLOOKUP(C634,customers!$A$1:$A$1001,customers!$G$1:$G$1001,,0)</f>
        <v>United States</v>
      </c>
      <c r="I634" s="4" t="str">
        <f>INDEX(products!$A$1:$G$49,MATCH(orders!$D634,products!$A$1:$A$49,0),MATCH(orders!I$1,products!$A$1:$G$1,0))</f>
        <v>Exc</v>
      </c>
      <c r="J634" s="4" t="str">
        <f>INDEX(products!$A$1:$G$49,MATCH(orders!$D634,products!$A$1:$A$49,0),MATCH(orders!J$1,products!$A$1:$G$1,0))</f>
        <v>L</v>
      </c>
      <c r="K634" s="6">
        <f>INDEX(products!$A$1:$G$49,MATCH(orders!$D634,products!$A$1:$A$49,0),MATCH(orders!K$1,products!$A$1:$G$1,0))</f>
        <v>0.5</v>
      </c>
      <c r="L634" s="7">
        <f>INDEX(products!$A$1:$G$49,MATCH(orders!$D634,products!$A$1:$A$49,0),MATCH(orders!L$1,products!$A$1:$G$1,0))</f>
        <v>8.91</v>
      </c>
      <c r="M634" s="7">
        <f t="shared" si="9"/>
        <v>35.64</v>
      </c>
      <c r="N634" s="4" t="str" cm="1">
        <f t="array" ref="N634">_xlfn.IFS(I634="Rob","Robusta",I634="Exc","Excelsa",I634="Ara","Arabica",I634="Lib","Liberica")</f>
        <v>Excelsa</v>
      </c>
      <c r="O634" s="4" t="str" cm="1">
        <f t="array" ref="O634">_xlfn.IFS(J634="M","Medium",J634="L","Light",J634="D","Dark")</f>
        <v>Light</v>
      </c>
      <c r="P634" s="4" t="str">
        <f>_xlfn.XLOOKUP(CoffeeOrderstable[[#This Row],[Customer ID]],customers!$A$1:$A$1001,customers!$I$1:$I$1001,,0)</f>
        <v>No</v>
      </c>
    </row>
    <row r="635" spans="1:16" x14ac:dyDescent="0.3">
      <c r="A635" s="3" t="s">
        <v>4062</v>
      </c>
      <c r="B635" s="5">
        <v>43820</v>
      </c>
      <c r="C635" s="3" t="s">
        <v>4063</v>
      </c>
      <c r="D635" s="4" t="s">
        <v>6179</v>
      </c>
      <c r="E635" s="3">
        <v>4</v>
      </c>
      <c r="F635" s="3" t="str">
        <f>_xlfn.XLOOKUP(C635,customers!$A$1:$A$1001,customers!$B$1:$B$1001,,0)</f>
        <v>Gaspar McGavin</v>
      </c>
      <c r="G635" s="3" t="str">
        <f>IF(_xlfn.XLOOKUP(C635,customers!$A$1:$A$1001,customers!$C$1:$C$1001,,0)=0,"", _xlfn.XLOOKUP(C635,customers!$A$1:$A$1001,customers!$C$1:$C$1001,,0))</f>
        <v>gmcgavinhl@histats.com</v>
      </c>
      <c r="H635" s="3" t="str">
        <f>_xlfn.XLOOKUP(C635,customers!$A$1:$A$1001,customers!$G$1:$G$1001,,0)</f>
        <v>United States</v>
      </c>
      <c r="I635" s="4" t="str">
        <f>INDEX(products!$A$1:$G$49,MATCH(orders!$D635,products!$A$1:$A$49,0),MATCH(orders!I$1,products!$A$1:$G$1,0))</f>
        <v>Rob</v>
      </c>
      <c r="J635" s="4" t="str">
        <f>INDEX(products!$A$1:$G$49,MATCH(orders!$D635,products!$A$1:$A$49,0),MATCH(orders!J$1,products!$A$1:$G$1,0))</f>
        <v>L</v>
      </c>
      <c r="K635" s="6">
        <f>INDEX(products!$A$1:$G$49,MATCH(orders!$D635,products!$A$1:$A$49,0),MATCH(orders!K$1,products!$A$1:$G$1,0))</f>
        <v>1</v>
      </c>
      <c r="L635" s="7">
        <f>INDEX(products!$A$1:$G$49,MATCH(orders!$D635,products!$A$1:$A$49,0),MATCH(orders!L$1,products!$A$1:$G$1,0))</f>
        <v>11.95</v>
      </c>
      <c r="M635" s="7">
        <f t="shared" si="9"/>
        <v>47.8</v>
      </c>
      <c r="N635" s="4" t="str" cm="1">
        <f t="array" ref="N635">_xlfn.IFS(I635="Rob","Robusta",I635="Exc","Excelsa",I635="Ara","Arabica",I635="Lib","Liberica")</f>
        <v>Robusta</v>
      </c>
      <c r="O635" s="4" t="str" cm="1">
        <f t="array" ref="O635">_xlfn.IFS(J635="M","Medium",J635="L","Light",J635="D","Dark")</f>
        <v>Light</v>
      </c>
      <c r="P635" s="4" t="str">
        <f>_xlfn.XLOOKUP(CoffeeOrderstable[[#This Row],[Customer ID]],customers!$A$1:$A$1001,customers!$I$1:$I$1001,,0)</f>
        <v>No</v>
      </c>
    </row>
    <row r="636" spans="1:16" x14ac:dyDescent="0.3">
      <c r="A636" s="3" t="s">
        <v>4068</v>
      </c>
      <c r="B636" s="5">
        <v>43940</v>
      </c>
      <c r="C636" s="3" t="s">
        <v>4069</v>
      </c>
      <c r="D636" s="4" t="s">
        <v>6162</v>
      </c>
      <c r="E636" s="3">
        <v>3</v>
      </c>
      <c r="F636" s="3" t="str">
        <f>_xlfn.XLOOKUP(C636,customers!$A$1:$A$1001,customers!$B$1:$B$1001,,0)</f>
        <v>Lindy Uttermare</v>
      </c>
      <c r="G636" s="3" t="str">
        <f>IF(_xlfn.XLOOKUP(C636,customers!$A$1:$A$1001,customers!$C$1:$C$1001,,0)=0,"", _xlfn.XLOOKUP(C636,customers!$A$1:$A$1001,customers!$C$1:$C$1001,,0))</f>
        <v>luttermarehm@engadget.com</v>
      </c>
      <c r="H636" s="3" t="str">
        <f>_xlfn.XLOOKUP(C636,customers!$A$1:$A$1001,customers!$G$1:$G$1001,,0)</f>
        <v>United States</v>
      </c>
      <c r="I636" s="4" t="str">
        <f>INDEX(products!$A$1:$G$49,MATCH(orders!$D636,products!$A$1:$A$49,0),MATCH(orders!I$1,products!$A$1:$G$1,0))</f>
        <v>Lib</v>
      </c>
      <c r="J636" s="4" t="str">
        <f>INDEX(products!$A$1:$G$49,MATCH(orders!$D636,products!$A$1:$A$49,0),MATCH(orders!J$1,products!$A$1:$G$1,0))</f>
        <v>M</v>
      </c>
      <c r="K636" s="6">
        <f>INDEX(products!$A$1:$G$49,MATCH(orders!$D636,products!$A$1:$A$49,0),MATCH(orders!K$1,products!$A$1:$G$1,0))</f>
        <v>1</v>
      </c>
      <c r="L636" s="7">
        <f>INDEX(products!$A$1:$G$49,MATCH(orders!$D636,products!$A$1:$A$49,0),MATCH(orders!L$1,products!$A$1:$G$1,0))</f>
        <v>14.55</v>
      </c>
      <c r="M636" s="7">
        <f t="shared" si="9"/>
        <v>43.650000000000006</v>
      </c>
      <c r="N636" s="4" t="str" cm="1">
        <f t="array" ref="N636">_xlfn.IFS(I636="Rob","Robusta",I636="Exc","Excelsa",I636="Ara","Arabica",I636="Lib","Liberica")</f>
        <v>Liberica</v>
      </c>
      <c r="O636" s="4" t="str" cm="1">
        <f t="array" ref="O636">_xlfn.IFS(J636="M","Medium",J636="L","Light",J636="D","Dark")</f>
        <v>Medium</v>
      </c>
      <c r="P636" s="4" t="str">
        <f>_xlfn.XLOOKUP(CoffeeOrderstable[[#This Row],[Customer ID]],customers!$A$1:$A$1001,customers!$I$1:$I$1001,,0)</f>
        <v>No</v>
      </c>
    </row>
    <row r="637" spans="1:16" x14ac:dyDescent="0.3">
      <c r="A637" s="3" t="s">
        <v>4074</v>
      </c>
      <c r="B637" s="5">
        <v>44578</v>
      </c>
      <c r="C637" s="3" t="s">
        <v>4075</v>
      </c>
      <c r="D637" s="4" t="s">
        <v>6176</v>
      </c>
      <c r="E637" s="3">
        <v>4</v>
      </c>
      <c r="F637" s="3" t="str">
        <f>_xlfn.XLOOKUP(C637,customers!$A$1:$A$1001,customers!$B$1:$B$1001,,0)</f>
        <v>Eal D'Ambrogio</v>
      </c>
      <c r="G637" s="3" t="str">
        <f>IF(_xlfn.XLOOKUP(C637,customers!$A$1:$A$1001,customers!$C$1:$C$1001,,0)=0,"", _xlfn.XLOOKUP(C637,customers!$A$1:$A$1001,customers!$C$1:$C$1001,,0))</f>
        <v>edambrogiohn@techcrunch.com</v>
      </c>
      <c r="H637" s="3" t="str">
        <f>_xlfn.XLOOKUP(C637,customers!$A$1:$A$1001,customers!$G$1:$G$1001,,0)</f>
        <v>United States</v>
      </c>
      <c r="I637" s="4" t="str">
        <f>INDEX(products!$A$1:$G$49,MATCH(orders!$D637,products!$A$1:$A$49,0),MATCH(orders!I$1,products!$A$1:$G$1,0))</f>
        <v>Exc</v>
      </c>
      <c r="J637" s="4" t="str">
        <f>INDEX(products!$A$1:$G$49,MATCH(orders!$D637,products!$A$1:$A$49,0),MATCH(orders!J$1,products!$A$1:$G$1,0))</f>
        <v>L</v>
      </c>
      <c r="K637" s="6">
        <f>INDEX(products!$A$1:$G$49,MATCH(orders!$D637,products!$A$1:$A$49,0),MATCH(orders!K$1,products!$A$1:$G$1,0))</f>
        <v>0.5</v>
      </c>
      <c r="L637" s="7">
        <f>INDEX(products!$A$1:$G$49,MATCH(orders!$D637,products!$A$1:$A$49,0),MATCH(orders!L$1,products!$A$1:$G$1,0))</f>
        <v>8.91</v>
      </c>
      <c r="M637" s="7">
        <f t="shared" si="9"/>
        <v>35.64</v>
      </c>
      <c r="N637" s="4" t="str" cm="1">
        <f t="array" ref="N637">_xlfn.IFS(I637="Rob","Robusta",I637="Exc","Excelsa",I637="Ara","Arabica",I637="Lib","Liberica")</f>
        <v>Excelsa</v>
      </c>
      <c r="O637" s="4" t="str" cm="1">
        <f t="array" ref="O637">_xlfn.IFS(J637="M","Medium",J637="L","Light",J637="D","Dark")</f>
        <v>Light</v>
      </c>
      <c r="P637" s="4" t="str">
        <f>_xlfn.XLOOKUP(CoffeeOrderstable[[#This Row],[Customer ID]],customers!$A$1:$A$1001,customers!$I$1:$I$1001,,0)</f>
        <v>Yes</v>
      </c>
    </row>
    <row r="638" spans="1:16" x14ac:dyDescent="0.3">
      <c r="A638" s="3" t="s">
        <v>4080</v>
      </c>
      <c r="B638" s="5">
        <v>43487</v>
      </c>
      <c r="C638" s="3" t="s">
        <v>4081</v>
      </c>
      <c r="D638" s="4" t="s">
        <v>6170</v>
      </c>
      <c r="E638" s="3">
        <v>6</v>
      </c>
      <c r="F638" s="3" t="str">
        <f>_xlfn.XLOOKUP(C638,customers!$A$1:$A$1001,customers!$B$1:$B$1001,,0)</f>
        <v>Carolee Winchcombe</v>
      </c>
      <c r="G638" s="3" t="str">
        <f>IF(_xlfn.XLOOKUP(C638,customers!$A$1:$A$1001,customers!$C$1:$C$1001,,0)=0,"", _xlfn.XLOOKUP(C638,customers!$A$1:$A$1001,customers!$C$1:$C$1001,,0))</f>
        <v>cwinchcombeho@jiathis.com</v>
      </c>
      <c r="H638" s="3" t="str">
        <f>_xlfn.XLOOKUP(C638,customers!$A$1:$A$1001,customers!$G$1:$G$1001,,0)</f>
        <v>United States</v>
      </c>
      <c r="I638" s="4" t="str">
        <f>INDEX(products!$A$1:$G$49,MATCH(orders!$D638,products!$A$1:$A$49,0),MATCH(orders!I$1,products!$A$1:$G$1,0))</f>
        <v>Lib</v>
      </c>
      <c r="J638" s="4" t="str">
        <f>INDEX(products!$A$1:$G$49,MATCH(orders!$D638,products!$A$1:$A$49,0),MATCH(orders!J$1,products!$A$1:$G$1,0))</f>
        <v>L</v>
      </c>
      <c r="K638" s="6">
        <f>INDEX(products!$A$1:$G$49,MATCH(orders!$D638,products!$A$1:$A$49,0),MATCH(orders!K$1,products!$A$1:$G$1,0))</f>
        <v>1</v>
      </c>
      <c r="L638" s="7">
        <f>INDEX(products!$A$1:$G$49,MATCH(orders!$D638,products!$A$1:$A$49,0),MATCH(orders!L$1,products!$A$1:$G$1,0))</f>
        <v>15.85</v>
      </c>
      <c r="M638" s="7">
        <f t="shared" si="9"/>
        <v>95.1</v>
      </c>
      <c r="N638" s="4" t="str" cm="1">
        <f t="array" ref="N638">_xlfn.IFS(I638="Rob","Robusta",I638="Exc","Excelsa",I638="Ara","Arabica",I638="Lib","Liberica")</f>
        <v>Liberica</v>
      </c>
      <c r="O638" s="4" t="str" cm="1">
        <f t="array" ref="O638">_xlfn.IFS(J638="M","Medium",J638="L","Light",J638="D","Dark")</f>
        <v>Light</v>
      </c>
      <c r="P638" s="4" t="str">
        <f>_xlfn.XLOOKUP(CoffeeOrderstable[[#This Row],[Customer ID]],customers!$A$1:$A$1001,customers!$I$1:$I$1001,,0)</f>
        <v>Yes</v>
      </c>
    </row>
    <row r="639" spans="1:16" x14ac:dyDescent="0.3">
      <c r="A639" s="3" t="s">
        <v>4086</v>
      </c>
      <c r="B639" s="5">
        <v>43889</v>
      </c>
      <c r="C639" s="3" t="s">
        <v>4087</v>
      </c>
      <c r="D639" s="4" t="s">
        <v>6166</v>
      </c>
      <c r="E639" s="3">
        <v>1</v>
      </c>
      <c r="F639" s="3" t="str">
        <f>_xlfn.XLOOKUP(C639,customers!$A$1:$A$1001,customers!$B$1:$B$1001,,0)</f>
        <v>Benedikta Paumier</v>
      </c>
      <c r="G639" s="3" t="str">
        <f>IF(_xlfn.XLOOKUP(C639,customers!$A$1:$A$1001,customers!$C$1:$C$1001,,0)=0,"", _xlfn.XLOOKUP(C639,customers!$A$1:$A$1001,customers!$C$1:$C$1001,,0))</f>
        <v>bpaumierhp@umn.edu</v>
      </c>
      <c r="H639" s="3" t="str">
        <f>_xlfn.XLOOKUP(C639,customers!$A$1:$A$1001,customers!$G$1:$G$1001,,0)</f>
        <v>Ireland</v>
      </c>
      <c r="I639" s="4" t="str">
        <f>INDEX(products!$A$1:$G$49,MATCH(orders!$D639,products!$A$1:$A$49,0),MATCH(orders!I$1,products!$A$1:$G$1,0))</f>
        <v>Exc</v>
      </c>
      <c r="J639" s="4" t="str">
        <f>INDEX(products!$A$1:$G$49,MATCH(orders!$D639,products!$A$1:$A$49,0),MATCH(orders!J$1,products!$A$1:$G$1,0))</f>
        <v>M</v>
      </c>
      <c r="K639" s="6">
        <f>INDEX(products!$A$1:$G$49,MATCH(orders!$D639,products!$A$1:$A$49,0),MATCH(orders!K$1,products!$A$1:$G$1,0))</f>
        <v>2.5</v>
      </c>
      <c r="L639" s="7">
        <f>INDEX(products!$A$1:$G$49,MATCH(orders!$D639,products!$A$1:$A$49,0),MATCH(orders!L$1,products!$A$1:$G$1,0))</f>
        <v>31.624999999999996</v>
      </c>
      <c r="M639" s="7">
        <f t="shared" si="9"/>
        <v>31.624999999999996</v>
      </c>
      <c r="N639" s="4" t="str" cm="1">
        <f t="array" ref="N639">_xlfn.IFS(I639="Rob","Robusta",I639="Exc","Excelsa",I639="Ara","Arabica",I639="Lib","Liberica")</f>
        <v>Excelsa</v>
      </c>
      <c r="O639" s="4" t="str" cm="1">
        <f t="array" ref="O639">_xlfn.IFS(J639="M","Medium",J639="L","Light",J639="D","Dark")</f>
        <v>Medium</v>
      </c>
      <c r="P639" s="4" t="str">
        <f>_xlfn.XLOOKUP(CoffeeOrderstable[[#This Row],[Customer ID]],customers!$A$1:$A$1001,customers!$I$1:$I$1001,,0)</f>
        <v>Yes</v>
      </c>
    </row>
    <row r="640" spans="1:16" x14ac:dyDescent="0.3">
      <c r="A640" s="3" t="s">
        <v>4093</v>
      </c>
      <c r="B640" s="5">
        <v>43684</v>
      </c>
      <c r="C640" s="3" t="s">
        <v>4094</v>
      </c>
      <c r="D640" s="4" t="s">
        <v>6175</v>
      </c>
      <c r="E640" s="3">
        <v>3</v>
      </c>
      <c r="F640" s="3" t="str">
        <f>_xlfn.XLOOKUP(C640,customers!$A$1:$A$1001,customers!$B$1:$B$1001,,0)</f>
        <v>Neville Piatto</v>
      </c>
      <c r="G640" s="3" t="str">
        <f>IF(_xlfn.XLOOKUP(C640,customers!$A$1:$A$1001,customers!$C$1:$C$1001,,0)=0,"", _xlfn.XLOOKUP(C640,customers!$A$1:$A$1001,customers!$C$1:$C$1001,,0))</f>
        <v/>
      </c>
      <c r="H640" s="3" t="str">
        <f>_xlfn.XLOOKUP(C640,customers!$A$1:$A$1001,customers!$G$1:$G$1001,,0)</f>
        <v>Ireland</v>
      </c>
      <c r="I640" s="4" t="str">
        <f>INDEX(products!$A$1:$G$49,MATCH(orders!$D640,products!$A$1:$A$49,0),MATCH(orders!I$1,products!$A$1:$G$1,0))</f>
        <v>Ara</v>
      </c>
      <c r="J640" s="4" t="str">
        <f>INDEX(products!$A$1:$G$49,MATCH(orders!$D640,products!$A$1:$A$49,0),MATCH(orders!J$1,products!$A$1:$G$1,0))</f>
        <v>M</v>
      </c>
      <c r="K640" s="6">
        <f>INDEX(products!$A$1:$G$49,MATCH(orders!$D640,products!$A$1:$A$49,0),MATCH(orders!K$1,products!$A$1:$G$1,0))</f>
        <v>2.5</v>
      </c>
      <c r="L640" s="7">
        <f>INDEX(products!$A$1:$G$49,MATCH(orders!$D640,products!$A$1:$A$49,0),MATCH(orders!L$1,products!$A$1:$G$1,0))</f>
        <v>25.874999999999996</v>
      </c>
      <c r="M640" s="7">
        <f t="shared" si="9"/>
        <v>77.624999999999986</v>
      </c>
      <c r="N640" s="4" t="str" cm="1">
        <f t="array" ref="N640">_xlfn.IFS(I640="Rob","Robusta",I640="Exc","Excelsa",I640="Ara","Arabica",I640="Lib","Liberica")</f>
        <v>Arabica</v>
      </c>
      <c r="O640" s="4" t="str" cm="1">
        <f t="array" ref="O640">_xlfn.IFS(J640="M","Medium",J640="L","Light",J640="D","Dark")</f>
        <v>Medium</v>
      </c>
      <c r="P640" s="4" t="str">
        <f>_xlfn.XLOOKUP(CoffeeOrderstable[[#This Row],[Customer ID]],customers!$A$1:$A$1001,customers!$I$1:$I$1001,,0)</f>
        <v>Yes</v>
      </c>
    </row>
    <row r="641" spans="1:16" x14ac:dyDescent="0.3">
      <c r="A641" s="3" t="s">
        <v>4098</v>
      </c>
      <c r="B641" s="5">
        <v>44331</v>
      </c>
      <c r="C641" s="3" t="s">
        <v>4099</v>
      </c>
      <c r="D641" s="4" t="s">
        <v>6150</v>
      </c>
      <c r="E641" s="3">
        <v>1</v>
      </c>
      <c r="F641" s="3" t="str">
        <f>_xlfn.XLOOKUP(C641,customers!$A$1:$A$1001,customers!$B$1:$B$1001,,0)</f>
        <v>Jeno Capey</v>
      </c>
      <c r="G641" s="3" t="str">
        <f>IF(_xlfn.XLOOKUP(C641,customers!$A$1:$A$1001,customers!$C$1:$C$1001,,0)=0,"", _xlfn.XLOOKUP(C641,customers!$A$1:$A$1001,customers!$C$1:$C$1001,,0))</f>
        <v>jcapeyhr@bravesites.com</v>
      </c>
      <c r="H641" s="3" t="str">
        <f>_xlfn.XLOOKUP(C641,customers!$A$1:$A$1001,customers!$G$1:$G$1001,,0)</f>
        <v>United States</v>
      </c>
      <c r="I641" s="4" t="str">
        <f>INDEX(products!$A$1:$G$49,MATCH(orders!$D641,products!$A$1:$A$49,0),MATCH(orders!I$1,products!$A$1:$G$1,0))</f>
        <v>Lib</v>
      </c>
      <c r="J641" s="4" t="str">
        <f>INDEX(products!$A$1:$G$49,MATCH(orders!$D641,products!$A$1:$A$49,0),MATCH(orders!J$1,products!$A$1:$G$1,0))</f>
        <v>D</v>
      </c>
      <c r="K641" s="6">
        <f>INDEX(products!$A$1:$G$49,MATCH(orders!$D641,products!$A$1:$A$49,0),MATCH(orders!K$1,products!$A$1:$G$1,0))</f>
        <v>0.2</v>
      </c>
      <c r="L641" s="7">
        <f>INDEX(products!$A$1:$G$49,MATCH(orders!$D641,products!$A$1:$A$49,0),MATCH(orders!L$1,products!$A$1:$G$1,0))</f>
        <v>3.8849999999999998</v>
      </c>
      <c r="M641" s="7">
        <f t="shared" si="9"/>
        <v>3.8849999999999998</v>
      </c>
      <c r="N641" s="4" t="str" cm="1">
        <f t="array" ref="N641">_xlfn.IFS(I641="Rob","Robusta",I641="Exc","Excelsa",I641="Ara","Arabica",I641="Lib","Liberica")</f>
        <v>Liberica</v>
      </c>
      <c r="O641" s="4" t="str" cm="1">
        <f t="array" ref="O641">_xlfn.IFS(J641="M","Medium",J641="L","Light",J641="D","Dark")</f>
        <v>Dark</v>
      </c>
      <c r="P641" s="4" t="str">
        <f>_xlfn.XLOOKUP(CoffeeOrderstable[[#This Row],[Customer ID]],customers!$A$1:$A$1001,customers!$I$1:$I$1001,,0)</f>
        <v>Yes</v>
      </c>
    </row>
    <row r="642" spans="1:16" x14ac:dyDescent="0.3">
      <c r="A642" s="3" t="s">
        <v>4104</v>
      </c>
      <c r="B642" s="5">
        <v>44547</v>
      </c>
      <c r="C642" s="3" t="s">
        <v>4152</v>
      </c>
      <c r="D642" s="4" t="s">
        <v>6142</v>
      </c>
      <c r="E642" s="3">
        <v>5</v>
      </c>
      <c r="F642" s="3" t="str">
        <f>_xlfn.XLOOKUP(C642,customers!$A$1:$A$1001,customers!$B$1:$B$1001,,0)</f>
        <v>Tuckie Mathonnet</v>
      </c>
      <c r="G642" s="3" t="str">
        <f>IF(_xlfn.XLOOKUP(C642,customers!$A$1:$A$1001,customers!$C$1:$C$1001,,0)=0,"", _xlfn.XLOOKUP(C642,customers!$A$1:$A$1001,customers!$C$1:$C$1001,,0))</f>
        <v>tmathonneti0@google.co.jp</v>
      </c>
      <c r="H642" s="3" t="str">
        <f>_xlfn.XLOOKUP(C642,customers!$A$1:$A$1001,customers!$G$1:$G$1001,,0)</f>
        <v>United States</v>
      </c>
      <c r="I642" s="4" t="str">
        <f>INDEX(products!$A$1:$G$49,MATCH(orders!$D642,products!$A$1:$A$49,0),MATCH(orders!I$1,products!$A$1:$G$1,0))</f>
        <v>Rob</v>
      </c>
      <c r="J642" s="4" t="str">
        <f>INDEX(products!$A$1:$G$49,MATCH(orders!$D642,products!$A$1:$A$49,0),MATCH(orders!J$1,products!$A$1:$G$1,0))</f>
        <v>L</v>
      </c>
      <c r="K642" s="6">
        <f>INDEX(products!$A$1:$G$49,MATCH(orders!$D642,products!$A$1:$A$49,0),MATCH(orders!K$1,products!$A$1:$G$1,0))</f>
        <v>2.5</v>
      </c>
      <c r="L642" s="7">
        <f>INDEX(products!$A$1:$G$49,MATCH(orders!$D642,products!$A$1:$A$49,0),MATCH(orders!L$1,products!$A$1:$G$1,0))</f>
        <v>27.484999999999996</v>
      </c>
      <c r="M642" s="7">
        <f t="shared" si="9"/>
        <v>137.42499999999998</v>
      </c>
      <c r="N642" s="4" t="str" cm="1">
        <f t="array" ref="N642">_xlfn.IFS(I642="Rob","Robusta",I642="Exc","Excelsa",I642="Ara","Arabica",I642="Lib","Liberica")</f>
        <v>Robusta</v>
      </c>
      <c r="O642" s="4" t="str" cm="1">
        <f t="array" ref="O642">_xlfn.IFS(J642="M","Medium",J642="L","Light",J642="D","Dark")</f>
        <v>Light</v>
      </c>
      <c r="P642" s="4" t="str">
        <f>_xlfn.XLOOKUP(CoffeeOrderstable[[#This Row],[Customer ID]],customers!$A$1:$A$1001,customers!$I$1:$I$1001,,0)</f>
        <v>No</v>
      </c>
    </row>
    <row r="643" spans="1:16" x14ac:dyDescent="0.3">
      <c r="A643" s="3" t="s">
        <v>4109</v>
      </c>
      <c r="B643" s="5">
        <v>44448</v>
      </c>
      <c r="C643" s="3" t="s">
        <v>4110</v>
      </c>
      <c r="D643" s="4" t="s">
        <v>6179</v>
      </c>
      <c r="E643" s="3">
        <v>3</v>
      </c>
      <c r="F643" s="3" t="str">
        <f>_xlfn.XLOOKUP(C643,customers!$A$1:$A$1001,customers!$B$1:$B$1001,,0)</f>
        <v>Yardley Basill</v>
      </c>
      <c r="G643" s="3" t="str">
        <f>IF(_xlfn.XLOOKUP(C643,customers!$A$1:$A$1001,customers!$C$1:$C$1001,,0)=0,"", _xlfn.XLOOKUP(C643,customers!$A$1:$A$1001,customers!$C$1:$C$1001,,0))</f>
        <v>ybasillht@theguardian.com</v>
      </c>
      <c r="H643" s="3" t="str">
        <f>_xlfn.XLOOKUP(C643,customers!$A$1:$A$1001,customers!$G$1:$G$1001,,0)</f>
        <v>United States</v>
      </c>
      <c r="I643" s="4" t="str">
        <f>INDEX(products!$A$1:$G$49,MATCH(orders!$D643,products!$A$1:$A$49,0),MATCH(orders!I$1,products!$A$1:$G$1,0))</f>
        <v>Rob</v>
      </c>
      <c r="J643" s="4" t="str">
        <f>INDEX(products!$A$1:$G$49,MATCH(orders!$D643,products!$A$1:$A$49,0),MATCH(orders!J$1,products!$A$1:$G$1,0))</f>
        <v>L</v>
      </c>
      <c r="K643" s="6">
        <f>INDEX(products!$A$1:$G$49,MATCH(orders!$D643,products!$A$1:$A$49,0),MATCH(orders!K$1,products!$A$1:$G$1,0))</f>
        <v>1</v>
      </c>
      <c r="L643" s="7">
        <f>INDEX(products!$A$1:$G$49,MATCH(orders!$D643,products!$A$1:$A$49,0),MATCH(orders!L$1,products!$A$1:$G$1,0))</f>
        <v>11.95</v>
      </c>
      <c r="M643" s="7">
        <f t="shared" ref="M643:M706" si="10">L643*E643</f>
        <v>35.849999999999994</v>
      </c>
      <c r="N643" s="4" t="str" cm="1">
        <f t="array" ref="N643">_xlfn.IFS(I643="Rob","Robusta",I643="Exc","Excelsa",I643="Ara","Arabica",I643="Lib","Liberica")</f>
        <v>Robusta</v>
      </c>
      <c r="O643" s="4" t="str" cm="1">
        <f t="array" ref="O643">_xlfn.IFS(J643="M","Medium",J643="L","Light",J643="D","Dark")</f>
        <v>Light</v>
      </c>
      <c r="P643" s="4" t="str">
        <f>_xlfn.XLOOKUP(CoffeeOrderstable[[#This Row],[Customer ID]],customers!$A$1:$A$1001,customers!$I$1:$I$1001,,0)</f>
        <v>Yes</v>
      </c>
    </row>
    <row r="644" spans="1:16" x14ac:dyDescent="0.3">
      <c r="A644" s="3" t="s">
        <v>4115</v>
      </c>
      <c r="B644" s="5">
        <v>43880</v>
      </c>
      <c r="C644" s="3" t="s">
        <v>4116</v>
      </c>
      <c r="D644" s="4" t="s">
        <v>6156</v>
      </c>
      <c r="E644" s="3">
        <v>2</v>
      </c>
      <c r="F644" s="3" t="str">
        <f>_xlfn.XLOOKUP(C644,customers!$A$1:$A$1001,customers!$B$1:$B$1001,,0)</f>
        <v>Maggy Baistow</v>
      </c>
      <c r="G644" s="3" t="str">
        <f>IF(_xlfn.XLOOKUP(C644,customers!$A$1:$A$1001,customers!$C$1:$C$1001,,0)=0,"", _xlfn.XLOOKUP(C644,customers!$A$1:$A$1001,customers!$C$1:$C$1001,,0))</f>
        <v>mbaistowhu@i2i.jp</v>
      </c>
      <c r="H644" s="3" t="str">
        <f>_xlfn.XLOOKUP(C644,customers!$A$1:$A$1001,customers!$G$1:$G$1001,,0)</f>
        <v>United Kingdom</v>
      </c>
      <c r="I644" s="4" t="str">
        <f>INDEX(products!$A$1:$G$49,MATCH(orders!$D644,products!$A$1:$A$49,0),MATCH(orders!I$1,products!$A$1:$G$1,0))</f>
        <v>Exc</v>
      </c>
      <c r="J644" s="4" t="str">
        <f>INDEX(products!$A$1:$G$49,MATCH(orders!$D644,products!$A$1:$A$49,0),MATCH(orders!J$1,products!$A$1:$G$1,0))</f>
        <v>M</v>
      </c>
      <c r="K644" s="6">
        <f>INDEX(products!$A$1:$G$49,MATCH(orders!$D644,products!$A$1:$A$49,0),MATCH(orders!K$1,products!$A$1:$G$1,0))</f>
        <v>0.2</v>
      </c>
      <c r="L644" s="7">
        <f>INDEX(products!$A$1:$G$49,MATCH(orders!$D644,products!$A$1:$A$49,0),MATCH(orders!L$1,products!$A$1:$G$1,0))</f>
        <v>4.125</v>
      </c>
      <c r="M644" s="7">
        <f t="shared" si="10"/>
        <v>8.25</v>
      </c>
      <c r="N644" s="4" t="str" cm="1">
        <f t="array" ref="N644">_xlfn.IFS(I644="Rob","Robusta",I644="Exc","Excelsa",I644="Ara","Arabica",I644="Lib","Liberica")</f>
        <v>Excelsa</v>
      </c>
      <c r="O644" s="4" t="str" cm="1">
        <f t="array" ref="O644">_xlfn.IFS(J644="M","Medium",J644="L","Light",J644="D","Dark")</f>
        <v>Medium</v>
      </c>
      <c r="P644" s="4" t="str">
        <f>_xlfn.XLOOKUP(CoffeeOrderstable[[#This Row],[Customer ID]],customers!$A$1:$A$1001,customers!$I$1:$I$1001,,0)</f>
        <v>Yes</v>
      </c>
    </row>
    <row r="645" spans="1:16" x14ac:dyDescent="0.3">
      <c r="A645" s="3" t="s">
        <v>4123</v>
      </c>
      <c r="B645" s="5">
        <v>44011</v>
      </c>
      <c r="C645" s="3" t="s">
        <v>4124</v>
      </c>
      <c r="D645" s="4" t="s">
        <v>6148</v>
      </c>
      <c r="E645" s="3">
        <v>3</v>
      </c>
      <c r="F645" s="3" t="str">
        <f>_xlfn.XLOOKUP(C645,customers!$A$1:$A$1001,customers!$B$1:$B$1001,,0)</f>
        <v>Courtney Pallant</v>
      </c>
      <c r="G645" s="3" t="str">
        <f>IF(_xlfn.XLOOKUP(C645,customers!$A$1:$A$1001,customers!$C$1:$C$1001,,0)=0,"", _xlfn.XLOOKUP(C645,customers!$A$1:$A$1001,customers!$C$1:$C$1001,,0))</f>
        <v>cpallanthv@typepad.com</v>
      </c>
      <c r="H645" s="3" t="str">
        <f>_xlfn.XLOOKUP(C645,customers!$A$1:$A$1001,customers!$G$1:$G$1001,,0)</f>
        <v>United States</v>
      </c>
      <c r="I645" s="4" t="str">
        <f>INDEX(products!$A$1:$G$49,MATCH(orders!$D645,products!$A$1:$A$49,0),MATCH(orders!I$1,products!$A$1:$G$1,0))</f>
        <v>Exc</v>
      </c>
      <c r="J645" s="4" t="str">
        <f>INDEX(products!$A$1:$G$49,MATCH(orders!$D645,products!$A$1:$A$49,0),MATCH(orders!J$1,products!$A$1:$G$1,0))</f>
        <v>L</v>
      </c>
      <c r="K645" s="6">
        <f>INDEX(products!$A$1:$G$49,MATCH(orders!$D645,products!$A$1:$A$49,0),MATCH(orders!K$1,products!$A$1:$G$1,0))</f>
        <v>2.5</v>
      </c>
      <c r="L645" s="7">
        <f>INDEX(products!$A$1:$G$49,MATCH(orders!$D645,products!$A$1:$A$49,0),MATCH(orders!L$1,products!$A$1:$G$1,0))</f>
        <v>34.154999999999994</v>
      </c>
      <c r="M645" s="7">
        <f t="shared" si="10"/>
        <v>102.46499999999997</v>
      </c>
      <c r="N645" s="4" t="str" cm="1">
        <f t="array" ref="N645">_xlfn.IFS(I645="Rob","Robusta",I645="Exc","Excelsa",I645="Ara","Arabica",I645="Lib","Liberica")</f>
        <v>Excelsa</v>
      </c>
      <c r="O645" s="4" t="str" cm="1">
        <f t="array" ref="O645">_xlfn.IFS(J645="M","Medium",J645="L","Light",J645="D","Dark")</f>
        <v>Light</v>
      </c>
      <c r="P645" s="4" t="str">
        <f>_xlfn.XLOOKUP(CoffeeOrderstable[[#This Row],[Customer ID]],customers!$A$1:$A$1001,customers!$I$1:$I$1001,,0)</f>
        <v>Yes</v>
      </c>
    </row>
    <row r="646" spans="1:16" x14ac:dyDescent="0.3">
      <c r="A646" s="3" t="s">
        <v>4128</v>
      </c>
      <c r="B646" s="5">
        <v>44694</v>
      </c>
      <c r="C646" s="3" t="s">
        <v>4129</v>
      </c>
      <c r="D646" s="4" t="s">
        <v>6149</v>
      </c>
      <c r="E646" s="3">
        <v>2</v>
      </c>
      <c r="F646" s="3" t="str">
        <f>_xlfn.XLOOKUP(C646,customers!$A$1:$A$1001,customers!$B$1:$B$1001,,0)</f>
        <v>Marne Mingey</v>
      </c>
      <c r="G646" s="3" t="str">
        <f>IF(_xlfn.XLOOKUP(C646,customers!$A$1:$A$1001,customers!$C$1:$C$1001,,0)=0,"", _xlfn.XLOOKUP(C646,customers!$A$1:$A$1001,customers!$C$1:$C$1001,,0))</f>
        <v/>
      </c>
      <c r="H646" s="3" t="str">
        <f>_xlfn.XLOOKUP(C646,customers!$A$1:$A$1001,customers!$G$1:$G$1001,,0)</f>
        <v>United States</v>
      </c>
      <c r="I646" s="4" t="str">
        <f>INDEX(products!$A$1:$G$49,MATCH(orders!$D646,products!$A$1:$A$49,0),MATCH(orders!I$1,products!$A$1:$G$1,0))</f>
        <v>Rob</v>
      </c>
      <c r="J646" s="4" t="str">
        <f>INDEX(products!$A$1:$G$49,MATCH(orders!$D646,products!$A$1:$A$49,0),MATCH(orders!J$1,products!$A$1:$G$1,0))</f>
        <v>D</v>
      </c>
      <c r="K646" s="6">
        <f>INDEX(products!$A$1:$G$49,MATCH(orders!$D646,products!$A$1:$A$49,0),MATCH(orders!K$1,products!$A$1:$G$1,0))</f>
        <v>2.5</v>
      </c>
      <c r="L646" s="7">
        <f>INDEX(products!$A$1:$G$49,MATCH(orders!$D646,products!$A$1:$A$49,0),MATCH(orders!L$1,products!$A$1:$G$1,0))</f>
        <v>20.584999999999997</v>
      </c>
      <c r="M646" s="7">
        <f t="shared" si="10"/>
        <v>41.169999999999995</v>
      </c>
      <c r="N646" s="4" t="str" cm="1">
        <f t="array" ref="N646">_xlfn.IFS(I646="Rob","Robusta",I646="Exc","Excelsa",I646="Ara","Arabica",I646="Lib","Liberica")</f>
        <v>Robusta</v>
      </c>
      <c r="O646" s="4" t="str" cm="1">
        <f t="array" ref="O646">_xlfn.IFS(J646="M","Medium",J646="L","Light",J646="D","Dark")</f>
        <v>Dark</v>
      </c>
      <c r="P646" s="4" t="str">
        <f>_xlfn.XLOOKUP(CoffeeOrderstable[[#This Row],[Customer ID]],customers!$A$1:$A$1001,customers!$I$1:$I$1001,,0)</f>
        <v>No</v>
      </c>
    </row>
    <row r="647" spans="1:16" x14ac:dyDescent="0.3">
      <c r="A647" s="3" t="s">
        <v>4133</v>
      </c>
      <c r="B647" s="5">
        <v>44106</v>
      </c>
      <c r="C647" s="3" t="s">
        <v>4134</v>
      </c>
      <c r="D647" s="4" t="s">
        <v>6168</v>
      </c>
      <c r="E647" s="3">
        <v>3</v>
      </c>
      <c r="F647" s="3" t="str">
        <f>_xlfn.XLOOKUP(C647,customers!$A$1:$A$1001,customers!$B$1:$B$1001,,0)</f>
        <v>Denny O' Ronan</v>
      </c>
      <c r="G647" s="3" t="str">
        <f>IF(_xlfn.XLOOKUP(C647,customers!$A$1:$A$1001,customers!$C$1:$C$1001,,0)=0,"", _xlfn.XLOOKUP(C647,customers!$A$1:$A$1001,customers!$C$1:$C$1001,,0))</f>
        <v>dohx@redcross.org</v>
      </c>
      <c r="H647" s="3" t="str">
        <f>_xlfn.XLOOKUP(C647,customers!$A$1:$A$1001,customers!$G$1:$G$1001,,0)</f>
        <v>United States</v>
      </c>
      <c r="I647" s="4" t="str">
        <f>INDEX(products!$A$1:$G$49,MATCH(orders!$D647,products!$A$1:$A$49,0),MATCH(orders!I$1,products!$A$1:$G$1,0))</f>
        <v>Ara</v>
      </c>
      <c r="J647" s="4" t="str">
        <f>INDEX(products!$A$1:$G$49,MATCH(orders!$D647,products!$A$1:$A$49,0),MATCH(orders!J$1,products!$A$1:$G$1,0))</f>
        <v>D</v>
      </c>
      <c r="K647" s="6">
        <f>INDEX(products!$A$1:$G$49,MATCH(orders!$D647,products!$A$1:$A$49,0),MATCH(orders!K$1,products!$A$1:$G$1,0))</f>
        <v>2.5</v>
      </c>
      <c r="L647" s="7">
        <f>INDEX(products!$A$1:$G$49,MATCH(orders!$D647,products!$A$1:$A$49,0),MATCH(orders!L$1,products!$A$1:$G$1,0))</f>
        <v>22.884999999999998</v>
      </c>
      <c r="M647" s="7">
        <f t="shared" si="10"/>
        <v>68.655000000000001</v>
      </c>
      <c r="N647" s="4" t="str" cm="1">
        <f t="array" ref="N647">_xlfn.IFS(I647="Rob","Robusta",I647="Exc","Excelsa",I647="Ara","Arabica",I647="Lib","Liberica")</f>
        <v>Arabica</v>
      </c>
      <c r="O647" s="4" t="str" cm="1">
        <f t="array" ref="O647">_xlfn.IFS(J647="M","Medium",J647="L","Light",J647="D","Dark")</f>
        <v>Dark</v>
      </c>
      <c r="P647" s="4" t="str">
        <f>_xlfn.XLOOKUP(CoffeeOrderstable[[#This Row],[Customer ID]],customers!$A$1:$A$1001,customers!$I$1:$I$1001,,0)</f>
        <v>Yes</v>
      </c>
    </row>
    <row r="648" spans="1:16" x14ac:dyDescent="0.3">
      <c r="A648" s="3" t="s">
        <v>4139</v>
      </c>
      <c r="B648" s="5">
        <v>44532</v>
      </c>
      <c r="C648" s="3" t="s">
        <v>4140</v>
      </c>
      <c r="D648" s="4" t="s">
        <v>6147</v>
      </c>
      <c r="E648" s="3">
        <v>1</v>
      </c>
      <c r="F648" s="3" t="str">
        <f>_xlfn.XLOOKUP(C648,customers!$A$1:$A$1001,customers!$B$1:$B$1001,,0)</f>
        <v>Dottie Rallin</v>
      </c>
      <c r="G648" s="3" t="str">
        <f>IF(_xlfn.XLOOKUP(C648,customers!$A$1:$A$1001,customers!$C$1:$C$1001,,0)=0,"", _xlfn.XLOOKUP(C648,customers!$A$1:$A$1001,customers!$C$1:$C$1001,,0))</f>
        <v>drallinhy@howstuffworks.com</v>
      </c>
      <c r="H648" s="3" t="str">
        <f>_xlfn.XLOOKUP(C648,customers!$A$1:$A$1001,customers!$G$1:$G$1001,,0)</f>
        <v>United States</v>
      </c>
      <c r="I648" s="4" t="str">
        <f>INDEX(products!$A$1:$G$49,MATCH(orders!$D648,products!$A$1:$A$49,0),MATCH(orders!I$1,products!$A$1:$G$1,0))</f>
        <v>Ara</v>
      </c>
      <c r="J648" s="4" t="str">
        <f>INDEX(products!$A$1:$G$49,MATCH(orders!$D648,products!$A$1:$A$49,0),MATCH(orders!J$1,products!$A$1:$G$1,0))</f>
        <v>D</v>
      </c>
      <c r="K648" s="6">
        <f>INDEX(products!$A$1:$G$49,MATCH(orders!$D648,products!$A$1:$A$49,0),MATCH(orders!K$1,products!$A$1:$G$1,0))</f>
        <v>1</v>
      </c>
      <c r="L648" s="7">
        <f>INDEX(products!$A$1:$G$49,MATCH(orders!$D648,products!$A$1:$A$49,0),MATCH(orders!L$1,products!$A$1:$G$1,0))</f>
        <v>9.9499999999999993</v>
      </c>
      <c r="M648" s="7">
        <f t="shared" si="10"/>
        <v>9.9499999999999993</v>
      </c>
      <c r="N648" s="4" t="str" cm="1">
        <f t="array" ref="N648">_xlfn.IFS(I648="Rob","Robusta",I648="Exc","Excelsa",I648="Ara","Arabica",I648="Lib","Liberica")</f>
        <v>Arabica</v>
      </c>
      <c r="O648" s="4" t="str" cm="1">
        <f t="array" ref="O648">_xlfn.IFS(J648="M","Medium",J648="L","Light",J648="D","Dark")</f>
        <v>Dark</v>
      </c>
      <c r="P648" s="4" t="str">
        <f>_xlfn.XLOOKUP(CoffeeOrderstable[[#This Row],[Customer ID]],customers!$A$1:$A$1001,customers!$I$1:$I$1001,,0)</f>
        <v>Yes</v>
      </c>
    </row>
    <row r="649" spans="1:16" x14ac:dyDescent="0.3">
      <c r="A649" s="3" t="s">
        <v>4145</v>
      </c>
      <c r="B649" s="5">
        <v>44502</v>
      </c>
      <c r="C649" s="3" t="s">
        <v>4146</v>
      </c>
      <c r="D649" s="4" t="s">
        <v>6161</v>
      </c>
      <c r="E649" s="3">
        <v>3</v>
      </c>
      <c r="F649" s="3" t="str">
        <f>_xlfn.XLOOKUP(C649,customers!$A$1:$A$1001,customers!$B$1:$B$1001,,0)</f>
        <v>Ardith Chill</v>
      </c>
      <c r="G649" s="3" t="str">
        <f>IF(_xlfn.XLOOKUP(C649,customers!$A$1:$A$1001,customers!$C$1:$C$1001,,0)=0,"", _xlfn.XLOOKUP(C649,customers!$A$1:$A$1001,customers!$C$1:$C$1001,,0))</f>
        <v>achillhz@epa.gov</v>
      </c>
      <c r="H649" s="3" t="str">
        <f>_xlfn.XLOOKUP(C649,customers!$A$1:$A$1001,customers!$G$1:$G$1001,,0)</f>
        <v>United Kingdom</v>
      </c>
      <c r="I649" s="4" t="str">
        <f>INDEX(products!$A$1:$G$49,MATCH(orders!$D649,products!$A$1:$A$49,0),MATCH(orders!I$1,products!$A$1:$G$1,0))</f>
        <v>Lib</v>
      </c>
      <c r="J649" s="4" t="str">
        <f>INDEX(products!$A$1:$G$49,MATCH(orders!$D649,products!$A$1:$A$49,0),MATCH(orders!J$1,products!$A$1:$G$1,0))</f>
        <v>L</v>
      </c>
      <c r="K649" s="6">
        <f>INDEX(products!$A$1:$G$49,MATCH(orders!$D649,products!$A$1:$A$49,0),MATCH(orders!K$1,products!$A$1:$G$1,0))</f>
        <v>0.5</v>
      </c>
      <c r="L649" s="7">
        <f>INDEX(products!$A$1:$G$49,MATCH(orders!$D649,products!$A$1:$A$49,0),MATCH(orders!L$1,products!$A$1:$G$1,0))</f>
        <v>9.51</v>
      </c>
      <c r="M649" s="7">
        <f t="shared" si="10"/>
        <v>28.53</v>
      </c>
      <c r="N649" s="4" t="str" cm="1">
        <f t="array" ref="N649">_xlfn.IFS(I649="Rob","Robusta",I649="Exc","Excelsa",I649="Ara","Arabica",I649="Lib","Liberica")</f>
        <v>Liberica</v>
      </c>
      <c r="O649" s="4" t="str" cm="1">
        <f t="array" ref="O649">_xlfn.IFS(J649="M","Medium",J649="L","Light",J649="D","Dark")</f>
        <v>Light</v>
      </c>
      <c r="P649" s="4" t="str">
        <f>_xlfn.XLOOKUP(CoffeeOrderstable[[#This Row],[Customer ID]],customers!$A$1:$A$1001,customers!$I$1:$I$1001,,0)</f>
        <v>Yes</v>
      </c>
    </row>
    <row r="650" spans="1:16" x14ac:dyDescent="0.3">
      <c r="A650" s="3" t="s">
        <v>4151</v>
      </c>
      <c r="B650" s="5">
        <v>43884</v>
      </c>
      <c r="C650" s="3" t="s">
        <v>4152</v>
      </c>
      <c r="D650" s="4" t="s">
        <v>6163</v>
      </c>
      <c r="E650" s="3">
        <v>6</v>
      </c>
      <c r="F650" s="3" t="str">
        <f>_xlfn.XLOOKUP(C650,customers!$A$1:$A$1001,customers!$B$1:$B$1001,,0)</f>
        <v>Tuckie Mathonnet</v>
      </c>
      <c r="G650" s="3" t="str">
        <f>IF(_xlfn.XLOOKUP(C650,customers!$A$1:$A$1001,customers!$C$1:$C$1001,,0)=0,"", _xlfn.XLOOKUP(C650,customers!$A$1:$A$1001,customers!$C$1:$C$1001,,0))</f>
        <v>tmathonneti0@google.co.jp</v>
      </c>
      <c r="H650" s="3" t="str">
        <f>_xlfn.XLOOKUP(C650,customers!$A$1:$A$1001,customers!$G$1:$G$1001,,0)</f>
        <v>United States</v>
      </c>
      <c r="I650" s="4" t="str">
        <f>INDEX(products!$A$1:$G$49,MATCH(orders!$D650,products!$A$1:$A$49,0),MATCH(orders!I$1,products!$A$1:$G$1,0))</f>
        <v>Rob</v>
      </c>
      <c r="J650" s="4" t="str">
        <f>INDEX(products!$A$1:$G$49,MATCH(orders!$D650,products!$A$1:$A$49,0),MATCH(orders!J$1,products!$A$1:$G$1,0))</f>
        <v>D</v>
      </c>
      <c r="K650" s="6">
        <f>INDEX(products!$A$1:$G$49,MATCH(orders!$D650,products!$A$1:$A$49,0),MATCH(orders!K$1,products!$A$1:$G$1,0))</f>
        <v>0.2</v>
      </c>
      <c r="L650" s="7">
        <f>INDEX(products!$A$1:$G$49,MATCH(orders!$D650,products!$A$1:$A$49,0),MATCH(orders!L$1,products!$A$1:$G$1,0))</f>
        <v>2.6849999999999996</v>
      </c>
      <c r="M650" s="7">
        <f t="shared" si="10"/>
        <v>16.11</v>
      </c>
      <c r="N650" s="4" t="str" cm="1">
        <f t="array" ref="N650">_xlfn.IFS(I650="Rob","Robusta",I650="Exc","Excelsa",I650="Ara","Arabica",I650="Lib","Liberica")</f>
        <v>Robusta</v>
      </c>
      <c r="O650" s="4" t="str" cm="1">
        <f t="array" ref="O650">_xlfn.IFS(J650="M","Medium",J650="L","Light",J650="D","Dark")</f>
        <v>Dark</v>
      </c>
      <c r="P650" s="4" t="str">
        <f>_xlfn.XLOOKUP(CoffeeOrderstable[[#This Row],[Customer ID]],customers!$A$1:$A$1001,customers!$I$1:$I$1001,,0)</f>
        <v>No</v>
      </c>
    </row>
    <row r="651" spans="1:16" x14ac:dyDescent="0.3">
      <c r="A651" s="3" t="s">
        <v>4157</v>
      </c>
      <c r="B651" s="5">
        <v>44015</v>
      </c>
      <c r="C651" s="3" t="s">
        <v>4158</v>
      </c>
      <c r="D651" s="4" t="s">
        <v>6170</v>
      </c>
      <c r="E651" s="3">
        <v>6</v>
      </c>
      <c r="F651" s="3" t="str">
        <f>_xlfn.XLOOKUP(C651,customers!$A$1:$A$1001,customers!$B$1:$B$1001,,0)</f>
        <v>Charmane Denys</v>
      </c>
      <c r="G651" s="3" t="str">
        <f>IF(_xlfn.XLOOKUP(C651,customers!$A$1:$A$1001,customers!$C$1:$C$1001,,0)=0,"", _xlfn.XLOOKUP(C651,customers!$A$1:$A$1001,customers!$C$1:$C$1001,,0))</f>
        <v>cdenysi1@is.gd</v>
      </c>
      <c r="H651" s="3" t="str">
        <f>_xlfn.XLOOKUP(C651,customers!$A$1:$A$1001,customers!$G$1:$G$1001,,0)</f>
        <v>United Kingdom</v>
      </c>
      <c r="I651" s="4" t="str">
        <f>INDEX(products!$A$1:$G$49,MATCH(orders!$D651,products!$A$1:$A$49,0),MATCH(orders!I$1,products!$A$1:$G$1,0))</f>
        <v>Lib</v>
      </c>
      <c r="J651" s="4" t="str">
        <f>INDEX(products!$A$1:$G$49,MATCH(orders!$D651,products!$A$1:$A$49,0),MATCH(orders!J$1,products!$A$1:$G$1,0))</f>
        <v>L</v>
      </c>
      <c r="K651" s="6">
        <f>INDEX(products!$A$1:$G$49,MATCH(orders!$D651,products!$A$1:$A$49,0),MATCH(orders!K$1,products!$A$1:$G$1,0))</f>
        <v>1</v>
      </c>
      <c r="L651" s="7">
        <f>INDEX(products!$A$1:$G$49,MATCH(orders!$D651,products!$A$1:$A$49,0),MATCH(orders!L$1,products!$A$1:$G$1,0))</f>
        <v>15.85</v>
      </c>
      <c r="M651" s="7">
        <f t="shared" si="10"/>
        <v>95.1</v>
      </c>
      <c r="N651" s="4" t="str" cm="1">
        <f t="array" ref="N651">_xlfn.IFS(I651="Rob","Robusta",I651="Exc","Excelsa",I651="Ara","Arabica",I651="Lib","Liberica")</f>
        <v>Liberica</v>
      </c>
      <c r="O651" s="4" t="str" cm="1">
        <f t="array" ref="O651">_xlfn.IFS(J651="M","Medium",J651="L","Light",J651="D","Dark")</f>
        <v>Light</v>
      </c>
      <c r="P651" s="4" t="str">
        <f>_xlfn.XLOOKUP(CoffeeOrderstable[[#This Row],[Customer ID]],customers!$A$1:$A$1001,customers!$I$1:$I$1001,,0)</f>
        <v>No</v>
      </c>
    </row>
    <row r="652" spans="1:16" x14ac:dyDescent="0.3">
      <c r="A652" s="3" t="s">
        <v>4163</v>
      </c>
      <c r="B652" s="5">
        <v>43507</v>
      </c>
      <c r="C652" s="3" t="s">
        <v>4164</v>
      </c>
      <c r="D652" s="4" t="s">
        <v>6172</v>
      </c>
      <c r="E652" s="3">
        <v>1</v>
      </c>
      <c r="F652" s="3" t="str">
        <f>_xlfn.XLOOKUP(C652,customers!$A$1:$A$1001,customers!$B$1:$B$1001,,0)</f>
        <v>Cecily Stebbings</v>
      </c>
      <c r="G652" s="3" t="str">
        <f>IF(_xlfn.XLOOKUP(C652,customers!$A$1:$A$1001,customers!$C$1:$C$1001,,0)=0,"", _xlfn.XLOOKUP(C652,customers!$A$1:$A$1001,customers!$C$1:$C$1001,,0))</f>
        <v>cstebbingsi2@drupal.org</v>
      </c>
      <c r="H652" s="3" t="str">
        <f>_xlfn.XLOOKUP(C652,customers!$A$1:$A$1001,customers!$G$1:$G$1001,,0)</f>
        <v>United States</v>
      </c>
      <c r="I652" s="4" t="str">
        <f>INDEX(products!$A$1:$G$49,MATCH(orders!$D652,products!$A$1:$A$49,0),MATCH(orders!I$1,products!$A$1:$G$1,0))</f>
        <v>Rob</v>
      </c>
      <c r="J652" s="4" t="str">
        <f>INDEX(products!$A$1:$G$49,MATCH(orders!$D652,products!$A$1:$A$49,0),MATCH(orders!J$1,products!$A$1:$G$1,0))</f>
        <v>D</v>
      </c>
      <c r="K652" s="6">
        <f>INDEX(products!$A$1:$G$49,MATCH(orders!$D652,products!$A$1:$A$49,0),MATCH(orders!K$1,products!$A$1:$G$1,0))</f>
        <v>0.5</v>
      </c>
      <c r="L652" s="7">
        <f>INDEX(products!$A$1:$G$49,MATCH(orders!$D652,products!$A$1:$A$49,0),MATCH(orders!L$1,products!$A$1:$G$1,0))</f>
        <v>5.3699999999999992</v>
      </c>
      <c r="M652" s="7">
        <f t="shared" si="10"/>
        <v>5.3699999999999992</v>
      </c>
      <c r="N652" s="4" t="str" cm="1">
        <f t="array" ref="N652">_xlfn.IFS(I652="Rob","Robusta",I652="Exc","Excelsa",I652="Ara","Arabica",I652="Lib","Liberica")</f>
        <v>Robusta</v>
      </c>
      <c r="O652" s="4" t="str" cm="1">
        <f t="array" ref="O652">_xlfn.IFS(J652="M","Medium",J652="L","Light",J652="D","Dark")</f>
        <v>Dark</v>
      </c>
      <c r="P652" s="4" t="str">
        <f>_xlfn.XLOOKUP(CoffeeOrderstable[[#This Row],[Customer ID]],customers!$A$1:$A$1001,customers!$I$1:$I$1001,,0)</f>
        <v>Yes</v>
      </c>
    </row>
    <row r="653" spans="1:16" x14ac:dyDescent="0.3">
      <c r="A653" s="3" t="s">
        <v>4169</v>
      </c>
      <c r="B653" s="5">
        <v>44084</v>
      </c>
      <c r="C653" s="3" t="s">
        <v>4170</v>
      </c>
      <c r="D653" s="4" t="s">
        <v>6179</v>
      </c>
      <c r="E653" s="3">
        <v>4</v>
      </c>
      <c r="F653" s="3" t="str">
        <f>_xlfn.XLOOKUP(C653,customers!$A$1:$A$1001,customers!$B$1:$B$1001,,0)</f>
        <v>Giana Tonnesen</v>
      </c>
      <c r="G653" s="3" t="str">
        <f>IF(_xlfn.XLOOKUP(C653,customers!$A$1:$A$1001,customers!$C$1:$C$1001,,0)=0,"", _xlfn.XLOOKUP(C653,customers!$A$1:$A$1001,customers!$C$1:$C$1001,,0))</f>
        <v/>
      </c>
      <c r="H653" s="3" t="str">
        <f>_xlfn.XLOOKUP(C653,customers!$A$1:$A$1001,customers!$G$1:$G$1001,,0)</f>
        <v>United States</v>
      </c>
      <c r="I653" s="4" t="str">
        <f>INDEX(products!$A$1:$G$49,MATCH(orders!$D653,products!$A$1:$A$49,0),MATCH(orders!I$1,products!$A$1:$G$1,0))</f>
        <v>Rob</v>
      </c>
      <c r="J653" s="4" t="str">
        <f>INDEX(products!$A$1:$G$49,MATCH(orders!$D653,products!$A$1:$A$49,0),MATCH(orders!J$1,products!$A$1:$G$1,0))</f>
        <v>L</v>
      </c>
      <c r="K653" s="6">
        <f>INDEX(products!$A$1:$G$49,MATCH(orders!$D653,products!$A$1:$A$49,0),MATCH(orders!K$1,products!$A$1:$G$1,0))</f>
        <v>1</v>
      </c>
      <c r="L653" s="7">
        <f>INDEX(products!$A$1:$G$49,MATCH(orders!$D653,products!$A$1:$A$49,0),MATCH(orders!L$1,products!$A$1:$G$1,0))</f>
        <v>11.95</v>
      </c>
      <c r="M653" s="7">
        <f t="shared" si="10"/>
        <v>47.8</v>
      </c>
      <c r="N653" s="4" t="str" cm="1">
        <f t="array" ref="N653">_xlfn.IFS(I653="Rob","Robusta",I653="Exc","Excelsa",I653="Ara","Arabica",I653="Lib","Liberica")</f>
        <v>Robusta</v>
      </c>
      <c r="O653" s="4" t="str" cm="1">
        <f t="array" ref="O653">_xlfn.IFS(J653="M","Medium",J653="L","Light",J653="D","Dark")</f>
        <v>Light</v>
      </c>
      <c r="P653" s="4" t="str">
        <f>_xlfn.XLOOKUP(CoffeeOrderstable[[#This Row],[Customer ID]],customers!$A$1:$A$1001,customers!$I$1:$I$1001,,0)</f>
        <v>No</v>
      </c>
    </row>
    <row r="654" spans="1:16" x14ac:dyDescent="0.3">
      <c r="A654" s="3" t="s">
        <v>4174</v>
      </c>
      <c r="B654" s="5">
        <v>43892</v>
      </c>
      <c r="C654" s="3" t="s">
        <v>4175</v>
      </c>
      <c r="D654" s="4" t="s">
        <v>6170</v>
      </c>
      <c r="E654" s="3">
        <v>4</v>
      </c>
      <c r="F654" s="3" t="str">
        <f>_xlfn.XLOOKUP(C654,customers!$A$1:$A$1001,customers!$B$1:$B$1001,,0)</f>
        <v>Rhetta Zywicki</v>
      </c>
      <c r="G654" s="3" t="str">
        <f>IF(_xlfn.XLOOKUP(C654,customers!$A$1:$A$1001,customers!$C$1:$C$1001,,0)=0,"", _xlfn.XLOOKUP(C654,customers!$A$1:$A$1001,customers!$C$1:$C$1001,,0))</f>
        <v>rzywickii4@ifeng.com</v>
      </c>
      <c r="H654" s="3" t="str">
        <f>_xlfn.XLOOKUP(C654,customers!$A$1:$A$1001,customers!$G$1:$G$1001,,0)</f>
        <v>Ireland</v>
      </c>
      <c r="I654" s="4" t="str">
        <f>INDEX(products!$A$1:$G$49,MATCH(orders!$D654,products!$A$1:$A$49,0),MATCH(orders!I$1,products!$A$1:$G$1,0))</f>
        <v>Lib</v>
      </c>
      <c r="J654" s="4" t="str">
        <f>INDEX(products!$A$1:$G$49,MATCH(orders!$D654,products!$A$1:$A$49,0),MATCH(orders!J$1,products!$A$1:$G$1,0))</f>
        <v>L</v>
      </c>
      <c r="K654" s="6">
        <f>INDEX(products!$A$1:$G$49,MATCH(orders!$D654,products!$A$1:$A$49,0),MATCH(orders!K$1,products!$A$1:$G$1,0))</f>
        <v>1</v>
      </c>
      <c r="L654" s="7">
        <f>INDEX(products!$A$1:$G$49,MATCH(orders!$D654,products!$A$1:$A$49,0),MATCH(orders!L$1,products!$A$1:$G$1,0))</f>
        <v>15.85</v>
      </c>
      <c r="M654" s="7">
        <f t="shared" si="10"/>
        <v>63.4</v>
      </c>
      <c r="N654" s="4" t="str" cm="1">
        <f t="array" ref="N654">_xlfn.IFS(I654="Rob","Robusta",I654="Exc","Excelsa",I654="Ara","Arabica",I654="Lib","Liberica")</f>
        <v>Liberica</v>
      </c>
      <c r="O654" s="4" t="str" cm="1">
        <f t="array" ref="O654">_xlfn.IFS(J654="M","Medium",J654="L","Light",J654="D","Dark")</f>
        <v>Light</v>
      </c>
      <c r="P654" s="4" t="str">
        <f>_xlfn.XLOOKUP(CoffeeOrderstable[[#This Row],[Customer ID]],customers!$A$1:$A$1001,customers!$I$1:$I$1001,,0)</f>
        <v>No</v>
      </c>
    </row>
    <row r="655" spans="1:16" x14ac:dyDescent="0.3">
      <c r="A655" s="3" t="s">
        <v>4179</v>
      </c>
      <c r="B655" s="5">
        <v>44375</v>
      </c>
      <c r="C655" s="3" t="s">
        <v>4180</v>
      </c>
      <c r="D655" s="4" t="s">
        <v>6175</v>
      </c>
      <c r="E655" s="3">
        <v>4</v>
      </c>
      <c r="F655" s="3" t="str">
        <f>_xlfn.XLOOKUP(C655,customers!$A$1:$A$1001,customers!$B$1:$B$1001,,0)</f>
        <v>Almeria Burgett</v>
      </c>
      <c r="G655" s="3" t="str">
        <f>IF(_xlfn.XLOOKUP(C655,customers!$A$1:$A$1001,customers!$C$1:$C$1001,,0)=0,"", _xlfn.XLOOKUP(C655,customers!$A$1:$A$1001,customers!$C$1:$C$1001,,0))</f>
        <v>aburgetti5@moonfruit.com</v>
      </c>
      <c r="H655" s="3" t="str">
        <f>_xlfn.XLOOKUP(C655,customers!$A$1:$A$1001,customers!$G$1:$G$1001,,0)</f>
        <v>United States</v>
      </c>
      <c r="I655" s="4" t="str">
        <f>INDEX(products!$A$1:$G$49,MATCH(orders!$D655,products!$A$1:$A$49,0),MATCH(orders!I$1,products!$A$1:$G$1,0))</f>
        <v>Ara</v>
      </c>
      <c r="J655" s="4" t="str">
        <f>INDEX(products!$A$1:$G$49,MATCH(orders!$D655,products!$A$1:$A$49,0),MATCH(orders!J$1,products!$A$1:$G$1,0))</f>
        <v>M</v>
      </c>
      <c r="K655" s="6">
        <f>INDEX(products!$A$1:$G$49,MATCH(orders!$D655,products!$A$1:$A$49,0),MATCH(orders!K$1,products!$A$1:$G$1,0))</f>
        <v>2.5</v>
      </c>
      <c r="L655" s="7">
        <f>INDEX(products!$A$1:$G$49,MATCH(orders!$D655,products!$A$1:$A$49,0),MATCH(orders!L$1,products!$A$1:$G$1,0))</f>
        <v>25.874999999999996</v>
      </c>
      <c r="M655" s="7">
        <f t="shared" si="10"/>
        <v>103.49999999999999</v>
      </c>
      <c r="N655" s="4" t="str" cm="1">
        <f t="array" ref="N655">_xlfn.IFS(I655="Rob","Robusta",I655="Exc","Excelsa",I655="Ara","Arabica",I655="Lib","Liberica")</f>
        <v>Arabica</v>
      </c>
      <c r="O655" s="4" t="str" cm="1">
        <f t="array" ref="O655">_xlfn.IFS(J655="M","Medium",J655="L","Light",J655="D","Dark")</f>
        <v>Medium</v>
      </c>
      <c r="P655" s="4" t="str">
        <f>_xlfn.XLOOKUP(CoffeeOrderstable[[#This Row],[Customer ID]],customers!$A$1:$A$1001,customers!$I$1:$I$1001,,0)</f>
        <v>No</v>
      </c>
    </row>
    <row r="656" spans="1:16" x14ac:dyDescent="0.3">
      <c r="A656" s="3" t="s">
        <v>4185</v>
      </c>
      <c r="B656" s="5">
        <v>43476</v>
      </c>
      <c r="C656" s="3" t="s">
        <v>4186</v>
      </c>
      <c r="D656" s="4" t="s">
        <v>6168</v>
      </c>
      <c r="E656" s="3">
        <v>3</v>
      </c>
      <c r="F656" s="3" t="str">
        <f>_xlfn.XLOOKUP(C656,customers!$A$1:$A$1001,customers!$B$1:$B$1001,,0)</f>
        <v>Marvin Malloy</v>
      </c>
      <c r="G656" s="3" t="str">
        <f>IF(_xlfn.XLOOKUP(C656,customers!$A$1:$A$1001,customers!$C$1:$C$1001,,0)=0,"", _xlfn.XLOOKUP(C656,customers!$A$1:$A$1001,customers!$C$1:$C$1001,,0))</f>
        <v>mmalloyi6@seattletimes.com</v>
      </c>
      <c r="H656" s="3" t="str">
        <f>_xlfn.XLOOKUP(C656,customers!$A$1:$A$1001,customers!$G$1:$G$1001,,0)</f>
        <v>United States</v>
      </c>
      <c r="I656" s="4" t="str">
        <f>INDEX(products!$A$1:$G$49,MATCH(orders!$D656,products!$A$1:$A$49,0),MATCH(orders!I$1,products!$A$1:$G$1,0))</f>
        <v>Ara</v>
      </c>
      <c r="J656" s="4" t="str">
        <f>INDEX(products!$A$1:$G$49,MATCH(orders!$D656,products!$A$1:$A$49,0),MATCH(orders!J$1,products!$A$1:$G$1,0))</f>
        <v>D</v>
      </c>
      <c r="K656" s="6">
        <f>INDEX(products!$A$1:$G$49,MATCH(orders!$D656,products!$A$1:$A$49,0),MATCH(orders!K$1,products!$A$1:$G$1,0))</f>
        <v>2.5</v>
      </c>
      <c r="L656" s="7">
        <f>INDEX(products!$A$1:$G$49,MATCH(orders!$D656,products!$A$1:$A$49,0),MATCH(orders!L$1,products!$A$1:$G$1,0))</f>
        <v>22.884999999999998</v>
      </c>
      <c r="M656" s="7">
        <f t="shared" si="10"/>
        <v>68.655000000000001</v>
      </c>
      <c r="N656" s="4" t="str" cm="1">
        <f t="array" ref="N656">_xlfn.IFS(I656="Rob","Robusta",I656="Exc","Excelsa",I656="Ara","Arabica",I656="Lib","Liberica")</f>
        <v>Arabica</v>
      </c>
      <c r="O656" s="4" t="str" cm="1">
        <f t="array" ref="O656">_xlfn.IFS(J656="M","Medium",J656="L","Light",J656="D","Dark")</f>
        <v>Dark</v>
      </c>
      <c r="P656" s="4" t="str">
        <f>_xlfn.XLOOKUP(CoffeeOrderstable[[#This Row],[Customer ID]],customers!$A$1:$A$1001,customers!$I$1:$I$1001,,0)</f>
        <v>No</v>
      </c>
    </row>
    <row r="657" spans="1:16" x14ac:dyDescent="0.3">
      <c r="A657" s="3" t="s">
        <v>4191</v>
      </c>
      <c r="B657" s="5">
        <v>43728</v>
      </c>
      <c r="C657" s="3" t="s">
        <v>4192</v>
      </c>
      <c r="D657" s="4" t="s">
        <v>6151</v>
      </c>
      <c r="E657" s="3">
        <v>2</v>
      </c>
      <c r="F657" s="3" t="str">
        <f>_xlfn.XLOOKUP(C657,customers!$A$1:$A$1001,customers!$B$1:$B$1001,,0)</f>
        <v>Maxim McParland</v>
      </c>
      <c r="G657" s="3" t="str">
        <f>IF(_xlfn.XLOOKUP(C657,customers!$A$1:$A$1001,customers!$C$1:$C$1001,,0)=0,"", _xlfn.XLOOKUP(C657,customers!$A$1:$A$1001,customers!$C$1:$C$1001,,0))</f>
        <v>mmcparlandi7@w3.org</v>
      </c>
      <c r="H657" s="3" t="str">
        <f>_xlfn.XLOOKUP(C657,customers!$A$1:$A$1001,customers!$G$1:$G$1001,,0)</f>
        <v>United States</v>
      </c>
      <c r="I657" s="4" t="str">
        <f>INDEX(products!$A$1:$G$49,MATCH(orders!$D657,products!$A$1:$A$49,0),MATCH(orders!I$1,products!$A$1:$G$1,0))</f>
        <v>Rob</v>
      </c>
      <c r="J657" s="4" t="str">
        <f>INDEX(products!$A$1:$G$49,MATCH(orders!$D657,products!$A$1:$A$49,0),MATCH(orders!J$1,products!$A$1:$G$1,0))</f>
        <v>M</v>
      </c>
      <c r="K657" s="6">
        <f>INDEX(products!$A$1:$G$49,MATCH(orders!$D657,products!$A$1:$A$49,0),MATCH(orders!K$1,products!$A$1:$G$1,0))</f>
        <v>2.5</v>
      </c>
      <c r="L657" s="7">
        <f>INDEX(products!$A$1:$G$49,MATCH(orders!$D657,products!$A$1:$A$49,0),MATCH(orders!L$1,products!$A$1:$G$1,0))</f>
        <v>22.884999999999998</v>
      </c>
      <c r="M657" s="7">
        <f t="shared" si="10"/>
        <v>45.769999999999996</v>
      </c>
      <c r="N657" s="4" t="str" cm="1">
        <f t="array" ref="N657">_xlfn.IFS(I657="Rob","Robusta",I657="Exc","Excelsa",I657="Ara","Arabica",I657="Lib","Liberica")</f>
        <v>Robusta</v>
      </c>
      <c r="O657" s="4" t="str" cm="1">
        <f t="array" ref="O657">_xlfn.IFS(J657="M","Medium",J657="L","Light",J657="D","Dark")</f>
        <v>Medium</v>
      </c>
      <c r="P657" s="4" t="str">
        <f>_xlfn.XLOOKUP(CoffeeOrderstable[[#This Row],[Customer ID]],customers!$A$1:$A$1001,customers!$I$1:$I$1001,,0)</f>
        <v>Yes</v>
      </c>
    </row>
    <row r="658" spans="1:16" x14ac:dyDescent="0.3">
      <c r="A658" s="3" t="s">
        <v>4196</v>
      </c>
      <c r="B658" s="5">
        <v>44485</v>
      </c>
      <c r="C658" s="3" t="s">
        <v>4197</v>
      </c>
      <c r="D658" s="4" t="s">
        <v>6143</v>
      </c>
      <c r="E658" s="3">
        <v>4</v>
      </c>
      <c r="F658" s="3" t="str">
        <f>_xlfn.XLOOKUP(C658,customers!$A$1:$A$1001,customers!$B$1:$B$1001,,0)</f>
        <v>Sylas Jennaroy</v>
      </c>
      <c r="G658" s="3" t="str">
        <f>IF(_xlfn.XLOOKUP(C658,customers!$A$1:$A$1001,customers!$C$1:$C$1001,,0)=0,"", _xlfn.XLOOKUP(C658,customers!$A$1:$A$1001,customers!$C$1:$C$1001,,0))</f>
        <v>sjennaroyi8@purevolume.com</v>
      </c>
      <c r="H658" s="3" t="str">
        <f>_xlfn.XLOOKUP(C658,customers!$A$1:$A$1001,customers!$G$1:$G$1001,,0)</f>
        <v>United States</v>
      </c>
      <c r="I658" s="4" t="str">
        <f>INDEX(products!$A$1:$G$49,MATCH(orders!$D658,products!$A$1:$A$49,0),MATCH(orders!I$1,products!$A$1:$G$1,0))</f>
        <v>Lib</v>
      </c>
      <c r="J658" s="4" t="str">
        <f>INDEX(products!$A$1:$G$49,MATCH(orders!$D658,products!$A$1:$A$49,0),MATCH(orders!J$1,products!$A$1:$G$1,0))</f>
        <v>D</v>
      </c>
      <c r="K658" s="6">
        <f>INDEX(products!$A$1:$G$49,MATCH(orders!$D658,products!$A$1:$A$49,0),MATCH(orders!K$1,products!$A$1:$G$1,0))</f>
        <v>1</v>
      </c>
      <c r="L658" s="7">
        <f>INDEX(products!$A$1:$G$49,MATCH(orders!$D658,products!$A$1:$A$49,0),MATCH(orders!L$1,products!$A$1:$G$1,0))</f>
        <v>12.95</v>
      </c>
      <c r="M658" s="7">
        <f t="shared" si="10"/>
        <v>51.8</v>
      </c>
      <c r="N658" s="4" t="str" cm="1">
        <f t="array" ref="N658">_xlfn.IFS(I658="Rob","Robusta",I658="Exc","Excelsa",I658="Ara","Arabica",I658="Lib","Liberica")</f>
        <v>Liberica</v>
      </c>
      <c r="O658" s="4" t="str" cm="1">
        <f t="array" ref="O658">_xlfn.IFS(J658="M","Medium",J658="L","Light",J658="D","Dark")</f>
        <v>Dark</v>
      </c>
      <c r="P658" s="4" t="str">
        <f>_xlfn.XLOOKUP(CoffeeOrderstable[[#This Row],[Customer ID]],customers!$A$1:$A$1001,customers!$I$1:$I$1001,,0)</f>
        <v>No</v>
      </c>
    </row>
    <row r="659" spans="1:16" x14ac:dyDescent="0.3">
      <c r="A659" s="3" t="s">
        <v>4201</v>
      </c>
      <c r="B659" s="5">
        <v>43831</v>
      </c>
      <c r="C659" s="3" t="s">
        <v>4202</v>
      </c>
      <c r="D659" s="4" t="s">
        <v>6157</v>
      </c>
      <c r="E659" s="3">
        <v>2</v>
      </c>
      <c r="F659" s="3" t="str">
        <f>_xlfn.XLOOKUP(C659,customers!$A$1:$A$1001,customers!$B$1:$B$1001,,0)</f>
        <v>Wren Place</v>
      </c>
      <c r="G659" s="3" t="str">
        <f>IF(_xlfn.XLOOKUP(C659,customers!$A$1:$A$1001,customers!$C$1:$C$1001,,0)=0,"", _xlfn.XLOOKUP(C659,customers!$A$1:$A$1001,customers!$C$1:$C$1001,,0))</f>
        <v>wplacei9@wsj.com</v>
      </c>
      <c r="H659" s="3" t="str">
        <f>_xlfn.XLOOKUP(C659,customers!$A$1:$A$1001,customers!$G$1:$G$1001,,0)</f>
        <v>United States</v>
      </c>
      <c r="I659" s="4" t="str">
        <f>INDEX(products!$A$1:$G$49,MATCH(orders!$D659,products!$A$1:$A$49,0),MATCH(orders!I$1,products!$A$1:$G$1,0))</f>
        <v>Ara</v>
      </c>
      <c r="J659" s="4" t="str">
        <f>INDEX(products!$A$1:$G$49,MATCH(orders!$D659,products!$A$1:$A$49,0),MATCH(orders!J$1,products!$A$1:$G$1,0))</f>
        <v>M</v>
      </c>
      <c r="K659" s="6">
        <f>INDEX(products!$A$1:$G$49,MATCH(orders!$D659,products!$A$1:$A$49,0),MATCH(orders!K$1,products!$A$1:$G$1,0))</f>
        <v>0.5</v>
      </c>
      <c r="L659" s="7">
        <f>INDEX(products!$A$1:$G$49,MATCH(orders!$D659,products!$A$1:$A$49,0),MATCH(orders!L$1,products!$A$1:$G$1,0))</f>
        <v>6.75</v>
      </c>
      <c r="M659" s="7">
        <f t="shared" si="10"/>
        <v>13.5</v>
      </c>
      <c r="N659" s="4" t="str" cm="1">
        <f t="array" ref="N659">_xlfn.IFS(I659="Rob","Robusta",I659="Exc","Excelsa",I659="Ara","Arabica",I659="Lib","Liberica")</f>
        <v>Arabica</v>
      </c>
      <c r="O659" s="4" t="str" cm="1">
        <f t="array" ref="O659">_xlfn.IFS(J659="M","Medium",J659="L","Light",J659="D","Dark")</f>
        <v>Medium</v>
      </c>
      <c r="P659" s="4" t="str">
        <f>_xlfn.XLOOKUP(CoffeeOrderstable[[#This Row],[Customer ID]],customers!$A$1:$A$1001,customers!$I$1:$I$1001,,0)</f>
        <v>Yes</v>
      </c>
    </row>
    <row r="660" spans="1:16" x14ac:dyDescent="0.3">
      <c r="A660" s="3" t="s">
        <v>4207</v>
      </c>
      <c r="B660" s="5">
        <v>44630</v>
      </c>
      <c r="C660" s="3" t="s">
        <v>4263</v>
      </c>
      <c r="D660" s="4" t="s">
        <v>6139</v>
      </c>
      <c r="E660" s="3">
        <v>3</v>
      </c>
      <c r="F660" s="3" t="str">
        <f>_xlfn.XLOOKUP(C660,customers!$A$1:$A$1001,customers!$B$1:$B$1001,,0)</f>
        <v>Janella Millett</v>
      </c>
      <c r="G660" s="3" t="str">
        <f>IF(_xlfn.XLOOKUP(C660,customers!$A$1:$A$1001,customers!$C$1:$C$1001,,0)=0,"", _xlfn.XLOOKUP(C660,customers!$A$1:$A$1001,customers!$C$1:$C$1001,,0))</f>
        <v>jmillettik@addtoany.com</v>
      </c>
      <c r="H660" s="3" t="str">
        <f>_xlfn.XLOOKUP(C660,customers!$A$1:$A$1001,customers!$G$1:$G$1001,,0)</f>
        <v>United States</v>
      </c>
      <c r="I660" s="4" t="str">
        <f>INDEX(products!$A$1:$G$49,MATCH(orders!$D660,products!$A$1:$A$49,0),MATCH(orders!I$1,products!$A$1:$G$1,0))</f>
        <v>Exc</v>
      </c>
      <c r="J660" s="4" t="str">
        <f>INDEX(products!$A$1:$G$49,MATCH(orders!$D660,products!$A$1:$A$49,0),MATCH(orders!J$1,products!$A$1:$G$1,0))</f>
        <v>M</v>
      </c>
      <c r="K660" s="6">
        <f>INDEX(products!$A$1:$G$49,MATCH(orders!$D660,products!$A$1:$A$49,0),MATCH(orders!K$1,products!$A$1:$G$1,0))</f>
        <v>0.5</v>
      </c>
      <c r="L660" s="7">
        <f>INDEX(products!$A$1:$G$49,MATCH(orders!$D660,products!$A$1:$A$49,0),MATCH(orders!L$1,products!$A$1:$G$1,0))</f>
        <v>8.25</v>
      </c>
      <c r="M660" s="7">
        <f t="shared" si="10"/>
        <v>24.75</v>
      </c>
      <c r="N660" s="4" t="str" cm="1">
        <f t="array" ref="N660">_xlfn.IFS(I660="Rob","Robusta",I660="Exc","Excelsa",I660="Ara","Arabica",I660="Lib","Liberica")</f>
        <v>Excelsa</v>
      </c>
      <c r="O660" s="4" t="str" cm="1">
        <f t="array" ref="O660">_xlfn.IFS(J660="M","Medium",J660="L","Light",J660="D","Dark")</f>
        <v>Medium</v>
      </c>
      <c r="P660" s="4" t="str">
        <f>_xlfn.XLOOKUP(CoffeeOrderstable[[#This Row],[Customer ID]],customers!$A$1:$A$1001,customers!$I$1:$I$1001,,0)</f>
        <v>Yes</v>
      </c>
    </row>
    <row r="661" spans="1:16" x14ac:dyDescent="0.3">
      <c r="A661" s="3" t="s">
        <v>4211</v>
      </c>
      <c r="B661" s="5">
        <v>44693</v>
      </c>
      <c r="C661" s="3" t="s">
        <v>4212</v>
      </c>
      <c r="D661" s="4" t="s">
        <v>6168</v>
      </c>
      <c r="E661" s="3">
        <v>2</v>
      </c>
      <c r="F661" s="3" t="str">
        <f>_xlfn.XLOOKUP(C661,customers!$A$1:$A$1001,customers!$B$1:$B$1001,,0)</f>
        <v>Dollie Gadsden</v>
      </c>
      <c r="G661" s="3" t="str">
        <f>IF(_xlfn.XLOOKUP(C661,customers!$A$1:$A$1001,customers!$C$1:$C$1001,,0)=0,"", _xlfn.XLOOKUP(C661,customers!$A$1:$A$1001,customers!$C$1:$C$1001,,0))</f>
        <v>dgadsdenib@google.com.hk</v>
      </c>
      <c r="H661" s="3" t="str">
        <f>_xlfn.XLOOKUP(C661,customers!$A$1:$A$1001,customers!$G$1:$G$1001,,0)</f>
        <v>Ireland</v>
      </c>
      <c r="I661" s="4" t="str">
        <f>INDEX(products!$A$1:$G$49,MATCH(orders!$D661,products!$A$1:$A$49,0),MATCH(orders!I$1,products!$A$1:$G$1,0))</f>
        <v>Ara</v>
      </c>
      <c r="J661" s="4" t="str">
        <f>INDEX(products!$A$1:$G$49,MATCH(orders!$D661,products!$A$1:$A$49,0),MATCH(orders!J$1,products!$A$1:$G$1,0))</f>
        <v>D</v>
      </c>
      <c r="K661" s="6">
        <f>INDEX(products!$A$1:$G$49,MATCH(orders!$D661,products!$A$1:$A$49,0),MATCH(orders!K$1,products!$A$1:$G$1,0))</f>
        <v>2.5</v>
      </c>
      <c r="L661" s="7">
        <f>INDEX(products!$A$1:$G$49,MATCH(orders!$D661,products!$A$1:$A$49,0),MATCH(orders!L$1,products!$A$1:$G$1,0))</f>
        <v>22.884999999999998</v>
      </c>
      <c r="M661" s="7">
        <f t="shared" si="10"/>
        <v>45.769999999999996</v>
      </c>
      <c r="N661" s="4" t="str" cm="1">
        <f t="array" ref="N661">_xlfn.IFS(I661="Rob","Robusta",I661="Exc","Excelsa",I661="Ara","Arabica",I661="Lib","Liberica")</f>
        <v>Arabica</v>
      </c>
      <c r="O661" s="4" t="str" cm="1">
        <f t="array" ref="O661">_xlfn.IFS(J661="M","Medium",J661="L","Light",J661="D","Dark")</f>
        <v>Dark</v>
      </c>
      <c r="P661" s="4" t="str">
        <f>_xlfn.XLOOKUP(CoffeeOrderstable[[#This Row],[Customer ID]],customers!$A$1:$A$1001,customers!$I$1:$I$1001,,0)</f>
        <v>Yes</v>
      </c>
    </row>
    <row r="662" spans="1:16" x14ac:dyDescent="0.3">
      <c r="A662" s="3" t="s">
        <v>4217</v>
      </c>
      <c r="B662" s="5">
        <v>44084</v>
      </c>
      <c r="C662" s="3" t="s">
        <v>4218</v>
      </c>
      <c r="D662" s="4" t="s">
        <v>6176</v>
      </c>
      <c r="E662" s="3">
        <v>6</v>
      </c>
      <c r="F662" s="3" t="str">
        <f>_xlfn.XLOOKUP(C662,customers!$A$1:$A$1001,customers!$B$1:$B$1001,,0)</f>
        <v>Val Wakelin</v>
      </c>
      <c r="G662" s="3" t="str">
        <f>IF(_xlfn.XLOOKUP(C662,customers!$A$1:$A$1001,customers!$C$1:$C$1001,,0)=0,"", _xlfn.XLOOKUP(C662,customers!$A$1:$A$1001,customers!$C$1:$C$1001,,0))</f>
        <v>vwakelinic@unesco.org</v>
      </c>
      <c r="H662" s="3" t="str">
        <f>_xlfn.XLOOKUP(C662,customers!$A$1:$A$1001,customers!$G$1:$G$1001,,0)</f>
        <v>United States</v>
      </c>
      <c r="I662" s="4" t="str">
        <f>INDEX(products!$A$1:$G$49,MATCH(orders!$D662,products!$A$1:$A$49,0),MATCH(orders!I$1,products!$A$1:$G$1,0))</f>
        <v>Exc</v>
      </c>
      <c r="J662" s="4" t="str">
        <f>INDEX(products!$A$1:$G$49,MATCH(orders!$D662,products!$A$1:$A$49,0),MATCH(orders!J$1,products!$A$1:$G$1,0))</f>
        <v>L</v>
      </c>
      <c r="K662" s="6">
        <f>INDEX(products!$A$1:$G$49,MATCH(orders!$D662,products!$A$1:$A$49,0),MATCH(orders!K$1,products!$A$1:$G$1,0))</f>
        <v>0.5</v>
      </c>
      <c r="L662" s="7">
        <f>INDEX(products!$A$1:$G$49,MATCH(orders!$D662,products!$A$1:$A$49,0),MATCH(orders!L$1,products!$A$1:$G$1,0))</f>
        <v>8.91</v>
      </c>
      <c r="M662" s="7">
        <f t="shared" si="10"/>
        <v>53.46</v>
      </c>
      <c r="N662" s="4" t="str" cm="1">
        <f t="array" ref="N662">_xlfn.IFS(I662="Rob","Robusta",I662="Exc","Excelsa",I662="Ara","Arabica",I662="Lib","Liberica")</f>
        <v>Excelsa</v>
      </c>
      <c r="O662" s="4" t="str" cm="1">
        <f t="array" ref="O662">_xlfn.IFS(J662="M","Medium",J662="L","Light",J662="D","Dark")</f>
        <v>Light</v>
      </c>
      <c r="P662" s="4" t="str">
        <f>_xlfn.XLOOKUP(CoffeeOrderstable[[#This Row],[Customer ID]],customers!$A$1:$A$1001,customers!$I$1:$I$1001,,0)</f>
        <v>No</v>
      </c>
    </row>
    <row r="663" spans="1:16" x14ac:dyDescent="0.3">
      <c r="A663" s="3" t="s">
        <v>4223</v>
      </c>
      <c r="B663" s="5">
        <v>44485</v>
      </c>
      <c r="C663" s="3" t="s">
        <v>4224</v>
      </c>
      <c r="D663" s="4" t="s">
        <v>6152</v>
      </c>
      <c r="E663" s="3">
        <v>6</v>
      </c>
      <c r="F663" s="3" t="str">
        <f>_xlfn.XLOOKUP(C663,customers!$A$1:$A$1001,customers!$B$1:$B$1001,,0)</f>
        <v>Annie Campsall</v>
      </c>
      <c r="G663" s="3" t="str">
        <f>IF(_xlfn.XLOOKUP(C663,customers!$A$1:$A$1001,customers!$C$1:$C$1001,,0)=0,"", _xlfn.XLOOKUP(C663,customers!$A$1:$A$1001,customers!$C$1:$C$1001,,0))</f>
        <v>acampsallid@zimbio.com</v>
      </c>
      <c r="H663" s="3" t="str">
        <f>_xlfn.XLOOKUP(C663,customers!$A$1:$A$1001,customers!$G$1:$G$1001,,0)</f>
        <v>United States</v>
      </c>
      <c r="I663" s="4" t="str">
        <f>INDEX(products!$A$1:$G$49,MATCH(orders!$D663,products!$A$1:$A$49,0),MATCH(orders!I$1,products!$A$1:$G$1,0))</f>
        <v>Ara</v>
      </c>
      <c r="J663" s="4" t="str">
        <f>INDEX(products!$A$1:$G$49,MATCH(orders!$D663,products!$A$1:$A$49,0),MATCH(orders!J$1,products!$A$1:$G$1,0))</f>
        <v>M</v>
      </c>
      <c r="K663" s="6">
        <f>INDEX(products!$A$1:$G$49,MATCH(orders!$D663,products!$A$1:$A$49,0),MATCH(orders!K$1,products!$A$1:$G$1,0))</f>
        <v>0.2</v>
      </c>
      <c r="L663" s="7">
        <f>INDEX(products!$A$1:$G$49,MATCH(orders!$D663,products!$A$1:$A$49,0),MATCH(orders!L$1,products!$A$1:$G$1,0))</f>
        <v>3.375</v>
      </c>
      <c r="M663" s="7">
        <f t="shared" si="10"/>
        <v>20.25</v>
      </c>
      <c r="N663" s="4" t="str" cm="1">
        <f t="array" ref="N663">_xlfn.IFS(I663="Rob","Robusta",I663="Exc","Excelsa",I663="Ara","Arabica",I663="Lib","Liberica")</f>
        <v>Arabica</v>
      </c>
      <c r="O663" s="4" t="str" cm="1">
        <f t="array" ref="O663">_xlfn.IFS(J663="M","Medium",J663="L","Light",J663="D","Dark")</f>
        <v>Medium</v>
      </c>
      <c r="P663" s="4" t="str">
        <f>_xlfn.XLOOKUP(CoffeeOrderstable[[#This Row],[Customer ID]],customers!$A$1:$A$1001,customers!$I$1:$I$1001,,0)</f>
        <v>Yes</v>
      </c>
    </row>
    <row r="664" spans="1:16" x14ac:dyDescent="0.3">
      <c r="A664" s="3" t="s">
        <v>4229</v>
      </c>
      <c r="B664" s="5">
        <v>44364</v>
      </c>
      <c r="C664" s="3" t="s">
        <v>4230</v>
      </c>
      <c r="D664" s="4" t="s">
        <v>6165</v>
      </c>
      <c r="E664" s="3">
        <v>5</v>
      </c>
      <c r="F664" s="3" t="str">
        <f>_xlfn.XLOOKUP(C664,customers!$A$1:$A$1001,customers!$B$1:$B$1001,,0)</f>
        <v>Shermy Moseby</v>
      </c>
      <c r="G664" s="3" t="str">
        <f>IF(_xlfn.XLOOKUP(C664,customers!$A$1:$A$1001,customers!$C$1:$C$1001,,0)=0,"", _xlfn.XLOOKUP(C664,customers!$A$1:$A$1001,customers!$C$1:$C$1001,,0))</f>
        <v>smosebyie@stanford.edu</v>
      </c>
      <c r="H664" s="3" t="str">
        <f>_xlfn.XLOOKUP(C664,customers!$A$1:$A$1001,customers!$G$1:$G$1001,,0)</f>
        <v>United States</v>
      </c>
      <c r="I664" s="4" t="str">
        <f>INDEX(products!$A$1:$G$49,MATCH(orders!$D664,products!$A$1:$A$49,0),MATCH(orders!I$1,products!$A$1:$G$1,0))</f>
        <v>Lib</v>
      </c>
      <c r="J664" s="4" t="str">
        <f>INDEX(products!$A$1:$G$49,MATCH(orders!$D664,products!$A$1:$A$49,0),MATCH(orders!J$1,products!$A$1:$G$1,0))</f>
        <v>D</v>
      </c>
      <c r="K664" s="6">
        <f>INDEX(products!$A$1:$G$49,MATCH(orders!$D664,products!$A$1:$A$49,0),MATCH(orders!K$1,products!$A$1:$G$1,0))</f>
        <v>2.5</v>
      </c>
      <c r="L664" s="7">
        <f>INDEX(products!$A$1:$G$49,MATCH(orders!$D664,products!$A$1:$A$49,0),MATCH(orders!L$1,products!$A$1:$G$1,0))</f>
        <v>29.784999999999997</v>
      </c>
      <c r="M664" s="7">
        <f t="shared" si="10"/>
        <v>148.92499999999998</v>
      </c>
      <c r="N664" s="4" t="str" cm="1">
        <f t="array" ref="N664">_xlfn.IFS(I664="Rob","Robusta",I664="Exc","Excelsa",I664="Ara","Arabica",I664="Lib","Liberica")</f>
        <v>Liberica</v>
      </c>
      <c r="O664" s="4" t="str" cm="1">
        <f t="array" ref="O664">_xlfn.IFS(J664="M","Medium",J664="L","Light",J664="D","Dark")</f>
        <v>Dark</v>
      </c>
      <c r="P664" s="4" t="str">
        <f>_xlfn.XLOOKUP(CoffeeOrderstable[[#This Row],[Customer ID]],customers!$A$1:$A$1001,customers!$I$1:$I$1001,,0)</f>
        <v>No</v>
      </c>
    </row>
    <row r="665" spans="1:16" x14ac:dyDescent="0.3">
      <c r="A665" s="3" t="s">
        <v>4234</v>
      </c>
      <c r="B665" s="5">
        <v>43554</v>
      </c>
      <c r="C665" s="3" t="s">
        <v>4235</v>
      </c>
      <c r="D665" s="4" t="s">
        <v>6155</v>
      </c>
      <c r="E665" s="3">
        <v>6</v>
      </c>
      <c r="F665" s="3" t="str">
        <f>_xlfn.XLOOKUP(C665,customers!$A$1:$A$1001,customers!$B$1:$B$1001,,0)</f>
        <v>Corrie Wass</v>
      </c>
      <c r="G665" s="3" t="str">
        <f>IF(_xlfn.XLOOKUP(C665,customers!$A$1:$A$1001,customers!$C$1:$C$1001,,0)=0,"", _xlfn.XLOOKUP(C665,customers!$A$1:$A$1001,customers!$C$1:$C$1001,,0))</f>
        <v>cwassif@prweb.com</v>
      </c>
      <c r="H665" s="3" t="str">
        <f>_xlfn.XLOOKUP(C665,customers!$A$1:$A$1001,customers!$G$1:$G$1001,,0)</f>
        <v>United States</v>
      </c>
      <c r="I665" s="4" t="str">
        <f>INDEX(products!$A$1:$G$49,MATCH(orders!$D665,products!$A$1:$A$49,0),MATCH(orders!I$1,products!$A$1:$G$1,0))</f>
        <v>Ara</v>
      </c>
      <c r="J665" s="4" t="str">
        <f>INDEX(products!$A$1:$G$49,MATCH(orders!$D665,products!$A$1:$A$49,0),MATCH(orders!J$1,products!$A$1:$G$1,0))</f>
        <v>M</v>
      </c>
      <c r="K665" s="6">
        <f>INDEX(products!$A$1:$G$49,MATCH(orders!$D665,products!$A$1:$A$49,0),MATCH(orders!K$1,products!$A$1:$G$1,0))</f>
        <v>1</v>
      </c>
      <c r="L665" s="7">
        <f>INDEX(products!$A$1:$G$49,MATCH(orders!$D665,products!$A$1:$A$49,0),MATCH(orders!L$1,products!$A$1:$G$1,0))</f>
        <v>11.25</v>
      </c>
      <c r="M665" s="7">
        <f t="shared" si="10"/>
        <v>67.5</v>
      </c>
      <c r="N665" s="4" t="str" cm="1">
        <f t="array" ref="N665">_xlfn.IFS(I665="Rob","Robusta",I665="Exc","Excelsa",I665="Ara","Arabica",I665="Lib","Liberica")</f>
        <v>Arabica</v>
      </c>
      <c r="O665" s="4" t="str" cm="1">
        <f t="array" ref="O665">_xlfn.IFS(J665="M","Medium",J665="L","Light",J665="D","Dark")</f>
        <v>Medium</v>
      </c>
      <c r="P665" s="4" t="str">
        <f>_xlfn.XLOOKUP(CoffeeOrderstable[[#This Row],[Customer ID]],customers!$A$1:$A$1001,customers!$I$1:$I$1001,,0)</f>
        <v>No</v>
      </c>
    </row>
    <row r="666" spans="1:16" x14ac:dyDescent="0.3">
      <c r="A666" s="3" t="s">
        <v>4239</v>
      </c>
      <c r="B666" s="5">
        <v>44549</v>
      </c>
      <c r="C666" s="3" t="s">
        <v>4240</v>
      </c>
      <c r="D666" s="4" t="s">
        <v>6183</v>
      </c>
      <c r="E666" s="3">
        <v>6</v>
      </c>
      <c r="F666" s="3" t="str">
        <f>_xlfn.XLOOKUP(C666,customers!$A$1:$A$1001,customers!$B$1:$B$1001,,0)</f>
        <v>Ira Sjostrom</v>
      </c>
      <c r="G666" s="3" t="str">
        <f>IF(_xlfn.XLOOKUP(C666,customers!$A$1:$A$1001,customers!$C$1:$C$1001,,0)=0,"", _xlfn.XLOOKUP(C666,customers!$A$1:$A$1001,customers!$C$1:$C$1001,,0))</f>
        <v>isjostromig@pbs.org</v>
      </c>
      <c r="H666" s="3" t="str">
        <f>_xlfn.XLOOKUP(C666,customers!$A$1:$A$1001,customers!$G$1:$G$1001,,0)</f>
        <v>United States</v>
      </c>
      <c r="I666" s="4" t="str">
        <f>INDEX(products!$A$1:$G$49,MATCH(orders!$D666,products!$A$1:$A$49,0),MATCH(orders!I$1,products!$A$1:$G$1,0))</f>
        <v>Exc</v>
      </c>
      <c r="J666" s="4" t="str">
        <f>INDEX(products!$A$1:$G$49,MATCH(orders!$D666,products!$A$1:$A$49,0),MATCH(orders!J$1,products!$A$1:$G$1,0))</f>
        <v>D</v>
      </c>
      <c r="K666" s="6">
        <f>INDEX(products!$A$1:$G$49,MATCH(orders!$D666,products!$A$1:$A$49,0),MATCH(orders!K$1,products!$A$1:$G$1,0))</f>
        <v>1</v>
      </c>
      <c r="L666" s="7">
        <f>INDEX(products!$A$1:$G$49,MATCH(orders!$D666,products!$A$1:$A$49,0),MATCH(orders!L$1,products!$A$1:$G$1,0))</f>
        <v>12.15</v>
      </c>
      <c r="M666" s="7">
        <f t="shared" si="10"/>
        <v>72.900000000000006</v>
      </c>
      <c r="N666" s="4" t="str" cm="1">
        <f t="array" ref="N666">_xlfn.IFS(I666="Rob","Robusta",I666="Exc","Excelsa",I666="Ara","Arabica",I666="Lib","Liberica")</f>
        <v>Excelsa</v>
      </c>
      <c r="O666" s="4" t="str" cm="1">
        <f t="array" ref="O666">_xlfn.IFS(J666="M","Medium",J666="L","Light",J666="D","Dark")</f>
        <v>Dark</v>
      </c>
      <c r="P666" s="4" t="str">
        <f>_xlfn.XLOOKUP(CoffeeOrderstable[[#This Row],[Customer ID]],customers!$A$1:$A$1001,customers!$I$1:$I$1001,,0)</f>
        <v>No</v>
      </c>
    </row>
    <row r="667" spans="1:16" x14ac:dyDescent="0.3">
      <c r="A667" s="3" t="s">
        <v>4239</v>
      </c>
      <c r="B667" s="5">
        <v>44549</v>
      </c>
      <c r="C667" s="3" t="s">
        <v>4240</v>
      </c>
      <c r="D667" s="4" t="s">
        <v>6150</v>
      </c>
      <c r="E667" s="3">
        <v>2</v>
      </c>
      <c r="F667" s="3" t="str">
        <f>_xlfn.XLOOKUP(C667,customers!$A$1:$A$1001,customers!$B$1:$B$1001,,0)</f>
        <v>Ira Sjostrom</v>
      </c>
      <c r="G667" s="3" t="str">
        <f>IF(_xlfn.XLOOKUP(C667,customers!$A$1:$A$1001,customers!$C$1:$C$1001,,0)=0,"", _xlfn.XLOOKUP(C667,customers!$A$1:$A$1001,customers!$C$1:$C$1001,,0))</f>
        <v>isjostromig@pbs.org</v>
      </c>
      <c r="H667" s="3" t="str">
        <f>_xlfn.XLOOKUP(C667,customers!$A$1:$A$1001,customers!$G$1:$G$1001,,0)</f>
        <v>United States</v>
      </c>
      <c r="I667" s="4" t="str">
        <f>INDEX(products!$A$1:$G$49,MATCH(orders!$D667,products!$A$1:$A$49,0),MATCH(orders!I$1,products!$A$1:$G$1,0))</f>
        <v>Lib</v>
      </c>
      <c r="J667" s="4" t="str">
        <f>INDEX(products!$A$1:$G$49,MATCH(orders!$D667,products!$A$1:$A$49,0),MATCH(orders!J$1,products!$A$1:$G$1,0))</f>
        <v>D</v>
      </c>
      <c r="K667" s="6">
        <f>INDEX(products!$A$1:$G$49,MATCH(orders!$D667,products!$A$1:$A$49,0),MATCH(orders!K$1,products!$A$1:$G$1,0))</f>
        <v>0.2</v>
      </c>
      <c r="L667" s="7">
        <f>INDEX(products!$A$1:$G$49,MATCH(orders!$D667,products!$A$1:$A$49,0),MATCH(orders!L$1,products!$A$1:$G$1,0))</f>
        <v>3.8849999999999998</v>
      </c>
      <c r="M667" s="7">
        <f t="shared" si="10"/>
        <v>7.77</v>
      </c>
      <c r="N667" s="4" t="str" cm="1">
        <f t="array" ref="N667">_xlfn.IFS(I667="Rob","Robusta",I667="Exc","Excelsa",I667="Ara","Arabica",I667="Lib","Liberica")</f>
        <v>Liberica</v>
      </c>
      <c r="O667" s="4" t="str" cm="1">
        <f t="array" ref="O667">_xlfn.IFS(J667="M","Medium",J667="L","Light",J667="D","Dark")</f>
        <v>Dark</v>
      </c>
      <c r="P667" s="4" t="str">
        <f>_xlfn.XLOOKUP(CoffeeOrderstable[[#This Row],[Customer ID]],customers!$A$1:$A$1001,customers!$I$1:$I$1001,,0)</f>
        <v>No</v>
      </c>
    </row>
    <row r="668" spans="1:16" x14ac:dyDescent="0.3">
      <c r="A668" s="3" t="s">
        <v>4250</v>
      </c>
      <c r="B668" s="5">
        <v>43987</v>
      </c>
      <c r="C668" s="3" t="s">
        <v>4251</v>
      </c>
      <c r="D668" s="4" t="s">
        <v>6168</v>
      </c>
      <c r="E668" s="3">
        <v>4</v>
      </c>
      <c r="F668" s="3" t="str">
        <f>_xlfn.XLOOKUP(C668,customers!$A$1:$A$1001,customers!$B$1:$B$1001,,0)</f>
        <v>Jermaine Branchett</v>
      </c>
      <c r="G668" s="3" t="str">
        <f>IF(_xlfn.XLOOKUP(C668,customers!$A$1:$A$1001,customers!$C$1:$C$1001,,0)=0,"", _xlfn.XLOOKUP(C668,customers!$A$1:$A$1001,customers!$C$1:$C$1001,,0))</f>
        <v>jbranchettii@bravesites.com</v>
      </c>
      <c r="H668" s="3" t="str">
        <f>_xlfn.XLOOKUP(C668,customers!$A$1:$A$1001,customers!$G$1:$G$1001,,0)</f>
        <v>United States</v>
      </c>
      <c r="I668" s="4" t="str">
        <f>INDEX(products!$A$1:$G$49,MATCH(orders!$D668,products!$A$1:$A$49,0),MATCH(orders!I$1,products!$A$1:$G$1,0))</f>
        <v>Ara</v>
      </c>
      <c r="J668" s="4" t="str">
        <f>INDEX(products!$A$1:$G$49,MATCH(orders!$D668,products!$A$1:$A$49,0),MATCH(orders!J$1,products!$A$1:$G$1,0))</f>
        <v>D</v>
      </c>
      <c r="K668" s="6">
        <f>INDEX(products!$A$1:$G$49,MATCH(orders!$D668,products!$A$1:$A$49,0),MATCH(orders!K$1,products!$A$1:$G$1,0))</f>
        <v>2.5</v>
      </c>
      <c r="L668" s="7">
        <f>INDEX(products!$A$1:$G$49,MATCH(orders!$D668,products!$A$1:$A$49,0),MATCH(orders!L$1,products!$A$1:$G$1,0))</f>
        <v>22.884999999999998</v>
      </c>
      <c r="M668" s="7">
        <f t="shared" si="10"/>
        <v>91.539999999999992</v>
      </c>
      <c r="N668" s="4" t="str" cm="1">
        <f t="array" ref="N668">_xlfn.IFS(I668="Rob","Robusta",I668="Exc","Excelsa",I668="Ara","Arabica",I668="Lib","Liberica")</f>
        <v>Arabica</v>
      </c>
      <c r="O668" s="4" t="str" cm="1">
        <f t="array" ref="O668">_xlfn.IFS(J668="M","Medium",J668="L","Light",J668="D","Dark")</f>
        <v>Dark</v>
      </c>
      <c r="P668" s="4" t="str">
        <f>_xlfn.XLOOKUP(CoffeeOrderstable[[#This Row],[Customer ID]],customers!$A$1:$A$1001,customers!$I$1:$I$1001,,0)</f>
        <v>No</v>
      </c>
    </row>
    <row r="669" spans="1:16" x14ac:dyDescent="0.3">
      <c r="A669" s="3" t="s">
        <v>4256</v>
      </c>
      <c r="B669" s="5">
        <v>44451</v>
      </c>
      <c r="C669" s="3" t="s">
        <v>4257</v>
      </c>
      <c r="D669" s="4" t="s">
        <v>6147</v>
      </c>
      <c r="E669" s="3">
        <v>6</v>
      </c>
      <c r="F669" s="3" t="str">
        <f>_xlfn.XLOOKUP(C669,customers!$A$1:$A$1001,customers!$B$1:$B$1001,,0)</f>
        <v>Nissie Rudland</v>
      </c>
      <c r="G669" s="3" t="str">
        <f>IF(_xlfn.XLOOKUP(C669,customers!$A$1:$A$1001,customers!$C$1:$C$1001,,0)=0,"", _xlfn.XLOOKUP(C669,customers!$A$1:$A$1001,customers!$C$1:$C$1001,,0))</f>
        <v>nrudlandij@blogs.com</v>
      </c>
      <c r="H669" s="3" t="str">
        <f>_xlfn.XLOOKUP(C669,customers!$A$1:$A$1001,customers!$G$1:$G$1001,,0)</f>
        <v>Ireland</v>
      </c>
      <c r="I669" s="4" t="str">
        <f>INDEX(products!$A$1:$G$49,MATCH(orders!$D669,products!$A$1:$A$49,0),MATCH(orders!I$1,products!$A$1:$G$1,0))</f>
        <v>Ara</v>
      </c>
      <c r="J669" s="4" t="str">
        <f>INDEX(products!$A$1:$G$49,MATCH(orders!$D669,products!$A$1:$A$49,0),MATCH(orders!J$1,products!$A$1:$G$1,0))</f>
        <v>D</v>
      </c>
      <c r="K669" s="6">
        <f>INDEX(products!$A$1:$G$49,MATCH(orders!$D669,products!$A$1:$A$49,0),MATCH(orders!K$1,products!$A$1:$G$1,0))</f>
        <v>1</v>
      </c>
      <c r="L669" s="7">
        <f>INDEX(products!$A$1:$G$49,MATCH(orders!$D669,products!$A$1:$A$49,0),MATCH(orders!L$1,products!$A$1:$G$1,0))</f>
        <v>9.9499999999999993</v>
      </c>
      <c r="M669" s="7">
        <f t="shared" si="10"/>
        <v>59.699999999999996</v>
      </c>
      <c r="N669" s="4" t="str" cm="1">
        <f t="array" ref="N669">_xlfn.IFS(I669="Rob","Robusta",I669="Exc","Excelsa",I669="Ara","Arabica",I669="Lib","Liberica")</f>
        <v>Arabica</v>
      </c>
      <c r="O669" s="4" t="str" cm="1">
        <f t="array" ref="O669">_xlfn.IFS(J669="M","Medium",J669="L","Light",J669="D","Dark")</f>
        <v>Dark</v>
      </c>
      <c r="P669" s="4" t="str">
        <f>_xlfn.XLOOKUP(CoffeeOrderstable[[#This Row],[Customer ID]],customers!$A$1:$A$1001,customers!$I$1:$I$1001,,0)</f>
        <v>No</v>
      </c>
    </row>
    <row r="670" spans="1:16" x14ac:dyDescent="0.3">
      <c r="A670" s="3" t="s">
        <v>4262</v>
      </c>
      <c r="B670" s="5">
        <v>44636</v>
      </c>
      <c r="C670" s="3" t="s">
        <v>4263</v>
      </c>
      <c r="D670" s="4" t="s">
        <v>6142</v>
      </c>
      <c r="E670" s="3">
        <v>5</v>
      </c>
      <c r="F670" s="3" t="str">
        <f>_xlfn.XLOOKUP(C670,customers!$A$1:$A$1001,customers!$B$1:$B$1001,,0)</f>
        <v>Janella Millett</v>
      </c>
      <c r="G670" s="3" t="str">
        <f>IF(_xlfn.XLOOKUP(C670,customers!$A$1:$A$1001,customers!$C$1:$C$1001,,0)=0,"", _xlfn.XLOOKUP(C670,customers!$A$1:$A$1001,customers!$C$1:$C$1001,,0))</f>
        <v>jmillettik@addtoany.com</v>
      </c>
      <c r="H670" s="3" t="str">
        <f>_xlfn.XLOOKUP(C670,customers!$A$1:$A$1001,customers!$G$1:$G$1001,,0)</f>
        <v>United States</v>
      </c>
      <c r="I670" s="4" t="str">
        <f>INDEX(products!$A$1:$G$49,MATCH(orders!$D670,products!$A$1:$A$49,0),MATCH(orders!I$1,products!$A$1:$G$1,0))</f>
        <v>Rob</v>
      </c>
      <c r="J670" s="4" t="str">
        <f>INDEX(products!$A$1:$G$49,MATCH(orders!$D670,products!$A$1:$A$49,0),MATCH(orders!J$1,products!$A$1:$G$1,0))</f>
        <v>L</v>
      </c>
      <c r="K670" s="6">
        <f>INDEX(products!$A$1:$G$49,MATCH(orders!$D670,products!$A$1:$A$49,0),MATCH(orders!K$1,products!$A$1:$G$1,0))</f>
        <v>2.5</v>
      </c>
      <c r="L670" s="7">
        <f>INDEX(products!$A$1:$G$49,MATCH(orders!$D670,products!$A$1:$A$49,0),MATCH(orders!L$1,products!$A$1:$G$1,0))</f>
        <v>27.484999999999996</v>
      </c>
      <c r="M670" s="7">
        <f t="shared" si="10"/>
        <v>137.42499999999998</v>
      </c>
      <c r="N670" s="4" t="str" cm="1">
        <f t="array" ref="N670">_xlfn.IFS(I670="Rob","Robusta",I670="Exc","Excelsa",I670="Ara","Arabica",I670="Lib","Liberica")</f>
        <v>Robusta</v>
      </c>
      <c r="O670" s="4" t="str" cm="1">
        <f t="array" ref="O670">_xlfn.IFS(J670="M","Medium",J670="L","Light",J670="D","Dark")</f>
        <v>Light</v>
      </c>
      <c r="P670" s="4" t="str">
        <f>_xlfn.XLOOKUP(CoffeeOrderstable[[#This Row],[Customer ID]],customers!$A$1:$A$1001,customers!$I$1:$I$1001,,0)</f>
        <v>Yes</v>
      </c>
    </row>
    <row r="671" spans="1:16" x14ac:dyDescent="0.3">
      <c r="A671" s="3" t="s">
        <v>4268</v>
      </c>
      <c r="B671" s="5">
        <v>44551</v>
      </c>
      <c r="C671" s="3" t="s">
        <v>4269</v>
      </c>
      <c r="D671" s="4" t="s">
        <v>6181</v>
      </c>
      <c r="E671" s="3">
        <v>2</v>
      </c>
      <c r="F671" s="3" t="str">
        <f>_xlfn.XLOOKUP(C671,customers!$A$1:$A$1001,customers!$B$1:$B$1001,,0)</f>
        <v>Ferdie Tourry</v>
      </c>
      <c r="G671" s="3" t="str">
        <f>IF(_xlfn.XLOOKUP(C671,customers!$A$1:$A$1001,customers!$C$1:$C$1001,,0)=0,"", _xlfn.XLOOKUP(C671,customers!$A$1:$A$1001,customers!$C$1:$C$1001,,0))</f>
        <v>ftourryil@google.de</v>
      </c>
      <c r="H671" s="3" t="str">
        <f>_xlfn.XLOOKUP(C671,customers!$A$1:$A$1001,customers!$G$1:$G$1001,,0)</f>
        <v>United States</v>
      </c>
      <c r="I671" s="4" t="str">
        <f>INDEX(products!$A$1:$G$49,MATCH(orders!$D671,products!$A$1:$A$49,0),MATCH(orders!I$1,products!$A$1:$G$1,0))</f>
        <v>Lib</v>
      </c>
      <c r="J671" s="4" t="str">
        <f>INDEX(products!$A$1:$G$49,MATCH(orders!$D671,products!$A$1:$A$49,0),MATCH(orders!J$1,products!$A$1:$G$1,0))</f>
        <v>M</v>
      </c>
      <c r="K671" s="6">
        <f>INDEX(products!$A$1:$G$49,MATCH(orders!$D671,products!$A$1:$A$49,0),MATCH(orders!K$1,products!$A$1:$G$1,0))</f>
        <v>2.5</v>
      </c>
      <c r="L671" s="7">
        <f>INDEX(products!$A$1:$G$49,MATCH(orders!$D671,products!$A$1:$A$49,0),MATCH(orders!L$1,products!$A$1:$G$1,0))</f>
        <v>33.464999999999996</v>
      </c>
      <c r="M671" s="7">
        <f t="shared" si="10"/>
        <v>66.929999999999993</v>
      </c>
      <c r="N671" s="4" t="str" cm="1">
        <f t="array" ref="N671">_xlfn.IFS(I671="Rob","Robusta",I671="Exc","Excelsa",I671="Ara","Arabica",I671="Lib","Liberica")</f>
        <v>Liberica</v>
      </c>
      <c r="O671" s="4" t="str" cm="1">
        <f t="array" ref="O671">_xlfn.IFS(J671="M","Medium",J671="L","Light",J671="D","Dark")</f>
        <v>Medium</v>
      </c>
      <c r="P671" s="4" t="str">
        <f>_xlfn.XLOOKUP(CoffeeOrderstable[[#This Row],[Customer ID]],customers!$A$1:$A$1001,customers!$I$1:$I$1001,,0)</f>
        <v>No</v>
      </c>
    </row>
    <row r="672" spans="1:16" x14ac:dyDescent="0.3">
      <c r="A672" s="3" t="s">
        <v>4274</v>
      </c>
      <c r="B672" s="5">
        <v>43606</v>
      </c>
      <c r="C672" s="3" t="s">
        <v>4275</v>
      </c>
      <c r="D672" s="4" t="s">
        <v>6159</v>
      </c>
      <c r="E672" s="3">
        <v>3</v>
      </c>
      <c r="F672" s="3" t="str">
        <f>_xlfn.XLOOKUP(C672,customers!$A$1:$A$1001,customers!$B$1:$B$1001,,0)</f>
        <v>Cecil Weatherall</v>
      </c>
      <c r="G672" s="3" t="str">
        <f>IF(_xlfn.XLOOKUP(C672,customers!$A$1:$A$1001,customers!$C$1:$C$1001,,0)=0,"", _xlfn.XLOOKUP(C672,customers!$A$1:$A$1001,customers!$C$1:$C$1001,,0))</f>
        <v>cweatherallim@toplist.cz</v>
      </c>
      <c r="H672" s="3" t="str">
        <f>_xlfn.XLOOKUP(C672,customers!$A$1:$A$1001,customers!$G$1:$G$1001,,0)</f>
        <v>United States</v>
      </c>
      <c r="I672" s="4" t="str">
        <f>INDEX(products!$A$1:$G$49,MATCH(orders!$D672,products!$A$1:$A$49,0),MATCH(orders!I$1,products!$A$1:$G$1,0))</f>
        <v>Lib</v>
      </c>
      <c r="J672" s="4" t="str">
        <f>INDEX(products!$A$1:$G$49,MATCH(orders!$D672,products!$A$1:$A$49,0),MATCH(orders!J$1,products!$A$1:$G$1,0))</f>
        <v>M</v>
      </c>
      <c r="K672" s="6">
        <f>INDEX(products!$A$1:$G$49,MATCH(orders!$D672,products!$A$1:$A$49,0),MATCH(orders!K$1,products!$A$1:$G$1,0))</f>
        <v>0.2</v>
      </c>
      <c r="L672" s="7">
        <f>INDEX(products!$A$1:$G$49,MATCH(orders!$D672,products!$A$1:$A$49,0),MATCH(orders!L$1,products!$A$1:$G$1,0))</f>
        <v>4.3650000000000002</v>
      </c>
      <c r="M672" s="7">
        <f t="shared" si="10"/>
        <v>13.095000000000001</v>
      </c>
      <c r="N672" s="4" t="str" cm="1">
        <f t="array" ref="N672">_xlfn.IFS(I672="Rob","Robusta",I672="Exc","Excelsa",I672="Ara","Arabica",I672="Lib","Liberica")</f>
        <v>Liberica</v>
      </c>
      <c r="O672" s="4" t="str" cm="1">
        <f t="array" ref="O672">_xlfn.IFS(J672="M","Medium",J672="L","Light",J672="D","Dark")</f>
        <v>Medium</v>
      </c>
      <c r="P672" s="4" t="str">
        <f>_xlfn.XLOOKUP(CoffeeOrderstable[[#This Row],[Customer ID]],customers!$A$1:$A$1001,customers!$I$1:$I$1001,,0)</f>
        <v>Yes</v>
      </c>
    </row>
    <row r="673" spans="1:16" x14ac:dyDescent="0.3">
      <c r="A673" s="3" t="s">
        <v>4280</v>
      </c>
      <c r="B673" s="5">
        <v>44495</v>
      </c>
      <c r="C673" s="3" t="s">
        <v>4281</v>
      </c>
      <c r="D673" s="4" t="s">
        <v>6179</v>
      </c>
      <c r="E673" s="3">
        <v>5</v>
      </c>
      <c r="F673" s="3" t="str">
        <f>_xlfn.XLOOKUP(C673,customers!$A$1:$A$1001,customers!$B$1:$B$1001,,0)</f>
        <v>Gale Heindrick</v>
      </c>
      <c r="G673" s="3" t="str">
        <f>IF(_xlfn.XLOOKUP(C673,customers!$A$1:$A$1001,customers!$C$1:$C$1001,,0)=0,"", _xlfn.XLOOKUP(C673,customers!$A$1:$A$1001,customers!$C$1:$C$1001,,0))</f>
        <v>gheindrickin@usda.gov</v>
      </c>
      <c r="H673" s="3" t="str">
        <f>_xlfn.XLOOKUP(C673,customers!$A$1:$A$1001,customers!$G$1:$G$1001,,0)</f>
        <v>United States</v>
      </c>
      <c r="I673" s="4" t="str">
        <f>INDEX(products!$A$1:$G$49,MATCH(orders!$D673,products!$A$1:$A$49,0),MATCH(orders!I$1,products!$A$1:$G$1,0))</f>
        <v>Rob</v>
      </c>
      <c r="J673" s="4" t="str">
        <f>INDEX(products!$A$1:$G$49,MATCH(orders!$D673,products!$A$1:$A$49,0),MATCH(orders!J$1,products!$A$1:$G$1,0))</f>
        <v>L</v>
      </c>
      <c r="K673" s="6">
        <f>INDEX(products!$A$1:$G$49,MATCH(orders!$D673,products!$A$1:$A$49,0),MATCH(orders!K$1,products!$A$1:$G$1,0))</f>
        <v>1</v>
      </c>
      <c r="L673" s="7">
        <f>INDEX(products!$A$1:$G$49,MATCH(orders!$D673,products!$A$1:$A$49,0),MATCH(orders!L$1,products!$A$1:$G$1,0))</f>
        <v>11.95</v>
      </c>
      <c r="M673" s="7">
        <f t="shared" si="10"/>
        <v>59.75</v>
      </c>
      <c r="N673" s="4" t="str" cm="1">
        <f t="array" ref="N673">_xlfn.IFS(I673="Rob","Robusta",I673="Exc","Excelsa",I673="Ara","Arabica",I673="Lib","Liberica")</f>
        <v>Robusta</v>
      </c>
      <c r="O673" s="4" t="str" cm="1">
        <f t="array" ref="O673">_xlfn.IFS(J673="M","Medium",J673="L","Light",J673="D","Dark")</f>
        <v>Light</v>
      </c>
      <c r="P673" s="4" t="str">
        <f>_xlfn.XLOOKUP(CoffeeOrderstable[[#This Row],[Customer ID]],customers!$A$1:$A$1001,customers!$I$1:$I$1001,,0)</f>
        <v>No</v>
      </c>
    </row>
    <row r="674" spans="1:16" x14ac:dyDescent="0.3">
      <c r="A674" s="3" t="s">
        <v>4286</v>
      </c>
      <c r="B674" s="5">
        <v>43916</v>
      </c>
      <c r="C674" s="3" t="s">
        <v>4287</v>
      </c>
      <c r="D674" s="4" t="s">
        <v>6160</v>
      </c>
      <c r="E674" s="3">
        <v>5</v>
      </c>
      <c r="F674" s="3" t="str">
        <f>_xlfn.XLOOKUP(C674,customers!$A$1:$A$1001,customers!$B$1:$B$1001,,0)</f>
        <v>Layne Imason</v>
      </c>
      <c r="G674" s="3" t="str">
        <f>IF(_xlfn.XLOOKUP(C674,customers!$A$1:$A$1001,customers!$C$1:$C$1001,,0)=0,"", _xlfn.XLOOKUP(C674,customers!$A$1:$A$1001,customers!$C$1:$C$1001,,0))</f>
        <v>limasonio@discuz.net</v>
      </c>
      <c r="H674" s="3" t="str">
        <f>_xlfn.XLOOKUP(C674,customers!$A$1:$A$1001,customers!$G$1:$G$1001,,0)</f>
        <v>United States</v>
      </c>
      <c r="I674" s="4" t="str">
        <f>INDEX(products!$A$1:$G$49,MATCH(orders!$D674,products!$A$1:$A$49,0),MATCH(orders!I$1,products!$A$1:$G$1,0))</f>
        <v>Lib</v>
      </c>
      <c r="J674" s="4" t="str">
        <f>INDEX(products!$A$1:$G$49,MATCH(orders!$D674,products!$A$1:$A$49,0),MATCH(orders!J$1,products!$A$1:$G$1,0))</f>
        <v>M</v>
      </c>
      <c r="K674" s="6">
        <f>INDEX(products!$A$1:$G$49,MATCH(orders!$D674,products!$A$1:$A$49,0),MATCH(orders!K$1,products!$A$1:$G$1,0))</f>
        <v>0.5</v>
      </c>
      <c r="L674" s="7">
        <f>INDEX(products!$A$1:$G$49,MATCH(orders!$D674,products!$A$1:$A$49,0),MATCH(orders!L$1,products!$A$1:$G$1,0))</f>
        <v>8.73</v>
      </c>
      <c r="M674" s="7">
        <f t="shared" si="10"/>
        <v>43.650000000000006</v>
      </c>
      <c r="N674" s="4" t="str" cm="1">
        <f t="array" ref="N674">_xlfn.IFS(I674="Rob","Robusta",I674="Exc","Excelsa",I674="Ara","Arabica",I674="Lib","Liberica")</f>
        <v>Liberica</v>
      </c>
      <c r="O674" s="4" t="str" cm="1">
        <f t="array" ref="O674">_xlfn.IFS(J674="M","Medium",J674="L","Light",J674="D","Dark")</f>
        <v>Medium</v>
      </c>
      <c r="P674" s="4" t="str">
        <f>_xlfn.XLOOKUP(CoffeeOrderstable[[#This Row],[Customer ID]],customers!$A$1:$A$1001,customers!$I$1:$I$1001,,0)</f>
        <v>Yes</v>
      </c>
    </row>
    <row r="675" spans="1:16" x14ac:dyDescent="0.3">
      <c r="A675" s="3" t="s">
        <v>4291</v>
      </c>
      <c r="B675" s="5">
        <v>44118</v>
      </c>
      <c r="C675" s="3" t="s">
        <v>4292</v>
      </c>
      <c r="D675" s="4" t="s">
        <v>6141</v>
      </c>
      <c r="E675" s="3">
        <v>6</v>
      </c>
      <c r="F675" s="3" t="str">
        <f>_xlfn.XLOOKUP(C675,customers!$A$1:$A$1001,customers!$B$1:$B$1001,,0)</f>
        <v>Hazel Saill</v>
      </c>
      <c r="G675" s="3" t="str">
        <f>IF(_xlfn.XLOOKUP(C675,customers!$A$1:$A$1001,customers!$C$1:$C$1001,,0)=0,"", _xlfn.XLOOKUP(C675,customers!$A$1:$A$1001,customers!$C$1:$C$1001,,0))</f>
        <v>hsaillip@odnoklassniki.ru</v>
      </c>
      <c r="H675" s="3" t="str">
        <f>_xlfn.XLOOKUP(C675,customers!$A$1:$A$1001,customers!$G$1:$G$1001,,0)</f>
        <v>United States</v>
      </c>
      <c r="I675" s="4" t="str">
        <f>INDEX(products!$A$1:$G$49,MATCH(orders!$D675,products!$A$1:$A$49,0),MATCH(orders!I$1,products!$A$1:$G$1,0))</f>
        <v>Exc</v>
      </c>
      <c r="J675" s="4" t="str">
        <f>INDEX(products!$A$1:$G$49,MATCH(orders!$D675,products!$A$1:$A$49,0),MATCH(orders!J$1,products!$A$1:$G$1,0))</f>
        <v>M</v>
      </c>
      <c r="K675" s="6">
        <f>INDEX(products!$A$1:$G$49,MATCH(orders!$D675,products!$A$1:$A$49,0),MATCH(orders!K$1,products!$A$1:$G$1,0))</f>
        <v>1</v>
      </c>
      <c r="L675" s="7">
        <f>INDEX(products!$A$1:$G$49,MATCH(orders!$D675,products!$A$1:$A$49,0),MATCH(orders!L$1,products!$A$1:$G$1,0))</f>
        <v>13.75</v>
      </c>
      <c r="M675" s="7">
        <f t="shared" si="10"/>
        <v>82.5</v>
      </c>
      <c r="N675" s="4" t="str" cm="1">
        <f t="array" ref="N675">_xlfn.IFS(I675="Rob","Robusta",I675="Exc","Excelsa",I675="Ara","Arabica",I675="Lib","Liberica")</f>
        <v>Excelsa</v>
      </c>
      <c r="O675" s="4" t="str" cm="1">
        <f t="array" ref="O675">_xlfn.IFS(J675="M","Medium",J675="L","Light",J675="D","Dark")</f>
        <v>Medium</v>
      </c>
      <c r="P675" s="4" t="str">
        <f>_xlfn.XLOOKUP(CoffeeOrderstable[[#This Row],[Customer ID]],customers!$A$1:$A$1001,customers!$I$1:$I$1001,,0)</f>
        <v>Yes</v>
      </c>
    </row>
    <row r="676" spans="1:16" x14ac:dyDescent="0.3">
      <c r="A676" s="3" t="s">
        <v>4297</v>
      </c>
      <c r="B676" s="5">
        <v>44543</v>
      </c>
      <c r="C676" s="3" t="s">
        <v>4298</v>
      </c>
      <c r="D676" s="4" t="s">
        <v>6182</v>
      </c>
      <c r="E676" s="3">
        <v>6</v>
      </c>
      <c r="F676" s="3" t="str">
        <f>_xlfn.XLOOKUP(C676,customers!$A$1:$A$1001,customers!$B$1:$B$1001,,0)</f>
        <v>Hermann Larvor</v>
      </c>
      <c r="G676" s="3" t="str">
        <f>IF(_xlfn.XLOOKUP(C676,customers!$A$1:$A$1001,customers!$C$1:$C$1001,,0)=0,"", _xlfn.XLOOKUP(C676,customers!$A$1:$A$1001,customers!$C$1:$C$1001,,0))</f>
        <v>hlarvoriq@last.fm</v>
      </c>
      <c r="H676" s="3" t="str">
        <f>_xlfn.XLOOKUP(C676,customers!$A$1:$A$1001,customers!$G$1:$G$1001,,0)</f>
        <v>United States</v>
      </c>
      <c r="I676" s="4" t="str">
        <f>INDEX(products!$A$1:$G$49,MATCH(orders!$D676,products!$A$1:$A$49,0),MATCH(orders!I$1,products!$A$1:$G$1,0))</f>
        <v>Ara</v>
      </c>
      <c r="J676" s="4" t="str">
        <f>INDEX(products!$A$1:$G$49,MATCH(orders!$D676,products!$A$1:$A$49,0),MATCH(orders!J$1,products!$A$1:$G$1,0))</f>
        <v>L</v>
      </c>
      <c r="K676" s="6">
        <f>INDEX(products!$A$1:$G$49,MATCH(orders!$D676,products!$A$1:$A$49,0),MATCH(orders!K$1,products!$A$1:$G$1,0))</f>
        <v>2.5</v>
      </c>
      <c r="L676" s="7">
        <f>INDEX(products!$A$1:$G$49,MATCH(orders!$D676,products!$A$1:$A$49,0),MATCH(orders!L$1,products!$A$1:$G$1,0))</f>
        <v>29.784999999999997</v>
      </c>
      <c r="M676" s="7">
        <f t="shared" si="10"/>
        <v>178.70999999999998</v>
      </c>
      <c r="N676" s="4" t="str" cm="1">
        <f t="array" ref="N676">_xlfn.IFS(I676="Rob","Robusta",I676="Exc","Excelsa",I676="Ara","Arabica",I676="Lib","Liberica")</f>
        <v>Arabica</v>
      </c>
      <c r="O676" s="4" t="str" cm="1">
        <f t="array" ref="O676">_xlfn.IFS(J676="M","Medium",J676="L","Light",J676="D","Dark")</f>
        <v>Light</v>
      </c>
      <c r="P676" s="4" t="str">
        <f>_xlfn.XLOOKUP(CoffeeOrderstable[[#This Row],[Customer ID]],customers!$A$1:$A$1001,customers!$I$1:$I$1001,,0)</f>
        <v>Yes</v>
      </c>
    </row>
    <row r="677" spans="1:16" x14ac:dyDescent="0.3">
      <c r="A677" s="3" t="s">
        <v>4303</v>
      </c>
      <c r="B677" s="5">
        <v>44263</v>
      </c>
      <c r="C677" s="3" t="s">
        <v>4304</v>
      </c>
      <c r="D677" s="4" t="s">
        <v>6165</v>
      </c>
      <c r="E677" s="3">
        <v>4</v>
      </c>
      <c r="F677" s="3" t="str">
        <f>_xlfn.XLOOKUP(C677,customers!$A$1:$A$1001,customers!$B$1:$B$1001,,0)</f>
        <v>Terri Lyford</v>
      </c>
      <c r="G677" s="3" t="str">
        <f>IF(_xlfn.XLOOKUP(C677,customers!$A$1:$A$1001,customers!$C$1:$C$1001,,0)=0,"", _xlfn.XLOOKUP(C677,customers!$A$1:$A$1001,customers!$C$1:$C$1001,,0))</f>
        <v/>
      </c>
      <c r="H677" s="3" t="str">
        <f>_xlfn.XLOOKUP(C677,customers!$A$1:$A$1001,customers!$G$1:$G$1001,,0)</f>
        <v>United States</v>
      </c>
      <c r="I677" s="4" t="str">
        <f>INDEX(products!$A$1:$G$49,MATCH(orders!$D677,products!$A$1:$A$49,0),MATCH(orders!I$1,products!$A$1:$G$1,0))</f>
        <v>Lib</v>
      </c>
      <c r="J677" s="4" t="str">
        <f>INDEX(products!$A$1:$G$49,MATCH(orders!$D677,products!$A$1:$A$49,0),MATCH(orders!J$1,products!$A$1:$G$1,0))</f>
        <v>D</v>
      </c>
      <c r="K677" s="6">
        <f>INDEX(products!$A$1:$G$49,MATCH(orders!$D677,products!$A$1:$A$49,0),MATCH(orders!K$1,products!$A$1:$G$1,0))</f>
        <v>2.5</v>
      </c>
      <c r="L677" s="7">
        <f>INDEX(products!$A$1:$G$49,MATCH(orders!$D677,products!$A$1:$A$49,0),MATCH(orders!L$1,products!$A$1:$G$1,0))</f>
        <v>29.784999999999997</v>
      </c>
      <c r="M677" s="7">
        <f t="shared" si="10"/>
        <v>119.13999999999999</v>
      </c>
      <c r="N677" s="4" t="str" cm="1">
        <f t="array" ref="N677">_xlfn.IFS(I677="Rob","Robusta",I677="Exc","Excelsa",I677="Ara","Arabica",I677="Lib","Liberica")</f>
        <v>Liberica</v>
      </c>
      <c r="O677" s="4" t="str" cm="1">
        <f t="array" ref="O677">_xlfn.IFS(J677="M","Medium",J677="L","Light",J677="D","Dark")</f>
        <v>Dark</v>
      </c>
      <c r="P677" s="4" t="str">
        <f>_xlfn.XLOOKUP(CoffeeOrderstable[[#This Row],[Customer ID]],customers!$A$1:$A$1001,customers!$I$1:$I$1001,,0)</f>
        <v>Yes</v>
      </c>
    </row>
    <row r="678" spans="1:16" x14ac:dyDescent="0.3">
      <c r="A678" s="3" t="s">
        <v>4308</v>
      </c>
      <c r="B678" s="5">
        <v>44217</v>
      </c>
      <c r="C678" s="3" t="s">
        <v>4309</v>
      </c>
      <c r="D678" s="4" t="s">
        <v>6161</v>
      </c>
      <c r="E678" s="3">
        <v>5</v>
      </c>
      <c r="F678" s="3" t="str">
        <f>_xlfn.XLOOKUP(C678,customers!$A$1:$A$1001,customers!$B$1:$B$1001,,0)</f>
        <v>Gabey Cogan</v>
      </c>
      <c r="G678" s="3" t="str">
        <f>IF(_xlfn.XLOOKUP(C678,customers!$A$1:$A$1001,customers!$C$1:$C$1001,,0)=0,"", _xlfn.XLOOKUP(C678,customers!$A$1:$A$1001,customers!$C$1:$C$1001,,0))</f>
        <v/>
      </c>
      <c r="H678" s="3" t="str">
        <f>_xlfn.XLOOKUP(C678,customers!$A$1:$A$1001,customers!$G$1:$G$1001,,0)</f>
        <v>United States</v>
      </c>
      <c r="I678" s="4" t="str">
        <f>INDEX(products!$A$1:$G$49,MATCH(orders!$D678,products!$A$1:$A$49,0),MATCH(orders!I$1,products!$A$1:$G$1,0))</f>
        <v>Lib</v>
      </c>
      <c r="J678" s="4" t="str">
        <f>INDEX(products!$A$1:$G$49,MATCH(orders!$D678,products!$A$1:$A$49,0),MATCH(orders!J$1,products!$A$1:$G$1,0))</f>
        <v>L</v>
      </c>
      <c r="K678" s="6">
        <f>INDEX(products!$A$1:$G$49,MATCH(orders!$D678,products!$A$1:$A$49,0),MATCH(orders!K$1,products!$A$1:$G$1,0))</f>
        <v>0.5</v>
      </c>
      <c r="L678" s="7">
        <f>INDEX(products!$A$1:$G$49,MATCH(orders!$D678,products!$A$1:$A$49,0),MATCH(orders!L$1,products!$A$1:$G$1,0))</f>
        <v>9.51</v>
      </c>
      <c r="M678" s="7">
        <f t="shared" si="10"/>
        <v>47.55</v>
      </c>
      <c r="N678" s="4" t="str" cm="1">
        <f t="array" ref="N678">_xlfn.IFS(I678="Rob","Robusta",I678="Exc","Excelsa",I678="Ara","Arabica",I678="Lib","Liberica")</f>
        <v>Liberica</v>
      </c>
      <c r="O678" s="4" t="str" cm="1">
        <f t="array" ref="O678">_xlfn.IFS(J678="M","Medium",J678="L","Light",J678="D","Dark")</f>
        <v>Light</v>
      </c>
      <c r="P678" s="4" t="str">
        <f>_xlfn.XLOOKUP(CoffeeOrderstable[[#This Row],[Customer ID]],customers!$A$1:$A$1001,customers!$I$1:$I$1001,,0)</f>
        <v>No</v>
      </c>
    </row>
    <row r="679" spans="1:16" x14ac:dyDescent="0.3">
      <c r="A679" s="3" t="s">
        <v>4313</v>
      </c>
      <c r="B679" s="5">
        <v>44206</v>
      </c>
      <c r="C679" s="3" t="s">
        <v>4314</v>
      </c>
      <c r="D679" s="4" t="s">
        <v>6160</v>
      </c>
      <c r="E679" s="3">
        <v>5</v>
      </c>
      <c r="F679" s="3" t="str">
        <f>_xlfn.XLOOKUP(C679,customers!$A$1:$A$1001,customers!$B$1:$B$1001,,0)</f>
        <v>Charin Penwarden</v>
      </c>
      <c r="G679" s="3" t="str">
        <f>IF(_xlfn.XLOOKUP(C679,customers!$A$1:$A$1001,customers!$C$1:$C$1001,,0)=0,"", _xlfn.XLOOKUP(C679,customers!$A$1:$A$1001,customers!$C$1:$C$1001,,0))</f>
        <v>cpenwardenit@mlb.com</v>
      </c>
      <c r="H679" s="3" t="str">
        <f>_xlfn.XLOOKUP(C679,customers!$A$1:$A$1001,customers!$G$1:$G$1001,,0)</f>
        <v>Ireland</v>
      </c>
      <c r="I679" s="4" t="str">
        <f>INDEX(products!$A$1:$G$49,MATCH(orders!$D679,products!$A$1:$A$49,0),MATCH(orders!I$1,products!$A$1:$G$1,0))</f>
        <v>Lib</v>
      </c>
      <c r="J679" s="4" t="str">
        <f>INDEX(products!$A$1:$G$49,MATCH(orders!$D679,products!$A$1:$A$49,0),MATCH(orders!J$1,products!$A$1:$G$1,0))</f>
        <v>M</v>
      </c>
      <c r="K679" s="6">
        <f>INDEX(products!$A$1:$G$49,MATCH(orders!$D679,products!$A$1:$A$49,0),MATCH(orders!K$1,products!$A$1:$G$1,0))</f>
        <v>0.5</v>
      </c>
      <c r="L679" s="7">
        <f>INDEX(products!$A$1:$G$49,MATCH(orders!$D679,products!$A$1:$A$49,0),MATCH(orders!L$1,products!$A$1:$G$1,0))</f>
        <v>8.73</v>
      </c>
      <c r="M679" s="7">
        <f t="shared" si="10"/>
        <v>43.650000000000006</v>
      </c>
      <c r="N679" s="4" t="str" cm="1">
        <f t="array" ref="N679">_xlfn.IFS(I679="Rob","Robusta",I679="Exc","Excelsa",I679="Ara","Arabica",I679="Lib","Liberica")</f>
        <v>Liberica</v>
      </c>
      <c r="O679" s="4" t="str" cm="1">
        <f t="array" ref="O679">_xlfn.IFS(J679="M","Medium",J679="L","Light",J679="D","Dark")</f>
        <v>Medium</v>
      </c>
      <c r="P679" s="4" t="str">
        <f>_xlfn.XLOOKUP(CoffeeOrderstable[[#This Row],[Customer ID]],customers!$A$1:$A$1001,customers!$I$1:$I$1001,,0)</f>
        <v>No</v>
      </c>
    </row>
    <row r="680" spans="1:16" x14ac:dyDescent="0.3">
      <c r="A680" s="3" t="s">
        <v>4319</v>
      </c>
      <c r="B680" s="5">
        <v>44281</v>
      </c>
      <c r="C680" s="3" t="s">
        <v>4320</v>
      </c>
      <c r="D680" s="4" t="s">
        <v>6182</v>
      </c>
      <c r="E680" s="3">
        <v>6</v>
      </c>
      <c r="F680" s="3" t="str">
        <f>_xlfn.XLOOKUP(C680,customers!$A$1:$A$1001,customers!$B$1:$B$1001,,0)</f>
        <v>Milty Middis</v>
      </c>
      <c r="G680" s="3" t="str">
        <f>IF(_xlfn.XLOOKUP(C680,customers!$A$1:$A$1001,customers!$C$1:$C$1001,,0)=0,"", _xlfn.XLOOKUP(C680,customers!$A$1:$A$1001,customers!$C$1:$C$1001,,0))</f>
        <v>mmiddisiu@dmoz.org</v>
      </c>
      <c r="H680" s="3" t="str">
        <f>_xlfn.XLOOKUP(C680,customers!$A$1:$A$1001,customers!$G$1:$G$1001,,0)</f>
        <v>United States</v>
      </c>
      <c r="I680" s="4" t="str">
        <f>INDEX(products!$A$1:$G$49,MATCH(orders!$D680,products!$A$1:$A$49,0),MATCH(orders!I$1,products!$A$1:$G$1,0))</f>
        <v>Ara</v>
      </c>
      <c r="J680" s="4" t="str">
        <f>INDEX(products!$A$1:$G$49,MATCH(orders!$D680,products!$A$1:$A$49,0),MATCH(orders!J$1,products!$A$1:$G$1,0))</f>
        <v>L</v>
      </c>
      <c r="K680" s="6">
        <f>INDEX(products!$A$1:$G$49,MATCH(orders!$D680,products!$A$1:$A$49,0),MATCH(orders!K$1,products!$A$1:$G$1,0))</f>
        <v>2.5</v>
      </c>
      <c r="L680" s="7">
        <f>INDEX(products!$A$1:$G$49,MATCH(orders!$D680,products!$A$1:$A$49,0),MATCH(orders!L$1,products!$A$1:$G$1,0))</f>
        <v>29.784999999999997</v>
      </c>
      <c r="M680" s="7">
        <f t="shared" si="10"/>
        <v>178.70999999999998</v>
      </c>
      <c r="N680" s="4" t="str" cm="1">
        <f t="array" ref="N680">_xlfn.IFS(I680="Rob","Robusta",I680="Exc","Excelsa",I680="Ara","Arabica",I680="Lib","Liberica")</f>
        <v>Arabica</v>
      </c>
      <c r="O680" s="4" t="str" cm="1">
        <f t="array" ref="O680">_xlfn.IFS(J680="M","Medium",J680="L","Light",J680="D","Dark")</f>
        <v>Light</v>
      </c>
      <c r="P680" s="4" t="str">
        <f>_xlfn.XLOOKUP(CoffeeOrderstable[[#This Row],[Customer ID]],customers!$A$1:$A$1001,customers!$I$1:$I$1001,,0)</f>
        <v>Yes</v>
      </c>
    </row>
    <row r="681" spans="1:16" x14ac:dyDescent="0.3">
      <c r="A681" s="3" t="s">
        <v>4325</v>
      </c>
      <c r="B681" s="5">
        <v>44645</v>
      </c>
      <c r="C681" s="3" t="s">
        <v>4326</v>
      </c>
      <c r="D681" s="4" t="s">
        <v>6142</v>
      </c>
      <c r="E681" s="3">
        <v>1</v>
      </c>
      <c r="F681" s="3" t="str">
        <f>_xlfn.XLOOKUP(C681,customers!$A$1:$A$1001,customers!$B$1:$B$1001,,0)</f>
        <v>Adrianne Vairow</v>
      </c>
      <c r="G681" s="3" t="str">
        <f>IF(_xlfn.XLOOKUP(C681,customers!$A$1:$A$1001,customers!$C$1:$C$1001,,0)=0,"", _xlfn.XLOOKUP(C681,customers!$A$1:$A$1001,customers!$C$1:$C$1001,,0))</f>
        <v>avairowiv@studiopress.com</v>
      </c>
      <c r="H681" s="3" t="str">
        <f>_xlfn.XLOOKUP(C681,customers!$A$1:$A$1001,customers!$G$1:$G$1001,,0)</f>
        <v>United Kingdom</v>
      </c>
      <c r="I681" s="4" t="str">
        <f>INDEX(products!$A$1:$G$49,MATCH(orders!$D681,products!$A$1:$A$49,0),MATCH(orders!I$1,products!$A$1:$G$1,0))</f>
        <v>Rob</v>
      </c>
      <c r="J681" s="4" t="str">
        <f>INDEX(products!$A$1:$G$49,MATCH(orders!$D681,products!$A$1:$A$49,0),MATCH(orders!J$1,products!$A$1:$G$1,0))</f>
        <v>L</v>
      </c>
      <c r="K681" s="6">
        <f>INDEX(products!$A$1:$G$49,MATCH(orders!$D681,products!$A$1:$A$49,0),MATCH(orders!K$1,products!$A$1:$G$1,0))</f>
        <v>2.5</v>
      </c>
      <c r="L681" s="7">
        <f>INDEX(products!$A$1:$G$49,MATCH(orders!$D681,products!$A$1:$A$49,0),MATCH(orders!L$1,products!$A$1:$G$1,0))</f>
        <v>27.484999999999996</v>
      </c>
      <c r="M681" s="7">
        <f t="shared" si="10"/>
        <v>27.484999999999996</v>
      </c>
      <c r="N681" s="4" t="str" cm="1">
        <f t="array" ref="N681">_xlfn.IFS(I681="Rob","Robusta",I681="Exc","Excelsa",I681="Ara","Arabica",I681="Lib","Liberica")</f>
        <v>Robusta</v>
      </c>
      <c r="O681" s="4" t="str" cm="1">
        <f t="array" ref="O681">_xlfn.IFS(J681="M","Medium",J681="L","Light",J681="D","Dark")</f>
        <v>Light</v>
      </c>
      <c r="P681" s="4" t="str">
        <f>_xlfn.XLOOKUP(CoffeeOrderstable[[#This Row],[Customer ID]],customers!$A$1:$A$1001,customers!$I$1:$I$1001,,0)</f>
        <v>No</v>
      </c>
    </row>
    <row r="682" spans="1:16" x14ac:dyDescent="0.3">
      <c r="A682" s="3" t="s">
        <v>4331</v>
      </c>
      <c r="B682" s="5">
        <v>44399</v>
      </c>
      <c r="C682" s="3" t="s">
        <v>4332</v>
      </c>
      <c r="D682" s="4" t="s">
        <v>6155</v>
      </c>
      <c r="E682" s="3">
        <v>5</v>
      </c>
      <c r="F682" s="3" t="str">
        <f>_xlfn.XLOOKUP(C682,customers!$A$1:$A$1001,customers!$B$1:$B$1001,,0)</f>
        <v>Anjanette Goldie</v>
      </c>
      <c r="G682" s="3" t="str">
        <f>IF(_xlfn.XLOOKUP(C682,customers!$A$1:$A$1001,customers!$C$1:$C$1001,,0)=0,"", _xlfn.XLOOKUP(C682,customers!$A$1:$A$1001,customers!$C$1:$C$1001,,0))</f>
        <v>agoldieiw@goo.gl</v>
      </c>
      <c r="H682" s="3" t="str">
        <f>_xlfn.XLOOKUP(C682,customers!$A$1:$A$1001,customers!$G$1:$G$1001,,0)</f>
        <v>United States</v>
      </c>
      <c r="I682" s="4" t="str">
        <f>INDEX(products!$A$1:$G$49,MATCH(orders!$D682,products!$A$1:$A$49,0),MATCH(orders!I$1,products!$A$1:$G$1,0))</f>
        <v>Ara</v>
      </c>
      <c r="J682" s="4" t="str">
        <f>INDEX(products!$A$1:$G$49,MATCH(orders!$D682,products!$A$1:$A$49,0),MATCH(orders!J$1,products!$A$1:$G$1,0))</f>
        <v>M</v>
      </c>
      <c r="K682" s="6">
        <f>INDEX(products!$A$1:$G$49,MATCH(orders!$D682,products!$A$1:$A$49,0),MATCH(orders!K$1,products!$A$1:$G$1,0))</f>
        <v>1</v>
      </c>
      <c r="L682" s="7">
        <f>INDEX(products!$A$1:$G$49,MATCH(orders!$D682,products!$A$1:$A$49,0),MATCH(orders!L$1,products!$A$1:$G$1,0))</f>
        <v>11.25</v>
      </c>
      <c r="M682" s="7">
        <f t="shared" si="10"/>
        <v>56.25</v>
      </c>
      <c r="N682" s="4" t="str" cm="1">
        <f t="array" ref="N682">_xlfn.IFS(I682="Rob","Robusta",I682="Exc","Excelsa",I682="Ara","Arabica",I682="Lib","Liberica")</f>
        <v>Arabica</v>
      </c>
      <c r="O682" s="4" t="str" cm="1">
        <f t="array" ref="O682">_xlfn.IFS(J682="M","Medium",J682="L","Light",J682="D","Dark")</f>
        <v>Medium</v>
      </c>
      <c r="P682" s="4" t="str">
        <f>_xlfn.XLOOKUP(CoffeeOrderstable[[#This Row],[Customer ID]],customers!$A$1:$A$1001,customers!$I$1:$I$1001,,0)</f>
        <v>No</v>
      </c>
    </row>
    <row r="683" spans="1:16" x14ac:dyDescent="0.3">
      <c r="A683" s="3" t="s">
        <v>4336</v>
      </c>
      <c r="B683" s="5">
        <v>44080</v>
      </c>
      <c r="C683" s="3" t="s">
        <v>4337</v>
      </c>
      <c r="D683" s="4" t="s">
        <v>6145</v>
      </c>
      <c r="E683" s="3">
        <v>2</v>
      </c>
      <c r="F683" s="3" t="str">
        <f>_xlfn.XLOOKUP(C683,customers!$A$1:$A$1001,customers!$B$1:$B$1001,,0)</f>
        <v>Nicky Ayris</v>
      </c>
      <c r="G683" s="3" t="str">
        <f>IF(_xlfn.XLOOKUP(C683,customers!$A$1:$A$1001,customers!$C$1:$C$1001,,0)=0,"", _xlfn.XLOOKUP(C683,customers!$A$1:$A$1001,customers!$C$1:$C$1001,,0))</f>
        <v>nayrisix@t-online.de</v>
      </c>
      <c r="H683" s="3" t="str">
        <f>_xlfn.XLOOKUP(C683,customers!$A$1:$A$1001,customers!$G$1:$G$1001,,0)</f>
        <v>United Kingdom</v>
      </c>
      <c r="I683" s="4" t="str">
        <f>INDEX(products!$A$1:$G$49,MATCH(orders!$D683,products!$A$1:$A$49,0),MATCH(orders!I$1,products!$A$1:$G$1,0))</f>
        <v>Lib</v>
      </c>
      <c r="J683" s="4" t="str">
        <f>INDEX(products!$A$1:$G$49,MATCH(orders!$D683,products!$A$1:$A$49,0),MATCH(orders!J$1,products!$A$1:$G$1,0))</f>
        <v>L</v>
      </c>
      <c r="K683" s="6">
        <f>INDEX(products!$A$1:$G$49,MATCH(orders!$D683,products!$A$1:$A$49,0),MATCH(orders!K$1,products!$A$1:$G$1,0))</f>
        <v>0.2</v>
      </c>
      <c r="L683" s="7">
        <f>INDEX(products!$A$1:$G$49,MATCH(orders!$D683,products!$A$1:$A$49,0),MATCH(orders!L$1,products!$A$1:$G$1,0))</f>
        <v>4.7549999999999999</v>
      </c>
      <c r="M683" s="7">
        <f t="shared" si="10"/>
        <v>9.51</v>
      </c>
      <c r="N683" s="4" t="str" cm="1">
        <f t="array" ref="N683">_xlfn.IFS(I683="Rob","Robusta",I683="Exc","Excelsa",I683="Ara","Arabica",I683="Lib","Liberica")</f>
        <v>Liberica</v>
      </c>
      <c r="O683" s="4" t="str" cm="1">
        <f t="array" ref="O683">_xlfn.IFS(J683="M","Medium",J683="L","Light",J683="D","Dark")</f>
        <v>Light</v>
      </c>
      <c r="P683" s="4" t="str">
        <f>_xlfn.XLOOKUP(CoffeeOrderstable[[#This Row],[Customer ID]],customers!$A$1:$A$1001,customers!$I$1:$I$1001,,0)</f>
        <v>Yes</v>
      </c>
    </row>
    <row r="684" spans="1:16" x14ac:dyDescent="0.3">
      <c r="A684" s="3" t="s">
        <v>4342</v>
      </c>
      <c r="B684" s="5">
        <v>43827</v>
      </c>
      <c r="C684" s="3" t="s">
        <v>4343</v>
      </c>
      <c r="D684" s="4" t="s">
        <v>6156</v>
      </c>
      <c r="E684" s="3">
        <v>2</v>
      </c>
      <c r="F684" s="3" t="str">
        <f>_xlfn.XLOOKUP(C684,customers!$A$1:$A$1001,customers!$B$1:$B$1001,,0)</f>
        <v>Laryssa Benediktovich</v>
      </c>
      <c r="G684" s="3" t="str">
        <f>IF(_xlfn.XLOOKUP(C684,customers!$A$1:$A$1001,customers!$C$1:$C$1001,,0)=0,"", _xlfn.XLOOKUP(C684,customers!$A$1:$A$1001,customers!$C$1:$C$1001,,0))</f>
        <v>lbenediktovichiy@wunderground.com</v>
      </c>
      <c r="H684" s="3" t="str">
        <f>_xlfn.XLOOKUP(C684,customers!$A$1:$A$1001,customers!$G$1:$G$1001,,0)</f>
        <v>United States</v>
      </c>
      <c r="I684" s="4" t="str">
        <f>INDEX(products!$A$1:$G$49,MATCH(orders!$D684,products!$A$1:$A$49,0),MATCH(orders!I$1,products!$A$1:$G$1,0))</f>
        <v>Exc</v>
      </c>
      <c r="J684" s="4" t="str">
        <f>INDEX(products!$A$1:$G$49,MATCH(orders!$D684,products!$A$1:$A$49,0),MATCH(orders!J$1,products!$A$1:$G$1,0))</f>
        <v>M</v>
      </c>
      <c r="K684" s="6">
        <f>INDEX(products!$A$1:$G$49,MATCH(orders!$D684,products!$A$1:$A$49,0),MATCH(orders!K$1,products!$A$1:$G$1,0))</f>
        <v>0.2</v>
      </c>
      <c r="L684" s="7">
        <f>INDEX(products!$A$1:$G$49,MATCH(orders!$D684,products!$A$1:$A$49,0),MATCH(orders!L$1,products!$A$1:$G$1,0))</f>
        <v>4.125</v>
      </c>
      <c r="M684" s="7">
        <f t="shared" si="10"/>
        <v>8.25</v>
      </c>
      <c r="N684" s="4" t="str" cm="1">
        <f t="array" ref="N684">_xlfn.IFS(I684="Rob","Robusta",I684="Exc","Excelsa",I684="Ara","Arabica",I684="Lib","Liberica")</f>
        <v>Excelsa</v>
      </c>
      <c r="O684" s="4" t="str" cm="1">
        <f t="array" ref="O684">_xlfn.IFS(J684="M","Medium",J684="L","Light",J684="D","Dark")</f>
        <v>Medium</v>
      </c>
      <c r="P684" s="4" t="str">
        <f>_xlfn.XLOOKUP(CoffeeOrderstable[[#This Row],[Customer ID]],customers!$A$1:$A$1001,customers!$I$1:$I$1001,,0)</f>
        <v>Yes</v>
      </c>
    </row>
    <row r="685" spans="1:16" x14ac:dyDescent="0.3">
      <c r="A685" s="3" t="s">
        <v>4348</v>
      </c>
      <c r="B685" s="5">
        <v>43941</v>
      </c>
      <c r="C685" s="3" t="s">
        <v>4349</v>
      </c>
      <c r="D685" s="4" t="s">
        <v>6169</v>
      </c>
      <c r="E685" s="3">
        <v>6</v>
      </c>
      <c r="F685" s="3" t="str">
        <f>_xlfn.XLOOKUP(C685,customers!$A$1:$A$1001,customers!$B$1:$B$1001,,0)</f>
        <v>Theo Jacobovitz</v>
      </c>
      <c r="G685" s="3" t="str">
        <f>IF(_xlfn.XLOOKUP(C685,customers!$A$1:$A$1001,customers!$C$1:$C$1001,,0)=0,"", _xlfn.XLOOKUP(C685,customers!$A$1:$A$1001,customers!$C$1:$C$1001,,0))</f>
        <v>tjacobovitziz@cbc.ca</v>
      </c>
      <c r="H685" s="3" t="str">
        <f>_xlfn.XLOOKUP(C685,customers!$A$1:$A$1001,customers!$G$1:$G$1001,,0)</f>
        <v>United States</v>
      </c>
      <c r="I685" s="4" t="str">
        <f>INDEX(products!$A$1:$G$49,MATCH(orders!$D685,products!$A$1:$A$49,0),MATCH(orders!I$1,products!$A$1:$G$1,0))</f>
        <v>Lib</v>
      </c>
      <c r="J685" s="4" t="str">
        <f>INDEX(products!$A$1:$G$49,MATCH(orders!$D685,products!$A$1:$A$49,0),MATCH(orders!J$1,products!$A$1:$G$1,0))</f>
        <v>D</v>
      </c>
      <c r="K685" s="6">
        <f>INDEX(products!$A$1:$G$49,MATCH(orders!$D685,products!$A$1:$A$49,0),MATCH(orders!K$1,products!$A$1:$G$1,0))</f>
        <v>0.5</v>
      </c>
      <c r="L685" s="7">
        <f>INDEX(products!$A$1:$G$49,MATCH(orders!$D685,products!$A$1:$A$49,0),MATCH(orders!L$1,products!$A$1:$G$1,0))</f>
        <v>7.77</v>
      </c>
      <c r="M685" s="7">
        <f t="shared" si="10"/>
        <v>46.62</v>
      </c>
      <c r="N685" s="4" t="str" cm="1">
        <f t="array" ref="N685">_xlfn.IFS(I685="Rob","Robusta",I685="Exc","Excelsa",I685="Ara","Arabica",I685="Lib","Liberica")</f>
        <v>Liberica</v>
      </c>
      <c r="O685" s="4" t="str" cm="1">
        <f t="array" ref="O685">_xlfn.IFS(J685="M","Medium",J685="L","Light",J685="D","Dark")</f>
        <v>Dark</v>
      </c>
      <c r="P685" s="4" t="str">
        <f>_xlfn.XLOOKUP(CoffeeOrderstable[[#This Row],[Customer ID]],customers!$A$1:$A$1001,customers!$I$1:$I$1001,,0)</f>
        <v>No</v>
      </c>
    </row>
    <row r="686" spans="1:16" x14ac:dyDescent="0.3">
      <c r="A686" s="3" t="s">
        <v>4354</v>
      </c>
      <c r="B686" s="5">
        <v>43517</v>
      </c>
      <c r="C686" s="3" t="s">
        <v>4355</v>
      </c>
      <c r="D686" s="4" t="s">
        <v>6179</v>
      </c>
      <c r="E686" s="3">
        <v>6</v>
      </c>
      <c r="F686" s="3" t="str">
        <f>_xlfn.XLOOKUP(C686,customers!$A$1:$A$1001,customers!$B$1:$B$1001,,0)</f>
        <v>Becca Ableson</v>
      </c>
      <c r="G686" s="3" t="str">
        <f>IF(_xlfn.XLOOKUP(C686,customers!$A$1:$A$1001,customers!$C$1:$C$1001,,0)=0,"", _xlfn.XLOOKUP(C686,customers!$A$1:$A$1001,customers!$C$1:$C$1001,,0))</f>
        <v/>
      </c>
      <c r="H686" s="3" t="str">
        <f>_xlfn.XLOOKUP(C686,customers!$A$1:$A$1001,customers!$G$1:$G$1001,,0)</f>
        <v>United States</v>
      </c>
      <c r="I686" s="4" t="str">
        <f>INDEX(products!$A$1:$G$49,MATCH(orders!$D686,products!$A$1:$A$49,0),MATCH(orders!I$1,products!$A$1:$G$1,0))</f>
        <v>Rob</v>
      </c>
      <c r="J686" s="4" t="str">
        <f>INDEX(products!$A$1:$G$49,MATCH(orders!$D686,products!$A$1:$A$49,0),MATCH(orders!J$1,products!$A$1:$G$1,0))</f>
        <v>L</v>
      </c>
      <c r="K686" s="6">
        <f>INDEX(products!$A$1:$G$49,MATCH(orders!$D686,products!$A$1:$A$49,0),MATCH(orders!K$1,products!$A$1:$G$1,0))</f>
        <v>1</v>
      </c>
      <c r="L686" s="7">
        <f>INDEX(products!$A$1:$G$49,MATCH(orders!$D686,products!$A$1:$A$49,0),MATCH(orders!L$1,products!$A$1:$G$1,0))</f>
        <v>11.95</v>
      </c>
      <c r="M686" s="7">
        <f t="shared" si="10"/>
        <v>71.699999999999989</v>
      </c>
      <c r="N686" s="4" t="str" cm="1">
        <f t="array" ref="N686">_xlfn.IFS(I686="Rob","Robusta",I686="Exc","Excelsa",I686="Ara","Arabica",I686="Lib","Liberica")</f>
        <v>Robusta</v>
      </c>
      <c r="O686" s="4" t="str" cm="1">
        <f t="array" ref="O686">_xlfn.IFS(J686="M","Medium",J686="L","Light",J686="D","Dark")</f>
        <v>Light</v>
      </c>
      <c r="P686" s="4" t="str">
        <f>_xlfn.XLOOKUP(CoffeeOrderstable[[#This Row],[Customer ID]],customers!$A$1:$A$1001,customers!$I$1:$I$1001,,0)</f>
        <v>No</v>
      </c>
    </row>
    <row r="687" spans="1:16" x14ac:dyDescent="0.3">
      <c r="A687" s="3" t="s">
        <v>4359</v>
      </c>
      <c r="B687" s="5">
        <v>44637</v>
      </c>
      <c r="C687" s="3" t="s">
        <v>4360</v>
      </c>
      <c r="D687" s="4" t="s">
        <v>6164</v>
      </c>
      <c r="E687" s="3">
        <v>2</v>
      </c>
      <c r="F687" s="3" t="str">
        <f>_xlfn.XLOOKUP(C687,customers!$A$1:$A$1001,customers!$B$1:$B$1001,,0)</f>
        <v>Jeno Druitt</v>
      </c>
      <c r="G687" s="3" t="str">
        <f>IF(_xlfn.XLOOKUP(C687,customers!$A$1:$A$1001,customers!$C$1:$C$1001,,0)=0,"", _xlfn.XLOOKUP(C687,customers!$A$1:$A$1001,customers!$C$1:$C$1001,,0))</f>
        <v>jdruittj1@feedburner.com</v>
      </c>
      <c r="H687" s="3" t="str">
        <f>_xlfn.XLOOKUP(C687,customers!$A$1:$A$1001,customers!$G$1:$G$1001,,0)</f>
        <v>United States</v>
      </c>
      <c r="I687" s="4" t="str">
        <f>INDEX(products!$A$1:$G$49,MATCH(orders!$D687,products!$A$1:$A$49,0),MATCH(orders!I$1,products!$A$1:$G$1,0))</f>
        <v>Lib</v>
      </c>
      <c r="J687" s="4" t="str">
        <f>INDEX(products!$A$1:$G$49,MATCH(orders!$D687,products!$A$1:$A$49,0),MATCH(orders!J$1,products!$A$1:$G$1,0))</f>
        <v>L</v>
      </c>
      <c r="K687" s="6">
        <f>INDEX(products!$A$1:$G$49,MATCH(orders!$D687,products!$A$1:$A$49,0),MATCH(orders!K$1,products!$A$1:$G$1,0))</f>
        <v>2.5</v>
      </c>
      <c r="L687" s="7">
        <f>INDEX(products!$A$1:$G$49,MATCH(orders!$D687,products!$A$1:$A$49,0),MATCH(orders!L$1,products!$A$1:$G$1,0))</f>
        <v>36.454999999999998</v>
      </c>
      <c r="M687" s="7">
        <f t="shared" si="10"/>
        <v>72.91</v>
      </c>
      <c r="N687" s="4" t="str" cm="1">
        <f t="array" ref="N687">_xlfn.IFS(I687="Rob","Robusta",I687="Exc","Excelsa",I687="Ara","Arabica",I687="Lib","Liberica")</f>
        <v>Liberica</v>
      </c>
      <c r="O687" s="4" t="str" cm="1">
        <f t="array" ref="O687">_xlfn.IFS(J687="M","Medium",J687="L","Light",J687="D","Dark")</f>
        <v>Light</v>
      </c>
      <c r="P687" s="4" t="str">
        <f>_xlfn.XLOOKUP(CoffeeOrderstable[[#This Row],[Customer ID]],customers!$A$1:$A$1001,customers!$I$1:$I$1001,,0)</f>
        <v>Yes</v>
      </c>
    </row>
    <row r="688" spans="1:16" x14ac:dyDescent="0.3">
      <c r="A688" s="3" t="s">
        <v>4365</v>
      </c>
      <c r="B688" s="5">
        <v>44330</v>
      </c>
      <c r="C688" s="3" t="s">
        <v>4366</v>
      </c>
      <c r="D688" s="4" t="s">
        <v>6163</v>
      </c>
      <c r="E688" s="3">
        <v>3</v>
      </c>
      <c r="F688" s="3" t="str">
        <f>_xlfn.XLOOKUP(C688,customers!$A$1:$A$1001,customers!$B$1:$B$1001,,0)</f>
        <v>Deonne Shortall</v>
      </c>
      <c r="G688" s="3" t="str">
        <f>IF(_xlfn.XLOOKUP(C688,customers!$A$1:$A$1001,customers!$C$1:$C$1001,,0)=0,"", _xlfn.XLOOKUP(C688,customers!$A$1:$A$1001,customers!$C$1:$C$1001,,0))</f>
        <v>dshortallj2@wikipedia.org</v>
      </c>
      <c r="H688" s="3" t="str">
        <f>_xlfn.XLOOKUP(C688,customers!$A$1:$A$1001,customers!$G$1:$G$1001,,0)</f>
        <v>United States</v>
      </c>
      <c r="I688" s="4" t="str">
        <f>INDEX(products!$A$1:$G$49,MATCH(orders!$D688,products!$A$1:$A$49,0),MATCH(orders!I$1,products!$A$1:$G$1,0))</f>
        <v>Rob</v>
      </c>
      <c r="J688" s="4" t="str">
        <f>INDEX(products!$A$1:$G$49,MATCH(orders!$D688,products!$A$1:$A$49,0),MATCH(orders!J$1,products!$A$1:$G$1,0))</f>
        <v>D</v>
      </c>
      <c r="K688" s="6">
        <f>INDEX(products!$A$1:$G$49,MATCH(orders!$D688,products!$A$1:$A$49,0),MATCH(orders!K$1,products!$A$1:$G$1,0))</f>
        <v>0.2</v>
      </c>
      <c r="L688" s="7">
        <f>INDEX(products!$A$1:$G$49,MATCH(orders!$D688,products!$A$1:$A$49,0),MATCH(orders!L$1,products!$A$1:$G$1,0))</f>
        <v>2.6849999999999996</v>
      </c>
      <c r="M688" s="7">
        <f t="shared" si="10"/>
        <v>8.0549999999999997</v>
      </c>
      <c r="N688" s="4" t="str" cm="1">
        <f t="array" ref="N688">_xlfn.IFS(I688="Rob","Robusta",I688="Exc","Excelsa",I688="Ara","Arabica",I688="Lib","Liberica")</f>
        <v>Robusta</v>
      </c>
      <c r="O688" s="4" t="str" cm="1">
        <f t="array" ref="O688">_xlfn.IFS(J688="M","Medium",J688="L","Light",J688="D","Dark")</f>
        <v>Dark</v>
      </c>
      <c r="P688" s="4" t="str">
        <f>_xlfn.XLOOKUP(CoffeeOrderstable[[#This Row],[Customer ID]],customers!$A$1:$A$1001,customers!$I$1:$I$1001,,0)</f>
        <v>Yes</v>
      </c>
    </row>
    <row r="689" spans="1:16" x14ac:dyDescent="0.3">
      <c r="A689" s="3" t="s">
        <v>4371</v>
      </c>
      <c r="B689" s="5">
        <v>43471</v>
      </c>
      <c r="C689" s="3" t="s">
        <v>4372</v>
      </c>
      <c r="D689" s="4" t="s">
        <v>6139</v>
      </c>
      <c r="E689" s="3">
        <v>2</v>
      </c>
      <c r="F689" s="3" t="str">
        <f>_xlfn.XLOOKUP(C689,customers!$A$1:$A$1001,customers!$B$1:$B$1001,,0)</f>
        <v>Wilton Cottier</v>
      </c>
      <c r="G689" s="3" t="str">
        <f>IF(_xlfn.XLOOKUP(C689,customers!$A$1:$A$1001,customers!$C$1:$C$1001,,0)=0,"", _xlfn.XLOOKUP(C689,customers!$A$1:$A$1001,customers!$C$1:$C$1001,,0))</f>
        <v>wcottierj3@cafepress.com</v>
      </c>
      <c r="H689" s="3" t="str">
        <f>_xlfn.XLOOKUP(C689,customers!$A$1:$A$1001,customers!$G$1:$G$1001,,0)</f>
        <v>United States</v>
      </c>
      <c r="I689" s="4" t="str">
        <f>INDEX(products!$A$1:$G$49,MATCH(orders!$D689,products!$A$1:$A$49,0),MATCH(orders!I$1,products!$A$1:$G$1,0))</f>
        <v>Exc</v>
      </c>
      <c r="J689" s="4" t="str">
        <f>INDEX(products!$A$1:$G$49,MATCH(orders!$D689,products!$A$1:$A$49,0),MATCH(orders!J$1,products!$A$1:$G$1,0))</f>
        <v>M</v>
      </c>
      <c r="K689" s="6">
        <f>INDEX(products!$A$1:$G$49,MATCH(orders!$D689,products!$A$1:$A$49,0),MATCH(orders!K$1,products!$A$1:$G$1,0))</f>
        <v>0.5</v>
      </c>
      <c r="L689" s="7">
        <f>INDEX(products!$A$1:$G$49,MATCH(orders!$D689,products!$A$1:$A$49,0),MATCH(orders!L$1,products!$A$1:$G$1,0))</f>
        <v>8.25</v>
      </c>
      <c r="M689" s="7">
        <f t="shared" si="10"/>
        <v>16.5</v>
      </c>
      <c r="N689" s="4" t="str" cm="1">
        <f t="array" ref="N689">_xlfn.IFS(I689="Rob","Robusta",I689="Exc","Excelsa",I689="Ara","Arabica",I689="Lib","Liberica")</f>
        <v>Excelsa</v>
      </c>
      <c r="O689" s="4" t="str" cm="1">
        <f t="array" ref="O689">_xlfn.IFS(J689="M","Medium",J689="L","Light",J689="D","Dark")</f>
        <v>Medium</v>
      </c>
      <c r="P689" s="4" t="str">
        <f>_xlfn.XLOOKUP(CoffeeOrderstable[[#This Row],[Customer ID]],customers!$A$1:$A$1001,customers!$I$1:$I$1001,,0)</f>
        <v>No</v>
      </c>
    </row>
    <row r="690" spans="1:16" x14ac:dyDescent="0.3">
      <c r="A690" s="3" t="s">
        <v>4377</v>
      </c>
      <c r="B690" s="5">
        <v>43579</v>
      </c>
      <c r="C690" s="3" t="s">
        <v>4378</v>
      </c>
      <c r="D690" s="4" t="s">
        <v>6140</v>
      </c>
      <c r="E690" s="3">
        <v>5</v>
      </c>
      <c r="F690" s="3" t="str">
        <f>_xlfn.XLOOKUP(C690,customers!$A$1:$A$1001,customers!$B$1:$B$1001,,0)</f>
        <v>Kevan Grinsted</v>
      </c>
      <c r="G690" s="3" t="str">
        <f>IF(_xlfn.XLOOKUP(C690,customers!$A$1:$A$1001,customers!$C$1:$C$1001,,0)=0,"", _xlfn.XLOOKUP(C690,customers!$A$1:$A$1001,customers!$C$1:$C$1001,,0))</f>
        <v>kgrinstedj4@google.com.br</v>
      </c>
      <c r="H690" s="3" t="str">
        <f>_xlfn.XLOOKUP(C690,customers!$A$1:$A$1001,customers!$G$1:$G$1001,,0)</f>
        <v>Ireland</v>
      </c>
      <c r="I690" s="4" t="str">
        <f>INDEX(products!$A$1:$G$49,MATCH(orders!$D690,products!$A$1:$A$49,0),MATCH(orders!I$1,products!$A$1:$G$1,0))</f>
        <v>Ara</v>
      </c>
      <c r="J690" s="4" t="str">
        <f>INDEX(products!$A$1:$G$49,MATCH(orders!$D690,products!$A$1:$A$49,0),MATCH(orders!J$1,products!$A$1:$G$1,0))</f>
        <v>L</v>
      </c>
      <c r="K690" s="6">
        <f>INDEX(products!$A$1:$G$49,MATCH(orders!$D690,products!$A$1:$A$49,0),MATCH(orders!K$1,products!$A$1:$G$1,0))</f>
        <v>1</v>
      </c>
      <c r="L690" s="7">
        <f>INDEX(products!$A$1:$G$49,MATCH(orders!$D690,products!$A$1:$A$49,0),MATCH(orders!L$1,products!$A$1:$G$1,0))</f>
        <v>12.95</v>
      </c>
      <c r="M690" s="7">
        <f t="shared" si="10"/>
        <v>64.75</v>
      </c>
      <c r="N690" s="4" t="str" cm="1">
        <f t="array" ref="N690">_xlfn.IFS(I690="Rob","Robusta",I690="Exc","Excelsa",I690="Ara","Arabica",I690="Lib","Liberica")</f>
        <v>Arabica</v>
      </c>
      <c r="O690" s="4" t="str" cm="1">
        <f t="array" ref="O690">_xlfn.IFS(J690="M","Medium",J690="L","Light",J690="D","Dark")</f>
        <v>Light</v>
      </c>
      <c r="P690" s="4" t="str">
        <f>_xlfn.XLOOKUP(CoffeeOrderstable[[#This Row],[Customer ID]],customers!$A$1:$A$1001,customers!$I$1:$I$1001,,0)</f>
        <v>No</v>
      </c>
    </row>
    <row r="691" spans="1:16" x14ac:dyDescent="0.3">
      <c r="A691" s="3" t="s">
        <v>4383</v>
      </c>
      <c r="B691" s="5">
        <v>44346</v>
      </c>
      <c r="C691" s="3" t="s">
        <v>4384</v>
      </c>
      <c r="D691" s="4" t="s">
        <v>6157</v>
      </c>
      <c r="E691" s="3">
        <v>5</v>
      </c>
      <c r="F691" s="3" t="str">
        <f>_xlfn.XLOOKUP(C691,customers!$A$1:$A$1001,customers!$B$1:$B$1001,,0)</f>
        <v>Dionne Skyner</v>
      </c>
      <c r="G691" s="3" t="str">
        <f>IF(_xlfn.XLOOKUP(C691,customers!$A$1:$A$1001,customers!$C$1:$C$1001,,0)=0,"", _xlfn.XLOOKUP(C691,customers!$A$1:$A$1001,customers!$C$1:$C$1001,,0))</f>
        <v>dskynerj5@hubpages.com</v>
      </c>
      <c r="H691" s="3" t="str">
        <f>_xlfn.XLOOKUP(C691,customers!$A$1:$A$1001,customers!$G$1:$G$1001,,0)</f>
        <v>United States</v>
      </c>
      <c r="I691" s="4" t="str">
        <f>INDEX(products!$A$1:$G$49,MATCH(orders!$D691,products!$A$1:$A$49,0),MATCH(orders!I$1,products!$A$1:$G$1,0))</f>
        <v>Ara</v>
      </c>
      <c r="J691" s="4" t="str">
        <f>INDEX(products!$A$1:$G$49,MATCH(orders!$D691,products!$A$1:$A$49,0),MATCH(orders!J$1,products!$A$1:$G$1,0))</f>
        <v>M</v>
      </c>
      <c r="K691" s="6">
        <f>INDEX(products!$A$1:$G$49,MATCH(orders!$D691,products!$A$1:$A$49,0),MATCH(orders!K$1,products!$A$1:$G$1,0))</f>
        <v>0.5</v>
      </c>
      <c r="L691" s="7">
        <f>INDEX(products!$A$1:$G$49,MATCH(orders!$D691,products!$A$1:$A$49,0),MATCH(orders!L$1,products!$A$1:$G$1,0))</f>
        <v>6.75</v>
      </c>
      <c r="M691" s="7">
        <f t="shared" si="10"/>
        <v>33.75</v>
      </c>
      <c r="N691" s="4" t="str" cm="1">
        <f t="array" ref="N691">_xlfn.IFS(I691="Rob","Robusta",I691="Exc","Excelsa",I691="Ara","Arabica",I691="Lib","Liberica")</f>
        <v>Arabica</v>
      </c>
      <c r="O691" s="4" t="str" cm="1">
        <f t="array" ref="O691">_xlfn.IFS(J691="M","Medium",J691="L","Light",J691="D","Dark")</f>
        <v>Medium</v>
      </c>
      <c r="P691" s="4" t="str">
        <f>_xlfn.XLOOKUP(CoffeeOrderstable[[#This Row],[Customer ID]],customers!$A$1:$A$1001,customers!$I$1:$I$1001,,0)</f>
        <v>No</v>
      </c>
    </row>
    <row r="692" spans="1:16" x14ac:dyDescent="0.3">
      <c r="A692" s="3" t="s">
        <v>4389</v>
      </c>
      <c r="B692" s="5">
        <v>44754</v>
      </c>
      <c r="C692" s="3" t="s">
        <v>4390</v>
      </c>
      <c r="D692" s="4" t="s">
        <v>6165</v>
      </c>
      <c r="E692" s="3">
        <v>6</v>
      </c>
      <c r="F692" s="3" t="str">
        <f>_xlfn.XLOOKUP(C692,customers!$A$1:$A$1001,customers!$B$1:$B$1001,,0)</f>
        <v>Francesco Dressel</v>
      </c>
      <c r="G692" s="3" t="str">
        <f>IF(_xlfn.XLOOKUP(C692,customers!$A$1:$A$1001,customers!$C$1:$C$1001,,0)=0,"", _xlfn.XLOOKUP(C692,customers!$A$1:$A$1001,customers!$C$1:$C$1001,,0))</f>
        <v/>
      </c>
      <c r="H692" s="3" t="str">
        <f>_xlfn.XLOOKUP(C692,customers!$A$1:$A$1001,customers!$G$1:$G$1001,,0)</f>
        <v>United States</v>
      </c>
      <c r="I692" s="4" t="str">
        <f>INDEX(products!$A$1:$G$49,MATCH(orders!$D692,products!$A$1:$A$49,0),MATCH(orders!I$1,products!$A$1:$G$1,0))</f>
        <v>Lib</v>
      </c>
      <c r="J692" s="4" t="str">
        <f>INDEX(products!$A$1:$G$49,MATCH(orders!$D692,products!$A$1:$A$49,0),MATCH(orders!J$1,products!$A$1:$G$1,0))</f>
        <v>D</v>
      </c>
      <c r="K692" s="6">
        <f>INDEX(products!$A$1:$G$49,MATCH(orders!$D692,products!$A$1:$A$49,0),MATCH(orders!K$1,products!$A$1:$G$1,0))</f>
        <v>2.5</v>
      </c>
      <c r="L692" s="7">
        <f>INDEX(products!$A$1:$G$49,MATCH(orders!$D692,products!$A$1:$A$49,0),MATCH(orders!L$1,products!$A$1:$G$1,0))</f>
        <v>29.784999999999997</v>
      </c>
      <c r="M692" s="7">
        <f t="shared" si="10"/>
        <v>178.70999999999998</v>
      </c>
      <c r="N692" s="4" t="str" cm="1">
        <f t="array" ref="N692">_xlfn.IFS(I692="Rob","Robusta",I692="Exc","Excelsa",I692="Ara","Arabica",I692="Lib","Liberica")</f>
        <v>Liberica</v>
      </c>
      <c r="O692" s="4" t="str" cm="1">
        <f t="array" ref="O692">_xlfn.IFS(J692="M","Medium",J692="L","Light",J692="D","Dark")</f>
        <v>Dark</v>
      </c>
      <c r="P692" s="4" t="str">
        <f>_xlfn.XLOOKUP(CoffeeOrderstable[[#This Row],[Customer ID]],customers!$A$1:$A$1001,customers!$I$1:$I$1001,,0)</f>
        <v>No</v>
      </c>
    </row>
    <row r="693" spans="1:16" x14ac:dyDescent="0.3">
      <c r="A693" s="3" t="s">
        <v>4393</v>
      </c>
      <c r="B693" s="5">
        <v>44227</v>
      </c>
      <c r="C693" s="3" t="s">
        <v>4434</v>
      </c>
      <c r="D693" s="4" t="s">
        <v>6155</v>
      </c>
      <c r="E693" s="3">
        <v>2</v>
      </c>
      <c r="F693" s="3" t="str">
        <f>_xlfn.XLOOKUP(C693,customers!$A$1:$A$1001,customers!$B$1:$B$1001,,0)</f>
        <v>Jimmy Dymoke</v>
      </c>
      <c r="G693" s="3" t="str">
        <f>IF(_xlfn.XLOOKUP(C693,customers!$A$1:$A$1001,customers!$C$1:$C$1001,,0)=0,"", _xlfn.XLOOKUP(C693,customers!$A$1:$A$1001,customers!$C$1:$C$1001,,0))</f>
        <v>jdymokeje@prnewswire.com</v>
      </c>
      <c r="H693" s="3" t="str">
        <f>_xlfn.XLOOKUP(C693,customers!$A$1:$A$1001,customers!$G$1:$G$1001,,0)</f>
        <v>Ireland</v>
      </c>
      <c r="I693" s="4" t="str">
        <f>INDEX(products!$A$1:$G$49,MATCH(orders!$D693,products!$A$1:$A$49,0),MATCH(orders!I$1,products!$A$1:$G$1,0))</f>
        <v>Ara</v>
      </c>
      <c r="J693" s="4" t="str">
        <f>INDEX(products!$A$1:$G$49,MATCH(orders!$D693,products!$A$1:$A$49,0),MATCH(orders!J$1,products!$A$1:$G$1,0))</f>
        <v>M</v>
      </c>
      <c r="K693" s="6">
        <f>INDEX(products!$A$1:$G$49,MATCH(orders!$D693,products!$A$1:$A$49,0),MATCH(orders!K$1,products!$A$1:$G$1,0))</f>
        <v>1</v>
      </c>
      <c r="L693" s="7">
        <f>INDEX(products!$A$1:$G$49,MATCH(orders!$D693,products!$A$1:$A$49,0),MATCH(orders!L$1,products!$A$1:$G$1,0))</f>
        <v>11.25</v>
      </c>
      <c r="M693" s="7">
        <f t="shared" si="10"/>
        <v>22.5</v>
      </c>
      <c r="N693" s="4" t="str" cm="1">
        <f t="array" ref="N693">_xlfn.IFS(I693="Rob","Robusta",I693="Exc","Excelsa",I693="Ara","Arabica",I693="Lib","Liberica")</f>
        <v>Arabica</v>
      </c>
      <c r="O693" s="4" t="str" cm="1">
        <f t="array" ref="O693">_xlfn.IFS(J693="M","Medium",J693="L","Light",J693="D","Dark")</f>
        <v>Medium</v>
      </c>
      <c r="P693" s="4" t="str">
        <f>_xlfn.XLOOKUP(CoffeeOrderstable[[#This Row],[Customer ID]],customers!$A$1:$A$1001,customers!$I$1:$I$1001,,0)</f>
        <v>No</v>
      </c>
    </row>
    <row r="694" spans="1:16" x14ac:dyDescent="0.3">
      <c r="A694" s="3" t="s">
        <v>4399</v>
      </c>
      <c r="B694" s="5">
        <v>43720</v>
      </c>
      <c r="C694" s="3" t="s">
        <v>4400</v>
      </c>
      <c r="D694" s="4" t="s">
        <v>6143</v>
      </c>
      <c r="E694" s="3">
        <v>1</v>
      </c>
      <c r="F694" s="3" t="str">
        <f>_xlfn.XLOOKUP(C694,customers!$A$1:$A$1001,customers!$B$1:$B$1001,,0)</f>
        <v>Ambrosio Weinmann</v>
      </c>
      <c r="G694" s="3" t="str">
        <f>IF(_xlfn.XLOOKUP(C694,customers!$A$1:$A$1001,customers!$C$1:$C$1001,,0)=0,"", _xlfn.XLOOKUP(C694,customers!$A$1:$A$1001,customers!$C$1:$C$1001,,0))</f>
        <v>aweinmannj8@shinystat.com</v>
      </c>
      <c r="H694" s="3" t="str">
        <f>_xlfn.XLOOKUP(C694,customers!$A$1:$A$1001,customers!$G$1:$G$1001,,0)</f>
        <v>United States</v>
      </c>
      <c r="I694" s="4" t="str">
        <f>INDEX(products!$A$1:$G$49,MATCH(orders!$D694,products!$A$1:$A$49,0),MATCH(orders!I$1,products!$A$1:$G$1,0))</f>
        <v>Lib</v>
      </c>
      <c r="J694" s="4" t="str">
        <f>INDEX(products!$A$1:$G$49,MATCH(orders!$D694,products!$A$1:$A$49,0),MATCH(orders!J$1,products!$A$1:$G$1,0))</f>
        <v>D</v>
      </c>
      <c r="K694" s="6">
        <f>INDEX(products!$A$1:$G$49,MATCH(orders!$D694,products!$A$1:$A$49,0),MATCH(orders!K$1,products!$A$1:$G$1,0))</f>
        <v>1</v>
      </c>
      <c r="L694" s="7">
        <f>INDEX(products!$A$1:$G$49,MATCH(orders!$D694,products!$A$1:$A$49,0),MATCH(orders!L$1,products!$A$1:$G$1,0))</f>
        <v>12.95</v>
      </c>
      <c r="M694" s="7">
        <f t="shared" si="10"/>
        <v>12.95</v>
      </c>
      <c r="N694" s="4" t="str" cm="1">
        <f t="array" ref="N694">_xlfn.IFS(I694="Rob","Robusta",I694="Exc","Excelsa",I694="Ara","Arabica",I694="Lib","Liberica")</f>
        <v>Liberica</v>
      </c>
      <c r="O694" s="4" t="str" cm="1">
        <f t="array" ref="O694">_xlfn.IFS(J694="M","Medium",J694="L","Light",J694="D","Dark")</f>
        <v>Dark</v>
      </c>
      <c r="P694" s="4" t="str">
        <f>_xlfn.XLOOKUP(CoffeeOrderstable[[#This Row],[Customer ID]],customers!$A$1:$A$1001,customers!$I$1:$I$1001,,0)</f>
        <v>No</v>
      </c>
    </row>
    <row r="695" spans="1:16" x14ac:dyDescent="0.3">
      <c r="A695" s="3" t="s">
        <v>4405</v>
      </c>
      <c r="B695" s="5">
        <v>44012</v>
      </c>
      <c r="C695" s="3" t="s">
        <v>4406</v>
      </c>
      <c r="D695" s="4" t="s">
        <v>6175</v>
      </c>
      <c r="E695" s="3">
        <v>2</v>
      </c>
      <c r="F695" s="3" t="str">
        <f>_xlfn.XLOOKUP(C695,customers!$A$1:$A$1001,customers!$B$1:$B$1001,,0)</f>
        <v>Elden Andriessen</v>
      </c>
      <c r="G695" s="3" t="str">
        <f>IF(_xlfn.XLOOKUP(C695,customers!$A$1:$A$1001,customers!$C$1:$C$1001,,0)=0,"", _xlfn.XLOOKUP(C695,customers!$A$1:$A$1001,customers!$C$1:$C$1001,,0))</f>
        <v>eandriessenj9@europa.eu</v>
      </c>
      <c r="H695" s="3" t="str">
        <f>_xlfn.XLOOKUP(C695,customers!$A$1:$A$1001,customers!$G$1:$G$1001,,0)</f>
        <v>United States</v>
      </c>
      <c r="I695" s="4" t="str">
        <f>INDEX(products!$A$1:$G$49,MATCH(orders!$D695,products!$A$1:$A$49,0),MATCH(orders!I$1,products!$A$1:$G$1,0))</f>
        <v>Ara</v>
      </c>
      <c r="J695" s="4" t="str">
        <f>INDEX(products!$A$1:$G$49,MATCH(orders!$D695,products!$A$1:$A$49,0),MATCH(orders!J$1,products!$A$1:$G$1,0))</f>
        <v>M</v>
      </c>
      <c r="K695" s="6">
        <f>INDEX(products!$A$1:$G$49,MATCH(orders!$D695,products!$A$1:$A$49,0),MATCH(orders!K$1,products!$A$1:$G$1,0))</f>
        <v>2.5</v>
      </c>
      <c r="L695" s="7">
        <f>INDEX(products!$A$1:$G$49,MATCH(orders!$D695,products!$A$1:$A$49,0),MATCH(orders!L$1,products!$A$1:$G$1,0))</f>
        <v>25.874999999999996</v>
      </c>
      <c r="M695" s="7">
        <f t="shared" si="10"/>
        <v>51.749999999999993</v>
      </c>
      <c r="N695" s="4" t="str" cm="1">
        <f t="array" ref="N695">_xlfn.IFS(I695="Rob","Robusta",I695="Exc","Excelsa",I695="Ara","Arabica",I695="Lib","Liberica")</f>
        <v>Arabica</v>
      </c>
      <c r="O695" s="4" t="str" cm="1">
        <f t="array" ref="O695">_xlfn.IFS(J695="M","Medium",J695="L","Light",J695="D","Dark")</f>
        <v>Medium</v>
      </c>
      <c r="P695" s="4" t="str">
        <f>_xlfn.XLOOKUP(CoffeeOrderstable[[#This Row],[Customer ID]],customers!$A$1:$A$1001,customers!$I$1:$I$1001,,0)</f>
        <v>Yes</v>
      </c>
    </row>
    <row r="696" spans="1:16" x14ac:dyDescent="0.3">
      <c r="A696" s="3" t="s">
        <v>4411</v>
      </c>
      <c r="B696" s="5">
        <v>43915</v>
      </c>
      <c r="C696" s="3" t="s">
        <v>4412</v>
      </c>
      <c r="D696" s="4" t="s">
        <v>6144</v>
      </c>
      <c r="E696" s="3">
        <v>5</v>
      </c>
      <c r="F696" s="3" t="str">
        <f>_xlfn.XLOOKUP(C696,customers!$A$1:$A$1001,customers!$B$1:$B$1001,,0)</f>
        <v>Roxie Deaconson</v>
      </c>
      <c r="G696" s="3" t="str">
        <f>IF(_xlfn.XLOOKUP(C696,customers!$A$1:$A$1001,customers!$C$1:$C$1001,,0)=0,"", _xlfn.XLOOKUP(C696,customers!$A$1:$A$1001,customers!$C$1:$C$1001,,0))</f>
        <v>rdeaconsonja@archive.org</v>
      </c>
      <c r="H696" s="3" t="str">
        <f>_xlfn.XLOOKUP(C696,customers!$A$1:$A$1001,customers!$G$1:$G$1001,,0)</f>
        <v>United States</v>
      </c>
      <c r="I696" s="4" t="str">
        <f>INDEX(products!$A$1:$G$49,MATCH(orders!$D696,products!$A$1:$A$49,0),MATCH(orders!I$1,products!$A$1:$G$1,0))</f>
        <v>Exc</v>
      </c>
      <c r="J696" s="4" t="str">
        <f>INDEX(products!$A$1:$G$49,MATCH(orders!$D696,products!$A$1:$A$49,0),MATCH(orders!J$1,products!$A$1:$G$1,0))</f>
        <v>D</v>
      </c>
      <c r="K696" s="6">
        <f>INDEX(products!$A$1:$G$49,MATCH(orders!$D696,products!$A$1:$A$49,0),MATCH(orders!K$1,products!$A$1:$G$1,0))</f>
        <v>0.5</v>
      </c>
      <c r="L696" s="7">
        <f>INDEX(products!$A$1:$G$49,MATCH(orders!$D696,products!$A$1:$A$49,0),MATCH(orders!L$1,products!$A$1:$G$1,0))</f>
        <v>7.29</v>
      </c>
      <c r="M696" s="7">
        <f t="shared" si="10"/>
        <v>36.450000000000003</v>
      </c>
      <c r="N696" s="4" t="str" cm="1">
        <f t="array" ref="N696">_xlfn.IFS(I696="Rob","Robusta",I696="Exc","Excelsa",I696="Ara","Arabica",I696="Lib","Liberica")</f>
        <v>Excelsa</v>
      </c>
      <c r="O696" s="4" t="str" cm="1">
        <f t="array" ref="O696">_xlfn.IFS(J696="M","Medium",J696="L","Light",J696="D","Dark")</f>
        <v>Dark</v>
      </c>
      <c r="P696" s="4" t="str">
        <f>_xlfn.XLOOKUP(CoffeeOrderstable[[#This Row],[Customer ID]],customers!$A$1:$A$1001,customers!$I$1:$I$1001,,0)</f>
        <v>No</v>
      </c>
    </row>
    <row r="697" spans="1:16" x14ac:dyDescent="0.3">
      <c r="A697" s="3" t="s">
        <v>4417</v>
      </c>
      <c r="B697" s="5">
        <v>44300</v>
      </c>
      <c r="C697" s="3" t="s">
        <v>4418</v>
      </c>
      <c r="D697" s="4" t="s">
        <v>6164</v>
      </c>
      <c r="E697" s="3">
        <v>5</v>
      </c>
      <c r="F697" s="3" t="str">
        <f>_xlfn.XLOOKUP(C697,customers!$A$1:$A$1001,customers!$B$1:$B$1001,,0)</f>
        <v>Davida Caro</v>
      </c>
      <c r="G697" s="3" t="str">
        <f>IF(_xlfn.XLOOKUP(C697,customers!$A$1:$A$1001,customers!$C$1:$C$1001,,0)=0,"", _xlfn.XLOOKUP(C697,customers!$A$1:$A$1001,customers!$C$1:$C$1001,,0))</f>
        <v>dcarojb@twitter.com</v>
      </c>
      <c r="H697" s="3" t="str">
        <f>_xlfn.XLOOKUP(C697,customers!$A$1:$A$1001,customers!$G$1:$G$1001,,0)</f>
        <v>United States</v>
      </c>
      <c r="I697" s="4" t="str">
        <f>INDEX(products!$A$1:$G$49,MATCH(orders!$D697,products!$A$1:$A$49,0),MATCH(orders!I$1,products!$A$1:$G$1,0))</f>
        <v>Lib</v>
      </c>
      <c r="J697" s="4" t="str">
        <f>INDEX(products!$A$1:$G$49,MATCH(orders!$D697,products!$A$1:$A$49,0),MATCH(orders!J$1,products!$A$1:$G$1,0))</f>
        <v>L</v>
      </c>
      <c r="K697" s="6">
        <f>INDEX(products!$A$1:$G$49,MATCH(orders!$D697,products!$A$1:$A$49,0),MATCH(orders!K$1,products!$A$1:$G$1,0))</f>
        <v>2.5</v>
      </c>
      <c r="L697" s="7">
        <f>INDEX(products!$A$1:$G$49,MATCH(orders!$D697,products!$A$1:$A$49,0),MATCH(orders!L$1,products!$A$1:$G$1,0))</f>
        <v>36.454999999999998</v>
      </c>
      <c r="M697" s="7">
        <f t="shared" si="10"/>
        <v>182.27499999999998</v>
      </c>
      <c r="N697" s="4" t="str" cm="1">
        <f t="array" ref="N697">_xlfn.IFS(I697="Rob","Robusta",I697="Exc","Excelsa",I697="Ara","Arabica",I697="Lib","Liberica")</f>
        <v>Liberica</v>
      </c>
      <c r="O697" s="4" t="str" cm="1">
        <f t="array" ref="O697">_xlfn.IFS(J697="M","Medium",J697="L","Light",J697="D","Dark")</f>
        <v>Light</v>
      </c>
      <c r="P697" s="4" t="str">
        <f>_xlfn.XLOOKUP(CoffeeOrderstable[[#This Row],[Customer ID]],customers!$A$1:$A$1001,customers!$I$1:$I$1001,,0)</f>
        <v>Yes</v>
      </c>
    </row>
    <row r="698" spans="1:16" x14ac:dyDescent="0.3">
      <c r="A698" s="3" t="s">
        <v>4423</v>
      </c>
      <c r="B698" s="5">
        <v>43693</v>
      </c>
      <c r="C698" s="3" t="s">
        <v>4424</v>
      </c>
      <c r="D698" s="4" t="s">
        <v>6169</v>
      </c>
      <c r="E698" s="3">
        <v>4</v>
      </c>
      <c r="F698" s="3" t="str">
        <f>_xlfn.XLOOKUP(C698,customers!$A$1:$A$1001,customers!$B$1:$B$1001,,0)</f>
        <v>Johna Bluck</v>
      </c>
      <c r="G698" s="3" t="str">
        <f>IF(_xlfn.XLOOKUP(C698,customers!$A$1:$A$1001,customers!$C$1:$C$1001,,0)=0,"", _xlfn.XLOOKUP(C698,customers!$A$1:$A$1001,customers!$C$1:$C$1001,,0))</f>
        <v>jbluckjc@imageshack.us</v>
      </c>
      <c r="H698" s="3" t="str">
        <f>_xlfn.XLOOKUP(C698,customers!$A$1:$A$1001,customers!$G$1:$G$1001,,0)</f>
        <v>United States</v>
      </c>
      <c r="I698" s="4" t="str">
        <f>INDEX(products!$A$1:$G$49,MATCH(orders!$D698,products!$A$1:$A$49,0),MATCH(orders!I$1,products!$A$1:$G$1,0))</f>
        <v>Lib</v>
      </c>
      <c r="J698" s="4" t="str">
        <f>INDEX(products!$A$1:$G$49,MATCH(orders!$D698,products!$A$1:$A$49,0),MATCH(orders!J$1,products!$A$1:$G$1,0))</f>
        <v>D</v>
      </c>
      <c r="K698" s="6">
        <f>INDEX(products!$A$1:$G$49,MATCH(orders!$D698,products!$A$1:$A$49,0),MATCH(orders!K$1,products!$A$1:$G$1,0))</f>
        <v>0.5</v>
      </c>
      <c r="L698" s="7">
        <f>INDEX(products!$A$1:$G$49,MATCH(orders!$D698,products!$A$1:$A$49,0),MATCH(orders!L$1,products!$A$1:$G$1,0))</f>
        <v>7.77</v>
      </c>
      <c r="M698" s="7">
        <f t="shared" si="10"/>
        <v>31.08</v>
      </c>
      <c r="N698" s="4" t="str" cm="1">
        <f t="array" ref="N698">_xlfn.IFS(I698="Rob","Robusta",I698="Exc","Excelsa",I698="Ara","Arabica",I698="Lib","Liberica")</f>
        <v>Liberica</v>
      </c>
      <c r="O698" s="4" t="str" cm="1">
        <f t="array" ref="O698">_xlfn.IFS(J698="M","Medium",J698="L","Light",J698="D","Dark")</f>
        <v>Dark</v>
      </c>
      <c r="P698" s="4" t="str">
        <f>_xlfn.XLOOKUP(CoffeeOrderstable[[#This Row],[Customer ID]],customers!$A$1:$A$1001,customers!$I$1:$I$1001,,0)</f>
        <v>No</v>
      </c>
    </row>
    <row r="699" spans="1:16" x14ac:dyDescent="0.3">
      <c r="A699" s="3" t="s">
        <v>4429</v>
      </c>
      <c r="B699" s="5">
        <v>44547</v>
      </c>
      <c r="C699" s="3" t="s">
        <v>4430</v>
      </c>
      <c r="D699" s="4" t="s">
        <v>6157</v>
      </c>
      <c r="E699" s="3">
        <v>3</v>
      </c>
      <c r="F699" s="3" t="str">
        <f>_xlfn.XLOOKUP(C699,customers!$A$1:$A$1001,customers!$B$1:$B$1001,,0)</f>
        <v>Myrle Dearden</v>
      </c>
      <c r="G699" s="3" t="str">
        <f>IF(_xlfn.XLOOKUP(C699,customers!$A$1:$A$1001,customers!$C$1:$C$1001,,0)=0,"", _xlfn.XLOOKUP(C699,customers!$A$1:$A$1001,customers!$C$1:$C$1001,,0))</f>
        <v/>
      </c>
      <c r="H699" s="3" t="str">
        <f>_xlfn.XLOOKUP(C699,customers!$A$1:$A$1001,customers!$G$1:$G$1001,,0)</f>
        <v>Ireland</v>
      </c>
      <c r="I699" s="4" t="str">
        <f>INDEX(products!$A$1:$G$49,MATCH(orders!$D699,products!$A$1:$A$49,0),MATCH(orders!I$1,products!$A$1:$G$1,0))</f>
        <v>Ara</v>
      </c>
      <c r="J699" s="4" t="str">
        <f>INDEX(products!$A$1:$G$49,MATCH(orders!$D699,products!$A$1:$A$49,0),MATCH(orders!J$1,products!$A$1:$G$1,0))</f>
        <v>M</v>
      </c>
      <c r="K699" s="6">
        <f>INDEX(products!$A$1:$G$49,MATCH(orders!$D699,products!$A$1:$A$49,0),MATCH(orders!K$1,products!$A$1:$G$1,0))</f>
        <v>0.5</v>
      </c>
      <c r="L699" s="7">
        <f>INDEX(products!$A$1:$G$49,MATCH(orders!$D699,products!$A$1:$A$49,0),MATCH(orders!L$1,products!$A$1:$G$1,0))</f>
        <v>6.75</v>
      </c>
      <c r="M699" s="7">
        <f t="shared" si="10"/>
        <v>20.25</v>
      </c>
      <c r="N699" s="4" t="str" cm="1">
        <f t="array" ref="N699">_xlfn.IFS(I699="Rob","Robusta",I699="Exc","Excelsa",I699="Ara","Arabica",I699="Lib","Liberica")</f>
        <v>Arabica</v>
      </c>
      <c r="O699" s="4" t="str" cm="1">
        <f t="array" ref="O699">_xlfn.IFS(J699="M","Medium",J699="L","Light",J699="D","Dark")</f>
        <v>Medium</v>
      </c>
      <c r="P699" s="4" t="str">
        <f>_xlfn.XLOOKUP(CoffeeOrderstable[[#This Row],[Customer ID]],customers!$A$1:$A$1001,customers!$I$1:$I$1001,,0)</f>
        <v>No</v>
      </c>
    </row>
    <row r="700" spans="1:16" x14ac:dyDescent="0.3">
      <c r="A700" s="3" t="s">
        <v>4433</v>
      </c>
      <c r="B700" s="5">
        <v>43830</v>
      </c>
      <c r="C700" s="3" t="s">
        <v>4434</v>
      </c>
      <c r="D700" s="4" t="s">
        <v>6143</v>
      </c>
      <c r="E700" s="3">
        <v>2</v>
      </c>
      <c r="F700" s="3" t="str">
        <f>_xlfn.XLOOKUP(C700,customers!$A$1:$A$1001,customers!$B$1:$B$1001,,0)</f>
        <v>Jimmy Dymoke</v>
      </c>
      <c r="G700" s="3" t="str">
        <f>IF(_xlfn.XLOOKUP(C700,customers!$A$1:$A$1001,customers!$C$1:$C$1001,,0)=0,"", _xlfn.XLOOKUP(C700,customers!$A$1:$A$1001,customers!$C$1:$C$1001,,0))</f>
        <v>jdymokeje@prnewswire.com</v>
      </c>
      <c r="H700" s="3" t="str">
        <f>_xlfn.XLOOKUP(C700,customers!$A$1:$A$1001,customers!$G$1:$G$1001,,0)</f>
        <v>Ireland</v>
      </c>
      <c r="I700" s="4" t="str">
        <f>INDEX(products!$A$1:$G$49,MATCH(orders!$D700,products!$A$1:$A$49,0),MATCH(orders!I$1,products!$A$1:$G$1,0))</f>
        <v>Lib</v>
      </c>
      <c r="J700" s="4" t="str">
        <f>INDEX(products!$A$1:$G$49,MATCH(orders!$D700,products!$A$1:$A$49,0),MATCH(orders!J$1,products!$A$1:$G$1,0))</f>
        <v>D</v>
      </c>
      <c r="K700" s="6">
        <f>INDEX(products!$A$1:$G$49,MATCH(orders!$D700,products!$A$1:$A$49,0),MATCH(orders!K$1,products!$A$1:$G$1,0))</f>
        <v>1</v>
      </c>
      <c r="L700" s="7">
        <f>INDEX(products!$A$1:$G$49,MATCH(orders!$D700,products!$A$1:$A$49,0),MATCH(orders!L$1,products!$A$1:$G$1,0))</f>
        <v>12.95</v>
      </c>
      <c r="M700" s="7">
        <f t="shared" si="10"/>
        <v>25.9</v>
      </c>
      <c r="N700" s="4" t="str" cm="1">
        <f t="array" ref="N700">_xlfn.IFS(I700="Rob","Robusta",I700="Exc","Excelsa",I700="Ara","Arabica",I700="Lib","Liberica")</f>
        <v>Liberica</v>
      </c>
      <c r="O700" s="4" t="str" cm="1">
        <f t="array" ref="O700">_xlfn.IFS(J700="M","Medium",J700="L","Light",J700="D","Dark")</f>
        <v>Dark</v>
      </c>
      <c r="P700" s="4" t="str">
        <f>_xlfn.XLOOKUP(CoffeeOrderstable[[#This Row],[Customer ID]],customers!$A$1:$A$1001,customers!$I$1:$I$1001,,0)</f>
        <v>No</v>
      </c>
    </row>
    <row r="701" spans="1:16" x14ac:dyDescent="0.3">
      <c r="A701" s="3" t="s">
        <v>4439</v>
      </c>
      <c r="B701" s="5">
        <v>44298</v>
      </c>
      <c r="C701" s="3" t="s">
        <v>4440</v>
      </c>
      <c r="D701" s="4" t="s">
        <v>6158</v>
      </c>
      <c r="E701" s="3">
        <v>4</v>
      </c>
      <c r="F701" s="3" t="str">
        <f>_xlfn.XLOOKUP(C701,customers!$A$1:$A$1001,customers!$B$1:$B$1001,,0)</f>
        <v>Orland Tadman</v>
      </c>
      <c r="G701" s="3" t="str">
        <f>IF(_xlfn.XLOOKUP(C701,customers!$A$1:$A$1001,customers!$C$1:$C$1001,,0)=0,"", _xlfn.XLOOKUP(C701,customers!$A$1:$A$1001,customers!$C$1:$C$1001,,0))</f>
        <v>otadmanjf@ft.com</v>
      </c>
      <c r="H701" s="3" t="str">
        <f>_xlfn.XLOOKUP(C701,customers!$A$1:$A$1001,customers!$G$1:$G$1001,,0)</f>
        <v>United States</v>
      </c>
      <c r="I701" s="4" t="str">
        <f>INDEX(products!$A$1:$G$49,MATCH(orders!$D701,products!$A$1:$A$49,0),MATCH(orders!I$1,products!$A$1:$G$1,0))</f>
        <v>Ara</v>
      </c>
      <c r="J701" s="4" t="str">
        <f>INDEX(products!$A$1:$G$49,MATCH(orders!$D701,products!$A$1:$A$49,0),MATCH(orders!J$1,products!$A$1:$G$1,0))</f>
        <v>D</v>
      </c>
      <c r="K701" s="6">
        <f>INDEX(products!$A$1:$G$49,MATCH(orders!$D701,products!$A$1:$A$49,0),MATCH(orders!K$1,products!$A$1:$G$1,0))</f>
        <v>0.5</v>
      </c>
      <c r="L701" s="7">
        <f>INDEX(products!$A$1:$G$49,MATCH(orders!$D701,products!$A$1:$A$49,0),MATCH(orders!L$1,products!$A$1:$G$1,0))</f>
        <v>5.97</v>
      </c>
      <c r="M701" s="7">
        <f t="shared" si="10"/>
        <v>23.88</v>
      </c>
      <c r="N701" s="4" t="str" cm="1">
        <f t="array" ref="N701">_xlfn.IFS(I701="Rob","Robusta",I701="Exc","Excelsa",I701="Ara","Arabica",I701="Lib","Liberica")</f>
        <v>Arabica</v>
      </c>
      <c r="O701" s="4" t="str" cm="1">
        <f t="array" ref="O701">_xlfn.IFS(J701="M","Medium",J701="L","Light",J701="D","Dark")</f>
        <v>Dark</v>
      </c>
      <c r="P701" s="4" t="str">
        <f>_xlfn.XLOOKUP(CoffeeOrderstable[[#This Row],[Customer ID]],customers!$A$1:$A$1001,customers!$I$1:$I$1001,,0)</f>
        <v>Yes</v>
      </c>
    </row>
    <row r="702" spans="1:16" x14ac:dyDescent="0.3">
      <c r="A702" s="3" t="s">
        <v>4445</v>
      </c>
      <c r="B702" s="5">
        <v>43736</v>
      </c>
      <c r="C702" s="3" t="s">
        <v>4446</v>
      </c>
      <c r="D702" s="4" t="s">
        <v>6161</v>
      </c>
      <c r="E702" s="3">
        <v>2</v>
      </c>
      <c r="F702" s="3" t="str">
        <f>_xlfn.XLOOKUP(C702,customers!$A$1:$A$1001,customers!$B$1:$B$1001,,0)</f>
        <v>Barrett Gudde</v>
      </c>
      <c r="G702" s="3" t="str">
        <f>IF(_xlfn.XLOOKUP(C702,customers!$A$1:$A$1001,customers!$C$1:$C$1001,,0)=0,"", _xlfn.XLOOKUP(C702,customers!$A$1:$A$1001,customers!$C$1:$C$1001,,0))</f>
        <v>bguddejg@dailymotion.com</v>
      </c>
      <c r="H702" s="3" t="str">
        <f>_xlfn.XLOOKUP(C702,customers!$A$1:$A$1001,customers!$G$1:$G$1001,,0)</f>
        <v>United States</v>
      </c>
      <c r="I702" s="4" t="str">
        <f>INDEX(products!$A$1:$G$49,MATCH(orders!$D702,products!$A$1:$A$49,0),MATCH(orders!I$1,products!$A$1:$G$1,0))</f>
        <v>Lib</v>
      </c>
      <c r="J702" s="4" t="str">
        <f>INDEX(products!$A$1:$G$49,MATCH(orders!$D702,products!$A$1:$A$49,0),MATCH(orders!J$1,products!$A$1:$G$1,0))</f>
        <v>L</v>
      </c>
      <c r="K702" s="6">
        <f>INDEX(products!$A$1:$G$49,MATCH(orders!$D702,products!$A$1:$A$49,0),MATCH(orders!K$1,products!$A$1:$G$1,0))</f>
        <v>0.5</v>
      </c>
      <c r="L702" s="7">
        <f>INDEX(products!$A$1:$G$49,MATCH(orders!$D702,products!$A$1:$A$49,0),MATCH(orders!L$1,products!$A$1:$G$1,0))</f>
        <v>9.51</v>
      </c>
      <c r="M702" s="7">
        <f t="shared" si="10"/>
        <v>19.02</v>
      </c>
      <c r="N702" s="4" t="str" cm="1">
        <f t="array" ref="N702">_xlfn.IFS(I702="Rob","Robusta",I702="Exc","Excelsa",I702="Ara","Arabica",I702="Lib","Liberica")</f>
        <v>Liberica</v>
      </c>
      <c r="O702" s="4" t="str" cm="1">
        <f t="array" ref="O702">_xlfn.IFS(J702="M","Medium",J702="L","Light",J702="D","Dark")</f>
        <v>Light</v>
      </c>
      <c r="P702" s="4" t="str">
        <f>_xlfn.XLOOKUP(CoffeeOrderstable[[#This Row],[Customer ID]],customers!$A$1:$A$1001,customers!$I$1:$I$1001,,0)</f>
        <v>No</v>
      </c>
    </row>
    <row r="703" spans="1:16" x14ac:dyDescent="0.3">
      <c r="A703" s="3" t="s">
        <v>4450</v>
      </c>
      <c r="B703" s="5">
        <v>44727</v>
      </c>
      <c r="C703" s="3" t="s">
        <v>4451</v>
      </c>
      <c r="D703" s="4" t="s">
        <v>6158</v>
      </c>
      <c r="E703" s="3">
        <v>5</v>
      </c>
      <c r="F703" s="3" t="str">
        <f>_xlfn.XLOOKUP(C703,customers!$A$1:$A$1001,customers!$B$1:$B$1001,,0)</f>
        <v>Nathan Sictornes</v>
      </c>
      <c r="G703" s="3" t="str">
        <f>IF(_xlfn.XLOOKUP(C703,customers!$A$1:$A$1001,customers!$C$1:$C$1001,,0)=0,"", _xlfn.XLOOKUP(C703,customers!$A$1:$A$1001,customers!$C$1:$C$1001,,0))</f>
        <v>nsictornesjh@buzzfeed.com</v>
      </c>
      <c r="H703" s="3" t="str">
        <f>_xlfn.XLOOKUP(C703,customers!$A$1:$A$1001,customers!$G$1:$G$1001,,0)</f>
        <v>Ireland</v>
      </c>
      <c r="I703" s="4" t="str">
        <f>INDEX(products!$A$1:$G$49,MATCH(orders!$D703,products!$A$1:$A$49,0),MATCH(orders!I$1,products!$A$1:$G$1,0))</f>
        <v>Ara</v>
      </c>
      <c r="J703" s="4" t="str">
        <f>INDEX(products!$A$1:$G$49,MATCH(orders!$D703,products!$A$1:$A$49,0),MATCH(orders!J$1,products!$A$1:$G$1,0))</f>
        <v>D</v>
      </c>
      <c r="K703" s="6">
        <f>INDEX(products!$A$1:$G$49,MATCH(orders!$D703,products!$A$1:$A$49,0),MATCH(orders!K$1,products!$A$1:$G$1,0))</f>
        <v>0.5</v>
      </c>
      <c r="L703" s="7">
        <f>INDEX(products!$A$1:$G$49,MATCH(orders!$D703,products!$A$1:$A$49,0),MATCH(orders!L$1,products!$A$1:$G$1,0))</f>
        <v>5.97</v>
      </c>
      <c r="M703" s="7">
        <f t="shared" si="10"/>
        <v>29.849999999999998</v>
      </c>
      <c r="N703" s="4" t="str" cm="1">
        <f t="array" ref="N703">_xlfn.IFS(I703="Rob","Robusta",I703="Exc","Excelsa",I703="Ara","Arabica",I703="Lib","Liberica")</f>
        <v>Arabica</v>
      </c>
      <c r="O703" s="4" t="str" cm="1">
        <f t="array" ref="O703">_xlfn.IFS(J703="M","Medium",J703="L","Light",J703="D","Dark")</f>
        <v>Dark</v>
      </c>
      <c r="P703" s="4" t="str">
        <f>_xlfn.XLOOKUP(CoffeeOrderstable[[#This Row],[Customer ID]],customers!$A$1:$A$1001,customers!$I$1:$I$1001,,0)</f>
        <v>Yes</v>
      </c>
    </row>
    <row r="704" spans="1:16" x14ac:dyDescent="0.3">
      <c r="A704" s="3" t="s">
        <v>4456</v>
      </c>
      <c r="B704" s="5">
        <v>43661</v>
      </c>
      <c r="C704" s="3" t="s">
        <v>4457</v>
      </c>
      <c r="D704" s="4" t="s">
        <v>6180</v>
      </c>
      <c r="E704" s="3">
        <v>1</v>
      </c>
      <c r="F704" s="3" t="str">
        <f>_xlfn.XLOOKUP(C704,customers!$A$1:$A$1001,customers!$B$1:$B$1001,,0)</f>
        <v>Vivyan Dunning</v>
      </c>
      <c r="G704" s="3" t="str">
        <f>IF(_xlfn.XLOOKUP(C704,customers!$A$1:$A$1001,customers!$C$1:$C$1001,,0)=0,"", _xlfn.XLOOKUP(C704,customers!$A$1:$A$1001,customers!$C$1:$C$1001,,0))</f>
        <v>vdunningji@independent.co.uk</v>
      </c>
      <c r="H704" s="3" t="str">
        <f>_xlfn.XLOOKUP(C704,customers!$A$1:$A$1001,customers!$G$1:$G$1001,,0)</f>
        <v>United States</v>
      </c>
      <c r="I704" s="4" t="str">
        <f>INDEX(products!$A$1:$G$49,MATCH(orders!$D704,products!$A$1:$A$49,0),MATCH(orders!I$1,products!$A$1:$G$1,0))</f>
        <v>Ara</v>
      </c>
      <c r="J704" s="4" t="str">
        <f>INDEX(products!$A$1:$G$49,MATCH(orders!$D704,products!$A$1:$A$49,0),MATCH(orders!J$1,products!$A$1:$G$1,0))</f>
        <v>L</v>
      </c>
      <c r="K704" s="6">
        <f>INDEX(products!$A$1:$G$49,MATCH(orders!$D704,products!$A$1:$A$49,0),MATCH(orders!K$1,products!$A$1:$G$1,0))</f>
        <v>0.5</v>
      </c>
      <c r="L704" s="7">
        <f>INDEX(products!$A$1:$G$49,MATCH(orders!$D704,products!$A$1:$A$49,0),MATCH(orders!L$1,products!$A$1:$G$1,0))</f>
        <v>7.77</v>
      </c>
      <c r="M704" s="7">
        <f t="shared" si="10"/>
        <v>7.77</v>
      </c>
      <c r="N704" s="4" t="str" cm="1">
        <f t="array" ref="N704">_xlfn.IFS(I704="Rob","Robusta",I704="Exc","Excelsa",I704="Ara","Arabica",I704="Lib","Liberica")</f>
        <v>Arabica</v>
      </c>
      <c r="O704" s="4" t="str" cm="1">
        <f t="array" ref="O704">_xlfn.IFS(J704="M","Medium",J704="L","Light",J704="D","Dark")</f>
        <v>Light</v>
      </c>
      <c r="P704" s="4" t="str">
        <f>_xlfn.XLOOKUP(CoffeeOrderstable[[#This Row],[Customer ID]],customers!$A$1:$A$1001,customers!$I$1:$I$1001,,0)</f>
        <v>Yes</v>
      </c>
    </row>
    <row r="705" spans="1:16" x14ac:dyDescent="0.3">
      <c r="A705" s="3" t="s">
        <v>4461</v>
      </c>
      <c r="B705" s="5">
        <v>43506</v>
      </c>
      <c r="C705" s="3" t="s">
        <v>4462</v>
      </c>
      <c r="D705" s="4" t="s">
        <v>6165</v>
      </c>
      <c r="E705" s="3">
        <v>4</v>
      </c>
      <c r="F705" s="3" t="str">
        <f>_xlfn.XLOOKUP(C705,customers!$A$1:$A$1001,customers!$B$1:$B$1001,,0)</f>
        <v>Doralin Baison</v>
      </c>
      <c r="G705" s="3" t="str">
        <f>IF(_xlfn.XLOOKUP(C705,customers!$A$1:$A$1001,customers!$C$1:$C$1001,,0)=0,"", _xlfn.XLOOKUP(C705,customers!$A$1:$A$1001,customers!$C$1:$C$1001,,0))</f>
        <v/>
      </c>
      <c r="H705" s="3" t="str">
        <f>_xlfn.XLOOKUP(C705,customers!$A$1:$A$1001,customers!$G$1:$G$1001,,0)</f>
        <v>Ireland</v>
      </c>
      <c r="I705" s="4" t="str">
        <f>INDEX(products!$A$1:$G$49,MATCH(orders!$D705,products!$A$1:$A$49,0),MATCH(orders!I$1,products!$A$1:$G$1,0))</f>
        <v>Lib</v>
      </c>
      <c r="J705" s="4" t="str">
        <f>INDEX(products!$A$1:$G$49,MATCH(orders!$D705,products!$A$1:$A$49,0),MATCH(orders!J$1,products!$A$1:$G$1,0))</f>
        <v>D</v>
      </c>
      <c r="K705" s="6">
        <f>INDEX(products!$A$1:$G$49,MATCH(orders!$D705,products!$A$1:$A$49,0),MATCH(orders!K$1,products!$A$1:$G$1,0))</f>
        <v>2.5</v>
      </c>
      <c r="L705" s="7">
        <f>INDEX(products!$A$1:$G$49,MATCH(orders!$D705,products!$A$1:$A$49,0),MATCH(orders!L$1,products!$A$1:$G$1,0))</f>
        <v>29.784999999999997</v>
      </c>
      <c r="M705" s="7">
        <f t="shared" si="10"/>
        <v>119.13999999999999</v>
      </c>
      <c r="N705" s="4" t="str" cm="1">
        <f t="array" ref="N705">_xlfn.IFS(I705="Rob","Robusta",I705="Exc","Excelsa",I705="Ara","Arabica",I705="Lib","Liberica")</f>
        <v>Liberica</v>
      </c>
      <c r="O705" s="4" t="str" cm="1">
        <f t="array" ref="O705">_xlfn.IFS(J705="M","Medium",J705="L","Light",J705="D","Dark")</f>
        <v>Dark</v>
      </c>
      <c r="P705" s="4" t="str">
        <f>_xlfn.XLOOKUP(CoffeeOrderstable[[#This Row],[Customer ID]],customers!$A$1:$A$1001,customers!$I$1:$I$1001,,0)</f>
        <v>Yes</v>
      </c>
    </row>
    <row r="706" spans="1:16" x14ac:dyDescent="0.3">
      <c r="A706" s="3" t="s">
        <v>4466</v>
      </c>
      <c r="B706" s="5">
        <v>44716</v>
      </c>
      <c r="C706" s="3" t="s">
        <v>4467</v>
      </c>
      <c r="D706" s="4" t="s">
        <v>6153</v>
      </c>
      <c r="E706" s="3">
        <v>6</v>
      </c>
      <c r="F706" s="3" t="str">
        <f>_xlfn.XLOOKUP(C706,customers!$A$1:$A$1001,customers!$B$1:$B$1001,,0)</f>
        <v>Josefina Ferens</v>
      </c>
      <c r="G706" s="3" t="str">
        <f>IF(_xlfn.XLOOKUP(C706,customers!$A$1:$A$1001,customers!$C$1:$C$1001,,0)=0,"", _xlfn.XLOOKUP(C706,customers!$A$1:$A$1001,customers!$C$1:$C$1001,,0))</f>
        <v/>
      </c>
      <c r="H706" s="3" t="str">
        <f>_xlfn.XLOOKUP(C706,customers!$A$1:$A$1001,customers!$G$1:$G$1001,,0)</f>
        <v>United States</v>
      </c>
      <c r="I706" s="4" t="str">
        <f>INDEX(products!$A$1:$G$49,MATCH(orders!$D706,products!$A$1:$A$49,0),MATCH(orders!I$1,products!$A$1:$G$1,0))</f>
        <v>Exc</v>
      </c>
      <c r="J706" s="4" t="str">
        <f>INDEX(products!$A$1:$G$49,MATCH(orders!$D706,products!$A$1:$A$49,0),MATCH(orders!J$1,products!$A$1:$G$1,0))</f>
        <v>D</v>
      </c>
      <c r="K706" s="6">
        <f>INDEX(products!$A$1:$G$49,MATCH(orders!$D706,products!$A$1:$A$49,0),MATCH(orders!K$1,products!$A$1:$G$1,0))</f>
        <v>0.2</v>
      </c>
      <c r="L706" s="7">
        <f>INDEX(products!$A$1:$G$49,MATCH(orders!$D706,products!$A$1:$A$49,0),MATCH(orders!L$1,products!$A$1:$G$1,0))</f>
        <v>3.645</v>
      </c>
      <c r="M706" s="7">
        <f t="shared" si="10"/>
        <v>21.87</v>
      </c>
      <c r="N706" s="4" t="str" cm="1">
        <f t="array" ref="N706">_xlfn.IFS(I706="Rob","Robusta",I706="Exc","Excelsa",I706="Ara","Arabica",I706="Lib","Liberica")</f>
        <v>Excelsa</v>
      </c>
      <c r="O706" s="4" t="str" cm="1">
        <f t="array" ref="O706">_xlfn.IFS(J706="M","Medium",J706="L","Light",J706="D","Dark")</f>
        <v>Dark</v>
      </c>
      <c r="P706" s="4" t="str">
        <f>_xlfn.XLOOKUP(CoffeeOrderstable[[#This Row],[Customer ID]],customers!$A$1:$A$1001,customers!$I$1:$I$1001,,0)</f>
        <v>Yes</v>
      </c>
    </row>
    <row r="707" spans="1:16" x14ac:dyDescent="0.3">
      <c r="A707" s="3" t="s">
        <v>4471</v>
      </c>
      <c r="B707" s="5">
        <v>44114</v>
      </c>
      <c r="C707" s="3" t="s">
        <v>4472</v>
      </c>
      <c r="D707" s="4" t="s">
        <v>6176</v>
      </c>
      <c r="E707" s="3">
        <v>2</v>
      </c>
      <c r="F707" s="3" t="str">
        <f>_xlfn.XLOOKUP(C707,customers!$A$1:$A$1001,customers!$B$1:$B$1001,,0)</f>
        <v>Shelley Gehring</v>
      </c>
      <c r="G707" s="3" t="str">
        <f>IF(_xlfn.XLOOKUP(C707,customers!$A$1:$A$1001,customers!$C$1:$C$1001,,0)=0,"", _xlfn.XLOOKUP(C707,customers!$A$1:$A$1001,customers!$C$1:$C$1001,,0))</f>
        <v>sgehringjl@gnu.org</v>
      </c>
      <c r="H707" s="3" t="str">
        <f>_xlfn.XLOOKUP(C707,customers!$A$1:$A$1001,customers!$G$1:$G$1001,,0)</f>
        <v>United States</v>
      </c>
      <c r="I707" s="4" t="str">
        <f>INDEX(products!$A$1:$G$49,MATCH(orders!$D707,products!$A$1:$A$49,0),MATCH(orders!I$1,products!$A$1:$G$1,0))</f>
        <v>Exc</v>
      </c>
      <c r="J707" s="4" t="str">
        <f>INDEX(products!$A$1:$G$49,MATCH(orders!$D707,products!$A$1:$A$49,0),MATCH(orders!J$1,products!$A$1:$G$1,0))</f>
        <v>L</v>
      </c>
      <c r="K707" s="6">
        <f>INDEX(products!$A$1:$G$49,MATCH(orders!$D707,products!$A$1:$A$49,0),MATCH(orders!K$1,products!$A$1:$G$1,0))</f>
        <v>0.5</v>
      </c>
      <c r="L707" s="7">
        <f>INDEX(products!$A$1:$G$49,MATCH(orders!$D707,products!$A$1:$A$49,0),MATCH(orders!L$1,products!$A$1:$G$1,0))</f>
        <v>8.91</v>
      </c>
      <c r="M707" s="7">
        <f t="shared" ref="M707:M770" si="11">L707*E707</f>
        <v>17.82</v>
      </c>
      <c r="N707" s="4" t="str" cm="1">
        <f t="array" ref="N707">_xlfn.IFS(I707="Rob","Robusta",I707="Exc","Excelsa",I707="Ara","Arabica",I707="Lib","Liberica")</f>
        <v>Excelsa</v>
      </c>
      <c r="O707" s="4" t="str" cm="1">
        <f t="array" ref="O707">_xlfn.IFS(J707="M","Medium",J707="L","Light",J707="D","Dark")</f>
        <v>Light</v>
      </c>
      <c r="P707" s="4" t="str">
        <f>_xlfn.XLOOKUP(CoffeeOrderstable[[#This Row],[Customer ID]],customers!$A$1:$A$1001,customers!$I$1:$I$1001,,0)</f>
        <v>No</v>
      </c>
    </row>
    <row r="708" spans="1:16" x14ac:dyDescent="0.3">
      <c r="A708" s="3" t="s">
        <v>4477</v>
      </c>
      <c r="B708" s="5">
        <v>44353</v>
      </c>
      <c r="C708" s="3" t="s">
        <v>4478</v>
      </c>
      <c r="D708" s="4" t="s">
        <v>6156</v>
      </c>
      <c r="E708" s="3">
        <v>3</v>
      </c>
      <c r="F708" s="3" t="str">
        <f>_xlfn.XLOOKUP(C708,customers!$A$1:$A$1001,customers!$B$1:$B$1001,,0)</f>
        <v>Barrie Fallowes</v>
      </c>
      <c r="G708" s="3" t="str">
        <f>IF(_xlfn.XLOOKUP(C708,customers!$A$1:$A$1001,customers!$C$1:$C$1001,,0)=0,"", _xlfn.XLOOKUP(C708,customers!$A$1:$A$1001,customers!$C$1:$C$1001,,0))</f>
        <v>bfallowesjm@purevolume.com</v>
      </c>
      <c r="H708" s="3" t="str">
        <f>_xlfn.XLOOKUP(C708,customers!$A$1:$A$1001,customers!$G$1:$G$1001,,0)</f>
        <v>United States</v>
      </c>
      <c r="I708" s="4" t="str">
        <f>INDEX(products!$A$1:$G$49,MATCH(orders!$D708,products!$A$1:$A$49,0),MATCH(orders!I$1,products!$A$1:$G$1,0))</f>
        <v>Exc</v>
      </c>
      <c r="J708" s="4" t="str">
        <f>INDEX(products!$A$1:$G$49,MATCH(orders!$D708,products!$A$1:$A$49,0),MATCH(orders!J$1,products!$A$1:$G$1,0))</f>
        <v>M</v>
      </c>
      <c r="K708" s="6">
        <f>INDEX(products!$A$1:$G$49,MATCH(orders!$D708,products!$A$1:$A$49,0),MATCH(orders!K$1,products!$A$1:$G$1,0))</f>
        <v>0.2</v>
      </c>
      <c r="L708" s="7">
        <f>INDEX(products!$A$1:$G$49,MATCH(orders!$D708,products!$A$1:$A$49,0),MATCH(orders!L$1,products!$A$1:$G$1,0))</f>
        <v>4.125</v>
      </c>
      <c r="M708" s="7">
        <f t="shared" si="11"/>
        <v>12.375</v>
      </c>
      <c r="N708" s="4" t="str" cm="1">
        <f t="array" ref="N708">_xlfn.IFS(I708="Rob","Robusta",I708="Exc","Excelsa",I708="Ara","Arabica",I708="Lib","Liberica")</f>
        <v>Excelsa</v>
      </c>
      <c r="O708" s="4" t="str" cm="1">
        <f t="array" ref="O708">_xlfn.IFS(J708="M","Medium",J708="L","Light",J708="D","Dark")</f>
        <v>Medium</v>
      </c>
      <c r="P708" s="4" t="str">
        <f>_xlfn.XLOOKUP(CoffeeOrderstable[[#This Row],[Customer ID]],customers!$A$1:$A$1001,customers!$I$1:$I$1001,,0)</f>
        <v>No</v>
      </c>
    </row>
    <row r="709" spans="1:16" x14ac:dyDescent="0.3">
      <c r="A709" s="3" t="s">
        <v>4483</v>
      </c>
      <c r="B709" s="5">
        <v>43540</v>
      </c>
      <c r="C709" s="3" t="s">
        <v>4484</v>
      </c>
      <c r="D709" s="4" t="s">
        <v>6143</v>
      </c>
      <c r="E709" s="3">
        <v>2</v>
      </c>
      <c r="F709" s="3" t="str">
        <f>_xlfn.XLOOKUP(C709,customers!$A$1:$A$1001,customers!$B$1:$B$1001,,0)</f>
        <v>Nicolas Aiton</v>
      </c>
      <c r="G709" s="3" t="str">
        <f>IF(_xlfn.XLOOKUP(C709,customers!$A$1:$A$1001,customers!$C$1:$C$1001,,0)=0,"", _xlfn.XLOOKUP(C709,customers!$A$1:$A$1001,customers!$C$1:$C$1001,,0))</f>
        <v/>
      </c>
      <c r="H709" s="3" t="str">
        <f>_xlfn.XLOOKUP(C709,customers!$A$1:$A$1001,customers!$G$1:$G$1001,,0)</f>
        <v>Ireland</v>
      </c>
      <c r="I709" s="4" t="str">
        <f>INDEX(products!$A$1:$G$49,MATCH(orders!$D709,products!$A$1:$A$49,0),MATCH(orders!I$1,products!$A$1:$G$1,0))</f>
        <v>Lib</v>
      </c>
      <c r="J709" s="4" t="str">
        <f>INDEX(products!$A$1:$G$49,MATCH(orders!$D709,products!$A$1:$A$49,0),MATCH(orders!J$1,products!$A$1:$G$1,0))</f>
        <v>D</v>
      </c>
      <c r="K709" s="6">
        <f>INDEX(products!$A$1:$G$49,MATCH(orders!$D709,products!$A$1:$A$49,0),MATCH(orders!K$1,products!$A$1:$G$1,0))</f>
        <v>1</v>
      </c>
      <c r="L709" s="7">
        <f>INDEX(products!$A$1:$G$49,MATCH(orders!$D709,products!$A$1:$A$49,0),MATCH(orders!L$1,products!$A$1:$G$1,0))</f>
        <v>12.95</v>
      </c>
      <c r="M709" s="7">
        <f t="shared" si="11"/>
        <v>25.9</v>
      </c>
      <c r="N709" s="4" t="str" cm="1">
        <f t="array" ref="N709">_xlfn.IFS(I709="Rob","Robusta",I709="Exc","Excelsa",I709="Ara","Arabica",I709="Lib","Liberica")</f>
        <v>Liberica</v>
      </c>
      <c r="O709" s="4" t="str" cm="1">
        <f t="array" ref="O709">_xlfn.IFS(J709="M","Medium",J709="L","Light",J709="D","Dark")</f>
        <v>Dark</v>
      </c>
      <c r="P709" s="4" t="str">
        <f>_xlfn.XLOOKUP(CoffeeOrderstable[[#This Row],[Customer ID]],customers!$A$1:$A$1001,customers!$I$1:$I$1001,,0)</f>
        <v>No</v>
      </c>
    </row>
    <row r="710" spans="1:16" x14ac:dyDescent="0.3">
      <c r="A710" s="3" t="s">
        <v>4488</v>
      </c>
      <c r="B710" s="5">
        <v>43804</v>
      </c>
      <c r="C710" s="3" t="s">
        <v>4489</v>
      </c>
      <c r="D710" s="4" t="s">
        <v>6157</v>
      </c>
      <c r="E710" s="3">
        <v>2</v>
      </c>
      <c r="F710" s="3" t="str">
        <f>_xlfn.XLOOKUP(C710,customers!$A$1:$A$1001,customers!$B$1:$B$1001,,0)</f>
        <v>Shelli De Banke</v>
      </c>
      <c r="G710" s="3" t="str">
        <f>IF(_xlfn.XLOOKUP(C710,customers!$A$1:$A$1001,customers!$C$1:$C$1001,,0)=0,"", _xlfn.XLOOKUP(C710,customers!$A$1:$A$1001,customers!$C$1:$C$1001,,0))</f>
        <v>sdejo@newsvine.com</v>
      </c>
      <c r="H710" s="3" t="str">
        <f>_xlfn.XLOOKUP(C710,customers!$A$1:$A$1001,customers!$G$1:$G$1001,,0)</f>
        <v>United States</v>
      </c>
      <c r="I710" s="4" t="str">
        <f>INDEX(products!$A$1:$G$49,MATCH(orders!$D710,products!$A$1:$A$49,0),MATCH(orders!I$1,products!$A$1:$G$1,0))</f>
        <v>Ara</v>
      </c>
      <c r="J710" s="4" t="str">
        <f>INDEX(products!$A$1:$G$49,MATCH(orders!$D710,products!$A$1:$A$49,0),MATCH(orders!J$1,products!$A$1:$G$1,0))</f>
        <v>M</v>
      </c>
      <c r="K710" s="6">
        <f>INDEX(products!$A$1:$G$49,MATCH(orders!$D710,products!$A$1:$A$49,0),MATCH(orders!K$1,products!$A$1:$G$1,0))</f>
        <v>0.5</v>
      </c>
      <c r="L710" s="7">
        <f>INDEX(products!$A$1:$G$49,MATCH(orders!$D710,products!$A$1:$A$49,0),MATCH(orders!L$1,products!$A$1:$G$1,0))</f>
        <v>6.75</v>
      </c>
      <c r="M710" s="7">
        <f t="shared" si="11"/>
        <v>13.5</v>
      </c>
      <c r="N710" s="4" t="str" cm="1">
        <f t="array" ref="N710">_xlfn.IFS(I710="Rob","Robusta",I710="Exc","Excelsa",I710="Ara","Arabica",I710="Lib","Liberica")</f>
        <v>Arabica</v>
      </c>
      <c r="O710" s="4" t="str" cm="1">
        <f t="array" ref="O710">_xlfn.IFS(J710="M","Medium",J710="L","Light",J710="D","Dark")</f>
        <v>Medium</v>
      </c>
      <c r="P710" s="4" t="str">
        <f>_xlfn.XLOOKUP(CoffeeOrderstable[[#This Row],[Customer ID]],customers!$A$1:$A$1001,customers!$I$1:$I$1001,,0)</f>
        <v>Yes</v>
      </c>
    </row>
    <row r="711" spans="1:16" x14ac:dyDescent="0.3">
      <c r="A711" s="3" t="s">
        <v>4494</v>
      </c>
      <c r="B711" s="5">
        <v>43485</v>
      </c>
      <c r="C711" s="3" t="s">
        <v>4495</v>
      </c>
      <c r="D711" s="4" t="s">
        <v>6176</v>
      </c>
      <c r="E711" s="3">
        <v>2</v>
      </c>
      <c r="F711" s="3" t="str">
        <f>_xlfn.XLOOKUP(C711,customers!$A$1:$A$1001,customers!$B$1:$B$1001,,0)</f>
        <v>Lyell Murch</v>
      </c>
      <c r="G711" s="3" t="str">
        <f>IF(_xlfn.XLOOKUP(C711,customers!$A$1:$A$1001,customers!$C$1:$C$1001,,0)=0,"", _xlfn.XLOOKUP(C711,customers!$A$1:$A$1001,customers!$C$1:$C$1001,,0))</f>
        <v/>
      </c>
      <c r="H711" s="3" t="str">
        <f>_xlfn.XLOOKUP(C711,customers!$A$1:$A$1001,customers!$G$1:$G$1001,,0)</f>
        <v>United States</v>
      </c>
      <c r="I711" s="4" t="str">
        <f>INDEX(products!$A$1:$G$49,MATCH(orders!$D711,products!$A$1:$A$49,0),MATCH(orders!I$1,products!$A$1:$G$1,0))</f>
        <v>Exc</v>
      </c>
      <c r="J711" s="4" t="str">
        <f>INDEX(products!$A$1:$G$49,MATCH(orders!$D711,products!$A$1:$A$49,0),MATCH(orders!J$1,products!$A$1:$G$1,0))</f>
        <v>L</v>
      </c>
      <c r="K711" s="6">
        <f>INDEX(products!$A$1:$G$49,MATCH(orders!$D711,products!$A$1:$A$49,0),MATCH(orders!K$1,products!$A$1:$G$1,0))</f>
        <v>0.5</v>
      </c>
      <c r="L711" s="7">
        <f>INDEX(products!$A$1:$G$49,MATCH(orders!$D711,products!$A$1:$A$49,0),MATCH(orders!L$1,products!$A$1:$G$1,0))</f>
        <v>8.91</v>
      </c>
      <c r="M711" s="7">
        <f t="shared" si="11"/>
        <v>17.82</v>
      </c>
      <c r="N711" s="4" t="str" cm="1">
        <f t="array" ref="N711">_xlfn.IFS(I711="Rob","Robusta",I711="Exc","Excelsa",I711="Ara","Arabica",I711="Lib","Liberica")</f>
        <v>Excelsa</v>
      </c>
      <c r="O711" s="4" t="str" cm="1">
        <f t="array" ref="O711">_xlfn.IFS(J711="M","Medium",J711="L","Light",J711="D","Dark")</f>
        <v>Light</v>
      </c>
      <c r="P711" s="4" t="str">
        <f>_xlfn.XLOOKUP(CoffeeOrderstable[[#This Row],[Customer ID]],customers!$A$1:$A$1001,customers!$I$1:$I$1001,,0)</f>
        <v>Yes</v>
      </c>
    </row>
    <row r="712" spans="1:16" x14ac:dyDescent="0.3">
      <c r="A712" s="3" t="s">
        <v>4499</v>
      </c>
      <c r="B712" s="5">
        <v>44655</v>
      </c>
      <c r="C712" s="3" t="s">
        <v>4500</v>
      </c>
      <c r="D712" s="4" t="s">
        <v>6139</v>
      </c>
      <c r="E712" s="3">
        <v>3</v>
      </c>
      <c r="F712" s="3" t="str">
        <f>_xlfn.XLOOKUP(C712,customers!$A$1:$A$1001,customers!$B$1:$B$1001,,0)</f>
        <v>Stearne Count</v>
      </c>
      <c r="G712" s="3" t="str">
        <f>IF(_xlfn.XLOOKUP(C712,customers!$A$1:$A$1001,customers!$C$1:$C$1001,,0)=0,"", _xlfn.XLOOKUP(C712,customers!$A$1:$A$1001,customers!$C$1:$C$1001,,0))</f>
        <v>scountjq@nba.com</v>
      </c>
      <c r="H712" s="3" t="str">
        <f>_xlfn.XLOOKUP(C712,customers!$A$1:$A$1001,customers!$G$1:$G$1001,,0)</f>
        <v>United States</v>
      </c>
      <c r="I712" s="4" t="str">
        <f>INDEX(products!$A$1:$G$49,MATCH(orders!$D712,products!$A$1:$A$49,0),MATCH(orders!I$1,products!$A$1:$G$1,0))</f>
        <v>Exc</v>
      </c>
      <c r="J712" s="4" t="str">
        <f>INDEX(products!$A$1:$G$49,MATCH(orders!$D712,products!$A$1:$A$49,0),MATCH(orders!J$1,products!$A$1:$G$1,0))</f>
        <v>M</v>
      </c>
      <c r="K712" s="6">
        <f>INDEX(products!$A$1:$G$49,MATCH(orders!$D712,products!$A$1:$A$49,0),MATCH(orders!K$1,products!$A$1:$G$1,0))</f>
        <v>0.5</v>
      </c>
      <c r="L712" s="7">
        <f>INDEX(products!$A$1:$G$49,MATCH(orders!$D712,products!$A$1:$A$49,0),MATCH(orders!L$1,products!$A$1:$G$1,0))</f>
        <v>8.25</v>
      </c>
      <c r="M712" s="7">
        <f t="shared" si="11"/>
        <v>24.75</v>
      </c>
      <c r="N712" s="4" t="str" cm="1">
        <f t="array" ref="N712">_xlfn.IFS(I712="Rob","Robusta",I712="Exc","Excelsa",I712="Ara","Arabica",I712="Lib","Liberica")</f>
        <v>Excelsa</v>
      </c>
      <c r="O712" s="4" t="str" cm="1">
        <f t="array" ref="O712">_xlfn.IFS(J712="M","Medium",J712="L","Light",J712="D","Dark")</f>
        <v>Medium</v>
      </c>
      <c r="P712" s="4" t="str">
        <f>_xlfn.XLOOKUP(CoffeeOrderstable[[#This Row],[Customer ID]],customers!$A$1:$A$1001,customers!$I$1:$I$1001,,0)</f>
        <v>No</v>
      </c>
    </row>
    <row r="713" spans="1:16" x14ac:dyDescent="0.3">
      <c r="A713" s="3" t="s">
        <v>4505</v>
      </c>
      <c r="B713" s="5">
        <v>44600</v>
      </c>
      <c r="C713" s="3" t="s">
        <v>4506</v>
      </c>
      <c r="D713" s="4" t="s">
        <v>6174</v>
      </c>
      <c r="E713" s="3">
        <v>6</v>
      </c>
      <c r="F713" s="3" t="str">
        <f>_xlfn.XLOOKUP(C713,customers!$A$1:$A$1001,customers!$B$1:$B$1001,,0)</f>
        <v>Selia Ragles</v>
      </c>
      <c r="G713" s="3" t="str">
        <f>IF(_xlfn.XLOOKUP(C713,customers!$A$1:$A$1001,customers!$C$1:$C$1001,,0)=0,"", _xlfn.XLOOKUP(C713,customers!$A$1:$A$1001,customers!$C$1:$C$1001,,0))</f>
        <v>sraglesjr@blogtalkradio.com</v>
      </c>
      <c r="H713" s="3" t="str">
        <f>_xlfn.XLOOKUP(C713,customers!$A$1:$A$1001,customers!$G$1:$G$1001,,0)</f>
        <v>United States</v>
      </c>
      <c r="I713" s="4" t="str">
        <f>INDEX(products!$A$1:$G$49,MATCH(orders!$D713,products!$A$1:$A$49,0),MATCH(orders!I$1,products!$A$1:$G$1,0))</f>
        <v>Rob</v>
      </c>
      <c r="J713" s="4" t="str">
        <f>INDEX(products!$A$1:$G$49,MATCH(orders!$D713,products!$A$1:$A$49,0),MATCH(orders!J$1,products!$A$1:$G$1,0))</f>
        <v>M</v>
      </c>
      <c r="K713" s="6">
        <f>INDEX(products!$A$1:$G$49,MATCH(orders!$D713,products!$A$1:$A$49,0),MATCH(orders!K$1,products!$A$1:$G$1,0))</f>
        <v>0.2</v>
      </c>
      <c r="L713" s="7">
        <f>INDEX(products!$A$1:$G$49,MATCH(orders!$D713,products!$A$1:$A$49,0),MATCH(orders!L$1,products!$A$1:$G$1,0))</f>
        <v>2.9849999999999999</v>
      </c>
      <c r="M713" s="7">
        <f t="shared" si="11"/>
        <v>17.91</v>
      </c>
      <c r="N713" s="4" t="str" cm="1">
        <f t="array" ref="N713">_xlfn.IFS(I713="Rob","Robusta",I713="Exc","Excelsa",I713="Ara","Arabica",I713="Lib","Liberica")</f>
        <v>Robusta</v>
      </c>
      <c r="O713" s="4" t="str" cm="1">
        <f t="array" ref="O713">_xlfn.IFS(J713="M","Medium",J713="L","Light",J713="D","Dark")</f>
        <v>Medium</v>
      </c>
      <c r="P713" s="4" t="str">
        <f>_xlfn.XLOOKUP(CoffeeOrderstable[[#This Row],[Customer ID]],customers!$A$1:$A$1001,customers!$I$1:$I$1001,,0)</f>
        <v>No</v>
      </c>
    </row>
    <row r="714" spans="1:16" x14ac:dyDescent="0.3">
      <c r="A714" s="3" t="s">
        <v>4512</v>
      </c>
      <c r="B714" s="5">
        <v>43646</v>
      </c>
      <c r="C714" s="3" t="s">
        <v>4513</v>
      </c>
      <c r="D714" s="4" t="s">
        <v>6139</v>
      </c>
      <c r="E714" s="3">
        <v>2</v>
      </c>
      <c r="F714" s="3" t="str">
        <f>_xlfn.XLOOKUP(C714,customers!$A$1:$A$1001,customers!$B$1:$B$1001,,0)</f>
        <v>Silas Deehan</v>
      </c>
      <c r="G714" s="3" t="str">
        <f>IF(_xlfn.XLOOKUP(C714,customers!$A$1:$A$1001,customers!$C$1:$C$1001,,0)=0,"", _xlfn.XLOOKUP(C714,customers!$A$1:$A$1001,customers!$C$1:$C$1001,,0))</f>
        <v/>
      </c>
      <c r="H714" s="3" t="str">
        <f>_xlfn.XLOOKUP(C714,customers!$A$1:$A$1001,customers!$G$1:$G$1001,,0)</f>
        <v>United Kingdom</v>
      </c>
      <c r="I714" s="4" t="str">
        <f>INDEX(products!$A$1:$G$49,MATCH(orders!$D714,products!$A$1:$A$49,0),MATCH(orders!I$1,products!$A$1:$G$1,0))</f>
        <v>Exc</v>
      </c>
      <c r="J714" s="4" t="str">
        <f>INDEX(products!$A$1:$G$49,MATCH(orders!$D714,products!$A$1:$A$49,0),MATCH(orders!J$1,products!$A$1:$G$1,0))</f>
        <v>M</v>
      </c>
      <c r="K714" s="6">
        <f>INDEX(products!$A$1:$G$49,MATCH(orders!$D714,products!$A$1:$A$49,0),MATCH(orders!K$1,products!$A$1:$G$1,0))</f>
        <v>0.5</v>
      </c>
      <c r="L714" s="7">
        <f>INDEX(products!$A$1:$G$49,MATCH(orders!$D714,products!$A$1:$A$49,0),MATCH(orders!L$1,products!$A$1:$G$1,0))</f>
        <v>8.25</v>
      </c>
      <c r="M714" s="7">
        <f t="shared" si="11"/>
        <v>16.5</v>
      </c>
      <c r="N714" s="4" t="str" cm="1">
        <f t="array" ref="N714">_xlfn.IFS(I714="Rob","Robusta",I714="Exc","Excelsa",I714="Ara","Arabica",I714="Lib","Liberica")</f>
        <v>Excelsa</v>
      </c>
      <c r="O714" s="4" t="str" cm="1">
        <f t="array" ref="O714">_xlfn.IFS(J714="M","Medium",J714="L","Light",J714="D","Dark")</f>
        <v>Medium</v>
      </c>
      <c r="P714" s="4" t="str">
        <f>_xlfn.XLOOKUP(CoffeeOrderstable[[#This Row],[Customer ID]],customers!$A$1:$A$1001,customers!$I$1:$I$1001,,0)</f>
        <v>No</v>
      </c>
    </row>
    <row r="715" spans="1:16" x14ac:dyDescent="0.3">
      <c r="A715" s="3" t="s">
        <v>4516</v>
      </c>
      <c r="B715" s="5">
        <v>43960</v>
      </c>
      <c r="C715" s="3" t="s">
        <v>4517</v>
      </c>
      <c r="D715" s="4" t="s">
        <v>6174</v>
      </c>
      <c r="E715" s="3">
        <v>1</v>
      </c>
      <c r="F715" s="3" t="str">
        <f>_xlfn.XLOOKUP(C715,customers!$A$1:$A$1001,customers!$B$1:$B$1001,,0)</f>
        <v>Sacha Bruun</v>
      </c>
      <c r="G715" s="3" t="str">
        <f>IF(_xlfn.XLOOKUP(C715,customers!$A$1:$A$1001,customers!$C$1:$C$1001,,0)=0,"", _xlfn.XLOOKUP(C715,customers!$A$1:$A$1001,customers!$C$1:$C$1001,,0))</f>
        <v>sbruunjt@blogtalkradio.com</v>
      </c>
      <c r="H715" s="3" t="str">
        <f>_xlfn.XLOOKUP(C715,customers!$A$1:$A$1001,customers!$G$1:$G$1001,,0)</f>
        <v>United States</v>
      </c>
      <c r="I715" s="4" t="str">
        <f>INDEX(products!$A$1:$G$49,MATCH(orders!$D715,products!$A$1:$A$49,0),MATCH(orders!I$1,products!$A$1:$G$1,0))</f>
        <v>Rob</v>
      </c>
      <c r="J715" s="4" t="str">
        <f>INDEX(products!$A$1:$G$49,MATCH(orders!$D715,products!$A$1:$A$49,0),MATCH(orders!J$1,products!$A$1:$G$1,0))</f>
        <v>M</v>
      </c>
      <c r="K715" s="6">
        <f>INDEX(products!$A$1:$G$49,MATCH(orders!$D715,products!$A$1:$A$49,0),MATCH(orders!K$1,products!$A$1:$G$1,0))</f>
        <v>0.2</v>
      </c>
      <c r="L715" s="7">
        <f>INDEX(products!$A$1:$G$49,MATCH(orders!$D715,products!$A$1:$A$49,0),MATCH(orders!L$1,products!$A$1:$G$1,0))</f>
        <v>2.9849999999999999</v>
      </c>
      <c r="M715" s="7">
        <f t="shared" si="11"/>
        <v>2.9849999999999999</v>
      </c>
      <c r="N715" s="4" t="str" cm="1">
        <f t="array" ref="N715">_xlfn.IFS(I715="Rob","Robusta",I715="Exc","Excelsa",I715="Ara","Arabica",I715="Lib","Liberica")</f>
        <v>Robusta</v>
      </c>
      <c r="O715" s="4" t="str" cm="1">
        <f t="array" ref="O715">_xlfn.IFS(J715="M","Medium",J715="L","Light",J715="D","Dark")</f>
        <v>Medium</v>
      </c>
      <c r="P715" s="4" t="str">
        <f>_xlfn.XLOOKUP(CoffeeOrderstable[[#This Row],[Customer ID]],customers!$A$1:$A$1001,customers!$I$1:$I$1001,,0)</f>
        <v>No</v>
      </c>
    </row>
    <row r="716" spans="1:16" x14ac:dyDescent="0.3">
      <c r="A716" s="3" t="s">
        <v>4522</v>
      </c>
      <c r="B716" s="5">
        <v>44358</v>
      </c>
      <c r="C716" s="3" t="s">
        <v>4523</v>
      </c>
      <c r="D716" s="4" t="s">
        <v>6153</v>
      </c>
      <c r="E716" s="3">
        <v>4</v>
      </c>
      <c r="F716" s="3" t="str">
        <f>_xlfn.XLOOKUP(C716,customers!$A$1:$A$1001,customers!$B$1:$B$1001,,0)</f>
        <v>Alon Pllu</v>
      </c>
      <c r="G716" s="3" t="str">
        <f>IF(_xlfn.XLOOKUP(C716,customers!$A$1:$A$1001,customers!$C$1:$C$1001,,0)=0,"", _xlfn.XLOOKUP(C716,customers!$A$1:$A$1001,customers!$C$1:$C$1001,,0))</f>
        <v>aplluju@dagondesign.com</v>
      </c>
      <c r="H716" s="3" t="str">
        <f>_xlfn.XLOOKUP(C716,customers!$A$1:$A$1001,customers!$G$1:$G$1001,,0)</f>
        <v>Ireland</v>
      </c>
      <c r="I716" s="4" t="str">
        <f>INDEX(products!$A$1:$G$49,MATCH(orders!$D716,products!$A$1:$A$49,0),MATCH(orders!I$1,products!$A$1:$G$1,0))</f>
        <v>Exc</v>
      </c>
      <c r="J716" s="4" t="str">
        <f>INDEX(products!$A$1:$G$49,MATCH(orders!$D716,products!$A$1:$A$49,0),MATCH(orders!J$1,products!$A$1:$G$1,0))</f>
        <v>D</v>
      </c>
      <c r="K716" s="6">
        <f>INDEX(products!$A$1:$G$49,MATCH(orders!$D716,products!$A$1:$A$49,0),MATCH(orders!K$1,products!$A$1:$G$1,0))</f>
        <v>0.2</v>
      </c>
      <c r="L716" s="7">
        <f>INDEX(products!$A$1:$G$49,MATCH(orders!$D716,products!$A$1:$A$49,0),MATCH(orders!L$1,products!$A$1:$G$1,0))</f>
        <v>3.645</v>
      </c>
      <c r="M716" s="7">
        <f t="shared" si="11"/>
        <v>14.58</v>
      </c>
      <c r="N716" s="4" t="str" cm="1">
        <f t="array" ref="N716">_xlfn.IFS(I716="Rob","Robusta",I716="Exc","Excelsa",I716="Ara","Arabica",I716="Lib","Liberica")</f>
        <v>Excelsa</v>
      </c>
      <c r="O716" s="4" t="str" cm="1">
        <f t="array" ref="O716">_xlfn.IFS(J716="M","Medium",J716="L","Light",J716="D","Dark")</f>
        <v>Dark</v>
      </c>
      <c r="P716" s="4" t="str">
        <f>_xlfn.XLOOKUP(CoffeeOrderstable[[#This Row],[Customer ID]],customers!$A$1:$A$1001,customers!$I$1:$I$1001,,0)</f>
        <v>Yes</v>
      </c>
    </row>
    <row r="717" spans="1:16" x14ac:dyDescent="0.3">
      <c r="A717" s="3" t="s">
        <v>4528</v>
      </c>
      <c r="B717" s="5">
        <v>44504</v>
      </c>
      <c r="C717" s="3" t="s">
        <v>4529</v>
      </c>
      <c r="D717" s="4" t="s">
        <v>6171</v>
      </c>
      <c r="E717" s="3">
        <v>6</v>
      </c>
      <c r="F717" s="3" t="str">
        <f>_xlfn.XLOOKUP(C717,customers!$A$1:$A$1001,customers!$B$1:$B$1001,,0)</f>
        <v>Gilberto Cornier</v>
      </c>
      <c r="G717" s="3" t="str">
        <f>IF(_xlfn.XLOOKUP(C717,customers!$A$1:$A$1001,customers!$C$1:$C$1001,,0)=0,"", _xlfn.XLOOKUP(C717,customers!$A$1:$A$1001,customers!$C$1:$C$1001,,0))</f>
        <v>gcornierjv@techcrunch.com</v>
      </c>
      <c r="H717" s="3" t="str">
        <f>_xlfn.XLOOKUP(C717,customers!$A$1:$A$1001,customers!$G$1:$G$1001,,0)</f>
        <v>United States</v>
      </c>
      <c r="I717" s="4" t="str">
        <f>INDEX(products!$A$1:$G$49,MATCH(orders!$D717,products!$A$1:$A$49,0),MATCH(orders!I$1,products!$A$1:$G$1,0))</f>
        <v>Exc</v>
      </c>
      <c r="J717" s="4" t="str">
        <f>INDEX(products!$A$1:$G$49,MATCH(orders!$D717,products!$A$1:$A$49,0),MATCH(orders!J$1,products!$A$1:$G$1,0))</f>
        <v>L</v>
      </c>
      <c r="K717" s="6">
        <f>INDEX(products!$A$1:$G$49,MATCH(orders!$D717,products!$A$1:$A$49,0),MATCH(orders!K$1,products!$A$1:$G$1,0))</f>
        <v>1</v>
      </c>
      <c r="L717" s="7">
        <f>INDEX(products!$A$1:$G$49,MATCH(orders!$D717,products!$A$1:$A$49,0),MATCH(orders!L$1,products!$A$1:$G$1,0))</f>
        <v>14.85</v>
      </c>
      <c r="M717" s="7">
        <f t="shared" si="11"/>
        <v>89.1</v>
      </c>
      <c r="N717" s="4" t="str" cm="1">
        <f t="array" ref="N717">_xlfn.IFS(I717="Rob","Robusta",I717="Exc","Excelsa",I717="Ara","Arabica",I717="Lib","Liberica")</f>
        <v>Excelsa</v>
      </c>
      <c r="O717" s="4" t="str" cm="1">
        <f t="array" ref="O717">_xlfn.IFS(J717="M","Medium",J717="L","Light",J717="D","Dark")</f>
        <v>Light</v>
      </c>
      <c r="P717" s="4" t="str">
        <f>_xlfn.XLOOKUP(CoffeeOrderstable[[#This Row],[Customer ID]],customers!$A$1:$A$1001,customers!$I$1:$I$1001,,0)</f>
        <v>No</v>
      </c>
    </row>
    <row r="718" spans="1:16" x14ac:dyDescent="0.3">
      <c r="A718" s="3" t="s">
        <v>4533</v>
      </c>
      <c r="B718" s="5">
        <v>44612</v>
      </c>
      <c r="C718" s="3" t="s">
        <v>4434</v>
      </c>
      <c r="D718" s="4" t="s">
        <v>6179</v>
      </c>
      <c r="E718" s="3">
        <v>3</v>
      </c>
      <c r="F718" s="3" t="str">
        <f>_xlfn.XLOOKUP(C718,customers!$A$1:$A$1001,customers!$B$1:$B$1001,,0)</f>
        <v>Jimmy Dymoke</v>
      </c>
      <c r="G718" s="3" t="str">
        <f>IF(_xlfn.XLOOKUP(C718,customers!$A$1:$A$1001,customers!$C$1:$C$1001,,0)=0,"", _xlfn.XLOOKUP(C718,customers!$A$1:$A$1001,customers!$C$1:$C$1001,,0))</f>
        <v>jdymokeje@prnewswire.com</v>
      </c>
      <c r="H718" s="3" t="str">
        <f>_xlfn.XLOOKUP(C718,customers!$A$1:$A$1001,customers!$G$1:$G$1001,,0)</f>
        <v>Ireland</v>
      </c>
      <c r="I718" s="4" t="str">
        <f>INDEX(products!$A$1:$G$49,MATCH(orders!$D718,products!$A$1:$A$49,0),MATCH(orders!I$1,products!$A$1:$G$1,0))</f>
        <v>Rob</v>
      </c>
      <c r="J718" s="4" t="str">
        <f>INDEX(products!$A$1:$G$49,MATCH(orders!$D718,products!$A$1:$A$49,0),MATCH(orders!J$1,products!$A$1:$G$1,0))</f>
        <v>L</v>
      </c>
      <c r="K718" s="6">
        <f>INDEX(products!$A$1:$G$49,MATCH(orders!$D718,products!$A$1:$A$49,0),MATCH(orders!K$1,products!$A$1:$G$1,0))</f>
        <v>1</v>
      </c>
      <c r="L718" s="7">
        <f>INDEX(products!$A$1:$G$49,MATCH(orders!$D718,products!$A$1:$A$49,0),MATCH(orders!L$1,products!$A$1:$G$1,0))</f>
        <v>11.95</v>
      </c>
      <c r="M718" s="7">
        <f t="shared" si="11"/>
        <v>35.849999999999994</v>
      </c>
      <c r="N718" s="4" t="str" cm="1">
        <f t="array" ref="N718">_xlfn.IFS(I718="Rob","Robusta",I718="Exc","Excelsa",I718="Ara","Arabica",I718="Lib","Liberica")</f>
        <v>Robusta</v>
      </c>
      <c r="O718" s="4" t="str" cm="1">
        <f t="array" ref="O718">_xlfn.IFS(J718="M","Medium",J718="L","Light",J718="D","Dark")</f>
        <v>Light</v>
      </c>
      <c r="P718" s="4" t="str">
        <f>_xlfn.XLOOKUP(CoffeeOrderstable[[#This Row],[Customer ID]],customers!$A$1:$A$1001,customers!$I$1:$I$1001,,0)</f>
        <v>No</v>
      </c>
    </row>
    <row r="719" spans="1:16" x14ac:dyDescent="0.3">
      <c r="A719" s="3" t="s">
        <v>4539</v>
      </c>
      <c r="B719" s="5">
        <v>43649</v>
      </c>
      <c r="C719" s="3" t="s">
        <v>4540</v>
      </c>
      <c r="D719" s="4" t="s">
        <v>6168</v>
      </c>
      <c r="E719" s="3">
        <v>3</v>
      </c>
      <c r="F719" s="3" t="str">
        <f>_xlfn.XLOOKUP(C719,customers!$A$1:$A$1001,customers!$B$1:$B$1001,,0)</f>
        <v>Willabella Harvison</v>
      </c>
      <c r="G719" s="3" t="str">
        <f>IF(_xlfn.XLOOKUP(C719,customers!$A$1:$A$1001,customers!$C$1:$C$1001,,0)=0,"", _xlfn.XLOOKUP(C719,customers!$A$1:$A$1001,customers!$C$1:$C$1001,,0))</f>
        <v>wharvisonjx@gizmodo.com</v>
      </c>
      <c r="H719" s="3" t="str">
        <f>_xlfn.XLOOKUP(C719,customers!$A$1:$A$1001,customers!$G$1:$G$1001,,0)</f>
        <v>United States</v>
      </c>
      <c r="I719" s="4" t="str">
        <f>INDEX(products!$A$1:$G$49,MATCH(orders!$D719,products!$A$1:$A$49,0),MATCH(orders!I$1,products!$A$1:$G$1,0))</f>
        <v>Ara</v>
      </c>
      <c r="J719" s="4" t="str">
        <f>INDEX(products!$A$1:$G$49,MATCH(orders!$D719,products!$A$1:$A$49,0),MATCH(orders!J$1,products!$A$1:$G$1,0))</f>
        <v>D</v>
      </c>
      <c r="K719" s="6">
        <f>INDEX(products!$A$1:$G$49,MATCH(orders!$D719,products!$A$1:$A$49,0),MATCH(orders!K$1,products!$A$1:$G$1,0))</f>
        <v>2.5</v>
      </c>
      <c r="L719" s="7">
        <f>INDEX(products!$A$1:$G$49,MATCH(orders!$D719,products!$A$1:$A$49,0),MATCH(orders!L$1,products!$A$1:$G$1,0))</f>
        <v>22.884999999999998</v>
      </c>
      <c r="M719" s="7">
        <f t="shared" si="11"/>
        <v>68.655000000000001</v>
      </c>
      <c r="N719" s="4" t="str" cm="1">
        <f t="array" ref="N719">_xlfn.IFS(I719="Rob","Robusta",I719="Exc","Excelsa",I719="Ara","Arabica",I719="Lib","Liberica")</f>
        <v>Arabica</v>
      </c>
      <c r="O719" s="4" t="str" cm="1">
        <f t="array" ref="O719">_xlfn.IFS(J719="M","Medium",J719="L","Light",J719="D","Dark")</f>
        <v>Dark</v>
      </c>
      <c r="P719" s="4" t="str">
        <f>_xlfn.XLOOKUP(CoffeeOrderstable[[#This Row],[Customer ID]],customers!$A$1:$A$1001,customers!$I$1:$I$1001,,0)</f>
        <v>No</v>
      </c>
    </row>
    <row r="720" spans="1:16" x14ac:dyDescent="0.3">
      <c r="A720" s="3" t="s">
        <v>4545</v>
      </c>
      <c r="B720" s="5">
        <v>44348</v>
      </c>
      <c r="C720" s="3" t="s">
        <v>4546</v>
      </c>
      <c r="D720" s="4" t="s">
        <v>6143</v>
      </c>
      <c r="E720" s="3">
        <v>3</v>
      </c>
      <c r="F720" s="3" t="str">
        <f>_xlfn.XLOOKUP(C720,customers!$A$1:$A$1001,customers!$B$1:$B$1001,,0)</f>
        <v>Darice Heaford</v>
      </c>
      <c r="G720" s="3" t="str">
        <f>IF(_xlfn.XLOOKUP(C720,customers!$A$1:$A$1001,customers!$C$1:$C$1001,,0)=0,"", _xlfn.XLOOKUP(C720,customers!$A$1:$A$1001,customers!$C$1:$C$1001,,0))</f>
        <v>dheafordjy@twitpic.com</v>
      </c>
      <c r="H720" s="3" t="str">
        <f>_xlfn.XLOOKUP(C720,customers!$A$1:$A$1001,customers!$G$1:$G$1001,,0)</f>
        <v>United States</v>
      </c>
      <c r="I720" s="4" t="str">
        <f>INDEX(products!$A$1:$G$49,MATCH(orders!$D720,products!$A$1:$A$49,0),MATCH(orders!I$1,products!$A$1:$G$1,0))</f>
        <v>Lib</v>
      </c>
      <c r="J720" s="4" t="str">
        <f>INDEX(products!$A$1:$G$49,MATCH(orders!$D720,products!$A$1:$A$49,0),MATCH(orders!J$1,products!$A$1:$G$1,0))</f>
        <v>D</v>
      </c>
      <c r="K720" s="6">
        <f>INDEX(products!$A$1:$G$49,MATCH(orders!$D720,products!$A$1:$A$49,0),MATCH(orders!K$1,products!$A$1:$G$1,0))</f>
        <v>1</v>
      </c>
      <c r="L720" s="7">
        <f>INDEX(products!$A$1:$G$49,MATCH(orders!$D720,products!$A$1:$A$49,0),MATCH(orders!L$1,products!$A$1:$G$1,0))</f>
        <v>12.95</v>
      </c>
      <c r="M720" s="7">
        <f t="shared" si="11"/>
        <v>38.849999999999994</v>
      </c>
      <c r="N720" s="4" t="str" cm="1">
        <f t="array" ref="N720">_xlfn.IFS(I720="Rob","Robusta",I720="Exc","Excelsa",I720="Ara","Arabica",I720="Lib","Liberica")</f>
        <v>Liberica</v>
      </c>
      <c r="O720" s="4" t="str" cm="1">
        <f t="array" ref="O720">_xlfn.IFS(J720="M","Medium",J720="L","Light",J720="D","Dark")</f>
        <v>Dark</v>
      </c>
      <c r="P720" s="4" t="str">
        <f>_xlfn.XLOOKUP(CoffeeOrderstable[[#This Row],[Customer ID]],customers!$A$1:$A$1001,customers!$I$1:$I$1001,,0)</f>
        <v>No</v>
      </c>
    </row>
    <row r="721" spans="1:16" x14ac:dyDescent="0.3">
      <c r="A721" s="3" t="s">
        <v>4551</v>
      </c>
      <c r="B721" s="5">
        <v>44150</v>
      </c>
      <c r="C721" s="3" t="s">
        <v>4552</v>
      </c>
      <c r="D721" s="4" t="s">
        <v>6170</v>
      </c>
      <c r="E721" s="3">
        <v>5</v>
      </c>
      <c r="F721" s="3" t="str">
        <f>_xlfn.XLOOKUP(C721,customers!$A$1:$A$1001,customers!$B$1:$B$1001,,0)</f>
        <v>Granger Fantham</v>
      </c>
      <c r="G721" s="3" t="str">
        <f>IF(_xlfn.XLOOKUP(C721,customers!$A$1:$A$1001,customers!$C$1:$C$1001,,0)=0,"", _xlfn.XLOOKUP(C721,customers!$A$1:$A$1001,customers!$C$1:$C$1001,,0))</f>
        <v>gfanthamjz@hexun.com</v>
      </c>
      <c r="H721" s="3" t="str">
        <f>_xlfn.XLOOKUP(C721,customers!$A$1:$A$1001,customers!$G$1:$G$1001,,0)</f>
        <v>United States</v>
      </c>
      <c r="I721" s="4" t="str">
        <f>INDEX(products!$A$1:$G$49,MATCH(orders!$D721,products!$A$1:$A$49,0),MATCH(orders!I$1,products!$A$1:$G$1,0))</f>
        <v>Lib</v>
      </c>
      <c r="J721" s="4" t="str">
        <f>INDEX(products!$A$1:$G$49,MATCH(orders!$D721,products!$A$1:$A$49,0),MATCH(orders!J$1,products!$A$1:$G$1,0))</f>
        <v>L</v>
      </c>
      <c r="K721" s="6">
        <f>INDEX(products!$A$1:$G$49,MATCH(orders!$D721,products!$A$1:$A$49,0),MATCH(orders!K$1,products!$A$1:$G$1,0))</f>
        <v>1</v>
      </c>
      <c r="L721" s="7">
        <f>INDEX(products!$A$1:$G$49,MATCH(orders!$D721,products!$A$1:$A$49,0),MATCH(orders!L$1,products!$A$1:$G$1,0))</f>
        <v>15.85</v>
      </c>
      <c r="M721" s="7">
        <f t="shared" si="11"/>
        <v>79.25</v>
      </c>
      <c r="N721" s="4" t="str" cm="1">
        <f t="array" ref="N721">_xlfn.IFS(I721="Rob","Robusta",I721="Exc","Excelsa",I721="Ara","Arabica",I721="Lib","Liberica")</f>
        <v>Liberica</v>
      </c>
      <c r="O721" s="4" t="str" cm="1">
        <f t="array" ref="O721">_xlfn.IFS(J721="M","Medium",J721="L","Light",J721="D","Dark")</f>
        <v>Light</v>
      </c>
      <c r="P721" s="4" t="str">
        <f>_xlfn.XLOOKUP(CoffeeOrderstable[[#This Row],[Customer ID]],customers!$A$1:$A$1001,customers!$I$1:$I$1001,,0)</f>
        <v>Yes</v>
      </c>
    </row>
    <row r="722" spans="1:16" x14ac:dyDescent="0.3">
      <c r="A722" s="3" t="s">
        <v>4557</v>
      </c>
      <c r="B722" s="5">
        <v>44215</v>
      </c>
      <c r="C722" s="3" t="s">
        <v>4558</v>
      </c>
      <c r="D722" s="4" t="s">
        <v>6144</v>
      </c>
      <c r="E722" s="3">
        <v>5</v>
      </c>
      <c r="F722" s="3" t="str">
        <f>_xlfn.XLOOKUP(C722,customers!$A$1:$A$1001,customers!$B$1:$B$1001,,0)</f>
        <v>Reynolds Crookshanks</v>
      </c>
      <c r="G722" s="3" t="str">
        <f>IF(_xlfn.XLOOKUP(C722,customers!$A$1:$A$1001,customers!$C$1:$C$1001,,0)=0,"", _xlfn.XLOOKUP(C722,customers!$A$1:$A$1001,customers!$C$1:$C$1001,,0))</f>
        <v>rcrookshanksk0@unc.edu</v>
      </c>
      <c r="H722" s="3" t="str">
        <f>_xlfn.XLOOKUP(C722,customers!$A$1:$A$1001,customers!$G$1:$G$1001,,0)</f>
        <v>United States</v>
      </c>
      <c r="I722" s="4" t="str">
        <f>INDEX(products!$A$1:$G$49,MATCH(orders!$D722,products!$A$1:$A$49,0),MATCH(orders!I$1,products!$A$1:$G$1,0))</f>
        <v>Exc</v>
      </c>
      <c r="J722" s="4" t="str">
        <f>INDEX(products!$A$1:$G$49,MATCH(orders!$D722,products!$A$1:$A$49,0),MATCH(orders!J$1,products!$A$1:$G$1,0))</f>
        <v>D</v>
      </c>
      <c r="K722" s="6">
        <f>INDEX(products!$A$1:$G$49,MATCH(orders!$D722,products!$A$1:$A$49,0),MATCH(orders!K$1,products!$A$1:$G$1,0))</f>
        <v>0.5</v>
      </c>
      <c r="L722" s="7">
        <f>INDEX(products!$A$1:$G$49,MATCH(orders!$D722,products!$A$1:$A$49,0),MATCH(orders!L$1,products!$A$1:$G$1,0))</f>
        <v>7.29</v>
      </c>
      <c r="M722" s="7">
        <f t="shared" si="11"/>
        <v>36.450000000000003</v>
      </c>
      <c r="N722" s="4" t="str" cm="1">
        <f t="array" ref="N722">_xlfn.IFS(I722="Rob","Robusta",I722="Exc","Excelsa",I722="Ara","Arabica",I722="Lib","Liberica")</f>
        <v>Excelsa</v>
      </c>
      <c r="O722" s="4" t="str" cm="1">
        <f t="array" ref="O722">_xlfn.IFS(J722="M","Medium",J722="L","Light",J722="D","Dark")</f>
        <v>Dark</v>
      </c>
      <c r="P722" s="4" t="str">
        <f>_xlfn.XLOOKUP(CoffeeOrderstable[[#This Row],[Customer ID]],customers!$A$1:$A$1001,customers!$I$1:$I$1001,,0)</f>
        <v>Yes</v>
      </c>
    </row>
    <row r="723" spans="1:16" x14ac:dyDescent="0.3">
      <c r="A723" s="3" t="s">
        <v>4563</v>
      </c>
      <c r="B723" s="5">
        <v>44479</v>
      </c>
      <c r="C723" s="3" t="s">
        <v>4564</v>
      </c>
      <c r="D723" s="4" t="s">
        <v>6174</v>
      </c>
      <c r="E723" s="3">
        <v>3</v>
      </c>
      <c r="F723" s="3" t="str">
        <f>_xlfn.XLOOKUP(C723,customers!$A$1:$A$1001,customers!$B$1:$B$1001,,0)</f>
        <v>Niels Leake</v>
      </c>
      <c r="G723" s="3" t="str">
        <f>IF(_xlfn.XLOOKUP(C723,customers!$A$1:$A$1001,customers!$C$1:$C$1001,,0)=0,"", _xlfn.XLOOKUP(C723,customers!$A$1:$A$1001,customers!$C$1:$C$1001,,0))</f>
        <v>nleakek1@cmu.edu</v>
      </c>
      <c r="H723" s="3" t="str">
        <f>_xlfn.XLOOKUP(C723,customers!$A$1:$A$1001,customers!$G$1:$G$1001,,0)</f>
        <v>United States</v>
      </c>
      <c r="I723" s="4" t="str">
        <f>INDEX(products!$A$1:$G$49,MATCH(orders!$D723,products!$A$1:$A$49,0),MATCH(orders!I$1,products!$A$1:$G$1,0))</f>
        <v>Rob</v>
      </c>
      <c r="J723" s="4" t="str">
        <f>INDEX(products!$A$1:$G$49,MATCH(orders!$D723,products!$A$1:$A$49,0),MATCH(orders!J$1,products!$A$1:$G$1,0))</f>
        <v>M</v>
      </c>
      <c r="K723" s="6">
        <f>INDEX(products!$A$1:$G$49,MATCH(orders!$D723,products!$A$1:$A$49,0),MATCH(orders!K$1,products!$A$1:$G$1,0))</f>
        <v>0.2</v>
      </c>
      <c r="L723" s="7">
        <f>INDEX(products!$A$1:$G$49,MATCH(orders!$D723,products!$A$1:$A$49,0),MATCH(orders!L$1,products!$A$1:$G$1,0))</f>
        <v>2.9849999999999999</v>
      </c>
      <c r="M723" s="7">
        <f t="shared" si="11"/>
        <v>8.9550000000000001</v>
      </c>
      <c r="N723" s="4" t="str" cm="1">
        <f t="array" ref="N723">_xlfn.IFS(I723="Rob","Robusta",I723="Exc","Excelsa",I723="Ara","Arabica",I723="Lib","Liberica")</f>
        <v>Robusta</v>
      </c>
      <c r="O723" s="4" t="str" cm="1">
        <f t="array" ref="O723">_xlfn.IFS(J723="M","Medium",J723="L","Light",J723="D","Dark")</f>
        <v>Medium</v>
      </c>
      <c r="P723" s="4" t="str">
        <f>_xlfn.XLOOKUP(CoffeeOrderstable[[#This Row],[Customer ID]],customers!$A$1:$A$1001,customers!$I$1:$I$1001,,0)</f>
        <v>Yes</v>
      </c>
    </row>
    <row r="724" spans="1:16" x14ac:dyDescent="0.3">
      <c r="A724" s="3" t="s">
        <v>4569</v>
      </c>
      <c r="B724" s="5">
        <v>44620</v>
      </c>
      <c r="C724" s="3" t="s">
        <v>4570</v>
      </c>
      <c r="D724" s="4" t="s">
        <v>6183</v>
      </c>
      <c r="E724" s="3">
        <v>2</v>
      </c>
      <c r="F724" s="3" t="str">
        <f>_xlfn.XLOOKUP(C724,customers!$A$1:$A$1001,customers!$B$1:$B$1001,,0)</f>
        <v>Hetti Measures</v>
      </c>
      <c r="G724" s="3" t="str">
        <f>IF(_xlfn.XLOOKUP(C724,customers!$A$1:$A$1001,customers!$C$1:$C$1001,,0)=0,"", _xlfn.XLOOKUP(C724,customers!$A$1:$A$1001,customers!$C$1:$C$1001,,0))</f>
        <v/>
      </c>
      <c r="H724" s="3" t="str">
        <f>_xlfn.XLOOKUP(C724,customers!$A$1:$A$1001,customers!$G$1:$G$1001,,0)</f>
        <v>United States</v>
      </c>
      <c r="I724" s="4" t="str">
        <f>INDEX(products!$A$1:$G$49,MATCH(orders!$D724,products!$A$1:$A$49,0),MATCH(orders!I$1,products!$A$1:$G$1,0))</f>
        <v>Exc</v>
      </c>
      <c r="J724" s="4" t="str">
        <f>INDEX(products!$A$1:$G$49,MATCH(orders!$D724,products!$A$1:$A$49,0),MATCH(orders!J$1,products!$A$1:$G$1,0))</f>
        <v>D</v>
      </c>
      <c r="K724" s="6">
        <f>INDEX(products!$A$1:$G$49,MATCH(orders!$D724,products!$A$1:$A$49,0),MATCH(orders!K$1,products!$A$1:$G$1,0))</f>
        <v>1</v>
      </c>
      <c r="L724" s="7">
        <f>INDEX(products!$A$1:$G$49,MATCH(orders!$D724,products!$A$1:$A$49,0),MATCH(orders!L$1,products!$A$1:$G$1,0))</f>
        <v>12.15</v>
      </c>
      <c r="M724" s="7">
        <f t="shared" si="11"/>
        <v>24.3</v>
      </c>
      <c r="N724" s="4" t="str" cm="1">
        <f t="array" ref="N724">_xlfn.IFS(I724="Rob","Robusta",I724="Exc","Excelsa",I724="Ara","Arabica",I724="Lib","Liberica")</f>
        <v>Excelsa</v>
      </c>
      <c r="O724" s="4" t="str" cm="1">
        <f t="array" ref="O724">_xlfn.IFS(J724="M","Medium",J724="L","Light",J724="D","Dark")</f>
        <v>Dark</v>
      </c>
      <c r="P724" s="4" t="str">
        <f>_xlfn.XLOOKUP(CoffeeOrderstable[[#This Row],[Customer ID]],customers!$A$1:$A$1001,customers!$I$1:$I$1001,,0)</f>
        <v>No</v>
      </c>
    </row>
    <row r="725" spans="1:16" x14ac:dyDescent="0.3">
      <c r="A725" s="3" t="s">
        <v>4574</v>
      </c>
      <c r="B725" s="5">
        <v>44470</v>
      </c>
      <c r="C725" s="3" t="s">
        <v>4575</v>
      </c>
      <c r="D725" s="4" t="s">
        <v>6166</v>
      </c>
      <c r="E725" s="3">
        <v>2</v>
      </c>
      <c r="F725" s="3" t="str">
        <f>_xlfn.XLOOKUP(C725,customers!$A$1:$A$1001,customers!$B$1:$B$1001,,0)</f>
        <v>Gay Eilhersen</v>
      </c>
      <c r="G725" s="3" t="str">
        <f>IF(_xlfn.XLOOKUP(C725,customers!$A$1:$A$1001,customers!$C$1:$C$1001,,0)=0,"", _xlfn.XLOOKUP(C725,customers!$A$1:$A$1001,customers!$C$1:$C$1001,,0))</f>
        <v>geilhersenk3@networksolutions.com</v>
      </c>
      <c r="H725" s="3" t="str">
        <f>_xlfn.XLOOKUP(C725,customers!$A$1:$A$1001,customers!$G$1:$G$1001,,0)</f>
        <v>United States</v>
      </c>
      <c r="I725" s="4" t="str">
        <f>INDEX(products!$A$1:$G$49,MATCH(orders!$D725,products!$A$1:$A$49,0),MATCH(orders!I$1,products!$A$1:$G$1,0))</f>
        <v>Exc</v>
      </c>
      <c r="J725" s="4" t="str">
        <f>INDEX(products!$A$1:$G$49,MATCH(orders!$D725,products!$A$1:$A$49,0),MATCH(orders!J$1,products!$A$1:$G$1,0))</f>
        <v>M</v>
      </c>
      <c r="K725" s="6">
        <f>INDEX(products!$A$1:$G$49,MATCH(orders!$D725,products!$A$1:$A$49,0),MATCH(orders!K$1,products!$A$1:$G$1,0))</f>
        <v>2.5</v>
      </c>
      <c r="L725" s="7">
        <f>INDEX(products!$A$1:$G$49,MATCH(orders!$D725,products!$A$1:$A$49,0),MATCH(orders!L$1,products!$A$1:$G$1,0))</f>
        <v>31.624999999999996</v>
      </c>
      <c r="M725" s="7">
        <f t="shared" si="11"/>
        <v>63.249999999999993</v>
      </c>
      <c r="N725" s="4" t="str" cm="1">
        <f t="array" ref="N725">_xlfn.IFS(I725="Rob","Robusta",I725="Exc","Excelsa",I725="Ara","Arabica",I725="Lib","Liberica")</f>
        <v>Excelsa</v>
      </c>
      <c r="O725" s="4" t="str" cm="1">
        <f t="array" ref="O725">_xlfn.IFS(J725="M","Medium",J725="L","Light",J725="D","Dark")</f>
        <v>Medium</v>
      </c>
      <c r="P725" s="4" t="str">
        <f>_xlfn.XLOOKUP(CoffeeOrderstable[[#This Row],[Customer ID]],customers!$A$1:$A$1001,customers!$I$1:$I$1001,,0)</f>
        <v>No</v>
      </c>
    </row>
    <row r="726" spans="1:16" x14ac:dyDescent="0.3">
      <c r="A726" s="3" t="s">
        <v>4580</v>
      </c>
      <c r="B726" s="5">
        <v>44076</v>
      </c>
      <c r="C726" s="3" t="s">
        <v>4581</v>
      </c>
      <c r="D726" s="4" t="s">
        <v>6152</v>
      </c>
      <c r="E726" s="3">
        <v>2</v>
      </c>
      <c r="F726" s="3" t="str">
        <f>_xlfn.XLOOKUP(C726,customers!$A$1:$A$1001,customers!$B$1:$B$1001,,0)</f>
        <v>Nico Hubert</v>
      </c>
      <c r="G726" s="3" t="str">
        <f>IF(_xlfn.XLOOKUP(C726,customers!$A$1:$A$1001,customers!$C$1:$C$1001,,0)=0,"", _xlfn.XLOOKUP(C726,customers!$A$1:$A$1001,customers!$C$1:$C$1001,,0))</f>
        <v/>
      </c>
      <c r="H726" s="3" t="str">
        <f>_xlfn.XLOOKUP(C726,customers!$A$1:$A$1001,customers!$G$1:$G$1001,,0)</f>
        <v>United States</v>
      </c>
      <c r="I726" s="4" t="str">
        <f>INDEX(products!$A$1:$G$49,MATCH(orders!$D726,products!$A$1:$A$49,0),MATCH(orders!I$1,products!$A$1:$G$1,0))</f>
        <v>Ara</v>
      </c>
      <c r="J726" s="4" t="str">
        <f>INDEX(products!$A$1:$G$49,MATCH(orders!$D726,products!$A$1:$A$49,0),MATCH(orders!J$1,products!$A$1:$G$1,0))</f>
        <v>M</v>
      </c>
      <c r="K726" s="6">
        <f>INDEX(products!$A$1:$G$49,MATCH(orders!$D726,products!$A$1:$A$49,0),MATCH(orders!K$1,products!$A$1:$G$1,0))</f>
        <v>0.2</v>
      </c>
      <c r="L726" s="7">
        <f>INDEX(products!$A$1:$G$49,MATCH(orders!$D726,products!$A$1:$A$49,0),MATCH(orders!L$1,products!$A$1:$G$1,0))</f>
        <v>3.375</v>
      </c>
      <c r="M726" s="7">
        <f t="shared" si="11"/>
        <v>6.75</v>
      </c>
      <c r="N726" s="4" t="str" cm="1">
        <f t="array" ref="N726">_xlfn.IFS(I726="Rob","Robusta",I726="Exc","Excelsa",I726="Ara","Arabica",I726="Lib","Liberica")</f>
        <v>Arabica</v>
      </c>
      <c r="O726" s="4" t="str" cm="1">
        <f t="array" ref="O726">_xlfn.IFS(J726="M","Medium",J726="L","Light",J726="D","Dark")</f>
        <v>Medium</v>
      </c>
      <c r="P726" s="4" t="str">
        <f>_xlfn.XLOOKUP(CoffeeOrderstable[[#This Row],[Customer ID]],customers!$A$1:$A$1001,customers!$I$1:$I$1001,,0)</f>
        <v>Yes</v>
      </c>
    </row>
    <row r="727" spans="1:16" x14ac:dyDescent="0.3">
      <c r="A727" s="3" t="s">
        <v>4585</v>
      </c>
      <c r="B727" s="5">
        <v>44043</v>
      </c>
      <c r="C727" s="3" t="s">
        <v>4586</v>
      </c>
      <c r="D727" s="4" t="s">
        <v>6167</v>
      </c>
      <c r="E727" s="3">
        <v>6</v>
      </c>
      <c r="F727" s="3" t="str">
        <f>_xlfn.XLOOKUP(C727,customers!$A$1:$A$1001,customers!$B$1:$B$1001,,0)</f>
        <v>Cristina Aleixo</v>
      </c>
      <c r="G727" s="3" t="str">
        <f>IF(_xlfn.XLOOKUP(C727,customers!$A$1:$A$1001,customers!$C$1:$C$1001,,0)=0,"", _xlfn.XLOOKUP(C727,customers!$A$1:$A$1001,customers!$C$1:$C$1001,,0))</f>
        <v>caleixok5@globo.com</v>
      </c>
      <c r="H727" s="3" t="str">
        <f>_xlfn.XLOOKUP(C727,customers!$A$1:$A$1001,customers!$G$1:$G$1001,,0)</f>
        <v>United States</v>
      </c>
      <c r="I727" s="4" t="str">
        <f>INDEX(products!$A$1:$G$49,MATCH(orders!$D727,products!$A$1:$A$49,0),MATCH(orders!I$1,products!$A$1:$G$1,0))</f>
        <v>Ara</v>
      </c>
      <c r="J727" s="4" t="str">
        <f>INDEX(products!$A$1:$G$49,MATCH(orders!$D727,products!$A$1:$A$49,0),MATCH(orders!J$1,products!$A$1:$G$1,0))</f>
        <v>L</v>
      </c>
      <c r="K727" s="6">
        <f>INDEX(products!$A$1:$G$49,MATCH(orders!$D727,products!$A$1:$A$49,0),MATCH(orders!K$1,products!$A$1:$G$1,0))</f>
        <v>0.2</v>
      </c>
      <c r="L727" s="7">
        <f>INDEX(products!$A$1:$G$49,MATCH(orders!$D727,products!$A$1:$A$49,0),MATCH(orders!L$1,products!$A$1:$G$1,0))</f>
        <v>3.8849999999999998</v>
      </c>
      <c r="M727" s="7">
        <f t="shared" si="11"/>
        <v>23.31</v>
      </c>
      <c r="N727" s="4" t="str" cm="1">
        <f t="array" ref="N727">_xlfn.IFS(I727="Rob","Robusta",I727="Exc","Excelsa",I727="Ara","Arabica",I727="Lib","Liberica")</f>
        <v>Arabica</v>
      </c>
      <c r="O727" s="4" t="str" cm="1">
        <f t="array" ref="O727">_xlfn.IFS(J727="M","Medium",J727="L","Light",J727="D","Dark")</f>
        <v>Light</v>
      </c>
      <c r="P727" s="4" t="str">
        <f>_xlfn.XLOOKUP(CoffeeOrderstable[[#This Row],[Customer ID]],customers!$A$1:$A$1001,customers!$I$1:$I$1001,,0)</f>
        <v>No</v>
      </c>
    </row>
    <row r="728" spans="1:16" x14ac:dyDescent="0.3">
      <c r="A728" s="3" t="s">
        <v>4591</v>
      </c>
      <c r="B728" s="5">
        <v>44571</v>
      </c>
      <c r="C728" s="3" t="s">
        <v>4592</v>
      </c>
      <c r="D728" s="4" t="s">
        <v>6164</v>
      </c>
      <c r="E728" s="3">
        <v>4</v>
      </c>
      <c r="F728" s="3" t="str">
        <f>_xlfn.XLOOKUP(C728,customers!$A$1:$A$1001,customers!$B$1:$B$1001,,0)</f>
        <v>Derrek Allpress</v>
      </c>
      <c r="G728" s="3" t="str">
        <f>IF(_xlfn.XLOOKUP(C728,customers!$A$1:$A$1001,customers!$C$1:$C$1001,,0)=0,"", _xlfn.XLOOKUP(C728,customers!$A$1:$A$1001,customers!$C$1:$C$1001,,0))</f>
        <v/>
      </c>
      <c r="H728" s="3" t="str">
        <f>_xlfn.XLOOKUP(C728,customers!$A$1:$A$1001,customers!$G$1:$G$1001,,0)</f>
        <v>United States</v>
      </c>
      <c r="I728" s="4" t="str">
        <f>INDEX(products!$A$1:$G$49,MATCH(orders!$D728,products!$A$1:$A$49,0),MATCH(orders!I$1,products!$A$1:$G$1,0))</f>
        <v>Lib</v>
      </c>
      <c r="J728" s="4" t="str">
        <f>INDEX(products!$A$1:$G$49,MATCH(orders!$D728,products!$A$1:$A$49,0),MATCH(orders!J$1,products!$A$1:$G$1,0))</f>
        <v>L</v>
      </c>
      <c r="K728" s="6">
        <f>INDEX(products!$A$1:$G$49,MATCH(orders!$D728,products!$A$1:$A$49,0),MATCH(orders!K$1,products!$A$1:$G$1,0))</f>
        <v>2.5</v>
      </c>
      <c r="L728" s="7">
        <f>INDEX(products!$A$1:$G$49,MATCH(orders!$D728,products!$A$1:$A$49,0),MATCH(orders!L$1,products!$A$1:$G$1,0))</f>
        <v>36.454999999999998</v>
      </c>
      <c r="M728" s="7">
        <f t="shared" si="11"/>
        <v>145.82</v>
      </c>
      <c r="N728" s="4" t="str" cm="1">
        <f t="array" ref="N728">_xlfn.IFS(I728="Rob","Robusta",I728="Exc","Excelsa",I728="Ara","Arabica",I728="Lib","Liberica")</f>
        <v>Liberica</v>
      </c>
      <c r="O728" s="4" t="str" cm="1">
        <f t="array" ref="O728">_xlfn.IFS(J728="M","Medium",J728="L","Light",J728="D","Dark")</f>
        <v>Light</v>
      </c>
      <c r="P728" s="4" t="str">
        <f>_xlfn.XLOOKUP(CoffeeOrderstable[[#This Row],[Customer ID]],customers!$A$1:$A$1001,customers!$I$1:$I$1001,,0)</f>
        <v>No</v>
      </c>
    </row>
    <row r="729" spans="1:16" x14ac:dyDescent="0.3">
      <c r="A729" s="3" t="s">
        <v>4596</v>
      </c>
      <c r="B729" s="5">
        <v>44264</v>
      </c>
      <c r="C729" s="3" t="s">
        <v>4597</v>
      </c>
      <c r="D729" s="4" t="s">
        <v>6146</v>
      </c>
      <c r="E729" s="3">
        <v>5</v>
      </c>
      <c r="F729" s="3" t="str">
        <f>_xlfn.XLOOKUP(C729,customers!$A$1:$A$1001,customers!$B$1:$B$1001,,0)</f>
        <v>Rikki Tomkowicz</v>
      </c>
      <c r="G729" s="3" t="str">
        <f>IF(_xlfn.XLOOKUP(C729,customers!$A$1:$A$1001,customers!$C$1:$C$1001,,0)=0,"", _xlfn.XLOOKUP(C729,customers!$A$1:$A$1001,customers!$C$1:$C$1001,,0))</f>
        <v>rtomkowiczk7@bravesites.com</v>
      </c>
      <c r="H729" s="3" t="str">
        <f>_xlfn.XLOOKUP(C729,customers!$A$1:$A$1001,customers!$G$1:$G$1001,,0)</f>
        <v>Ireland</v>
      </c>
      <c r="I729" s="4" t="str">
        <f>INDEX(products!$A$1:$G$49,MATCH(orders!$D729,products!$A$1:$A$49,0),MATCH(orders!I$1,products!$A$1:$G$1,0))</f>
        <v>Rob</v>
      </c>
      <c r="J729" s="4" t="str">
        <f>INDEX(products!$A$1:$G$49,MATCH(orders!$D729,products!$A$1:$A$49,0),MATCH(orders!J$1,products!$A$1:$G$1,0))</f>
        <v>M</v>
      </c>
      <c r="K729" s="6">
        <f>INDEX(products!$A$1:$G$49,MATCH(orders!$D729,products!$A$1:$A$49,0),MATCH(orders!K$1,products!$A$1:$G$1,0))</f>
        <v>0.5</v>
      </c>
      <c r="L729" s="7">
        <f>INDEX(products!$A$1:$G$49,MATCH(orders!$D729,products!$A$1:$A$49,0),MATCH(orders!L$1,products!$A$1:$G$1,0))</f>
        <v>5.97</v>
      </c>
      <c r="M729" s="7">
        <f t="shared" si="11"/>
        <v>29.849999999999998</v>
      </c>
      <c r="N729" s="4" t="str" cm="1">
        <f t="array" ref="N729">_xlfn.IFS(I729="Rob","Robusta",I729="Exc","Excelsa",I729="Ara","Arabica",I729="Lib","Liberica")</f>
        <v>Robusta</v>
      </c>
      <c r="O729" s="4" t="str" cm="1">
        <f t="array" ref="O729">_xlfn.IFS(J729="M","Medium",J729="L","Light",J729="D","Dark")</f>
        <v>Medium</v>
      </c>
      <c r="P729" s="4" t="str">
        <f>_xlfn.XLOOKUP(CoffeeOrderstable[[#This Row],[Customer ID]],customers!$A$1:$A$1001,customers!$I$1:$I$1001,,0)</f>
        <v>Yes</v>
      </c>
    </row>
    <row r="730" spans="1:16" x14ac:dyDescent="0.3">
      <c r="A730" s="3" t="s">
        <v>4602</v>
      </c>
      <c r="B730" s="5">
        <v>44155</v>
      </c>
      <c r="C730" s="3" t="s">
        <v>4603</v>
      </c>
      <c r="D730" s="4" t="s">
        <v>6144</v>
      </c>
      <c r="E730" s="3">
        <v>3</v>
      </c>
      <c r="F730" s="3" t="str">
        <f>_xlfn.XLOOKUP(C730,customers!$A$1:$A$1001,customers!$B$1:$B$1001,,0)</f>
        <v>Rochette Huscroft</v>
      </c>
      <c r="G730" s="3" t="str">
        <f>IF(_xlfn.XLOOKUP(C730,customers!$A$1:$A$1001,customers!$C$1:$C$1001,,0)=0,"", _xlfn.XLOOKUP(C730,customers!$A$1:$A$1001,customers!$C$1:$C$1001,,0))</f>
        <v>rhuscroftk8@jimdo.com</v>
      </c>
      <c r="H730" s="3" t="str">
        <f>_xlfn.XLOOKUP(C730,customers!$A$1:$A$1001,customers!$G$1:$G$1001,,0)</f>
        <v>United States</v>
      </c>
      <c r="I730" s="4" t="str">
        <f>INDEX(products!$A$1:$G$49,MATCH(orders!$D730,products!$A$1:$A$49,0),MATCH(orders!I$1,products!$A$1:$G$1,0))</f>
        <v>Exc</v>
      </c>
      <c r="J730" s="4" t="str">
        <f>INDEX(products!$A$1:$G$49,MATCH(orders!$D730,products!$A$1:$A$49,0),MATCH(orders!J$1,products!$A$1:$G$1,0))</f>
        <v>D</v>
      </c>
      <c r="K730" s="6">
        <f>INDEX(products!$A$1:$G$49,MATCH(orders!$D730,products!$A$1:$A$49,0),MATCH(orders!K$1,products!$A$1:$G$1,0))</f>
        <v>0.5</v>
      </c>
      <c r="L730" s="7">
        <f>INDEX(products!$A$1:$G$49,MATCH(orders!$D730,products!$A$1:$A$49,0),MATCH(orders!L$1,products!$A$1:$G$1,0))</f>
        <v>7.29</v>
      </c>
      <c r="M730" s="7">
        <f t="shared" si="11"/>
        <v>21.87</v>
      </c>
      <c r="N730" s="4" t="str" cm="1">
        <f t="array" ref="N730">_xlfn.IFS(I730="Rob","Robusta",I730="Exc","Excelsa",I730="Ara","Arabica",I730="Lib","Liberica")</f>
        <v>Excelsa</v>
      </c>
      <c r="O730" s="4" t="str" cm="1">
        <f t="array" ref="O730">_xlfn.IFS(J730="M","Medium",J730="L","Light",J730="D","Dark")</f>
        <v>Dark</v>
      </c>
      <c r="P730" s="4" t="str">
        <f>_xlfn.XLOOKUP(CoffeeOrderstable[[#This Row],[Customer ID]],customers!$A$1:$A$1001,customers!$I$1:$I$1001,,0)</f>
        <v>Yes</v>
      </c>
    </row>
    <row r="731" spans="1:16" x14ac:dyDescent="0.3">
      <c r="A731" s="3" t="s">
        <v>4608</v>
      </c>
      <c r="B731" s="5">
        <v>44634</v>
      </c>
      <c r="C731" s="3" t="s">
        <v>4609</v>
      </c>
      <c r="D731" s="4" t="s">
        <v>6159</v>
      </c>
      <c r="E731" s="3">
        <v>1</v>
      </c>
      <c r="F731" s="3" t="str">
        <f>_xlfn.XLOOKUP(C731,customers!$A$1:$A$1001,customers!$B$1:$B$1001,,0)</f>
        <v>Selle Scurrer</v>
      </c>
      <c r="G731" s="3" t="str">
        <f>IF(_xlfn.XLOOKUP(C731,customers!$A$1:$A$1001,customers!$C$1:$C$1001,,0)=0,"", _xlfn.XLOOKUP(C731,customers!$A$1:$A$1001,customers!$C$1:$C$1001,,0))</f>
        <v>sscurrerk9@flavors.me</v>
      </c>
      <c r="H731" s="3" t="str">
        <f>_xlfn.XLOOKUP(C731,customers!$A$1:$A$1001,customers!$G$1:$G$1001,,0)</f>
        <v>United Kingdom</v>
      </c>
      <c r="I731" s="4" t="str">
        <f>INDEX(products!$A$1:$G$49,MATCH(orders!$D731,products!$A$1:$A$49,0),MATCH(orders!I$1,products!$A$1:$G$1,0))</f>
        <v>Lib</v>
      </c>
      <c r="J731" s="4" t="str">
        <f>INDEX(products!$A$1:$G$49,MATCH(orders!$D731,products!$A$1:$A$49,0),MATCH(orders!J$1,products!$A$1:$G$1,0))</f>
        <v>M</v>
      </c>
      <c r="K731" s="6">
        <f>INDEX(products!$A$1:$G$49,MATCH(orders!$D731,products!$A$1:$A$49,0),MATCH(orders!K$1,products!$A$1:$G$1,0))</f>
        <v>0.2</v>
      </c>
      <c r="L731" s="7">
        <f>INDEX(products!$A$1:$G$49,MATCH(orders!$D731,products!$A$1:$A$49,0),MATCH(orders!L$1,products!$A$1:$G$1,0))</f>
        <v>4.3650000000000002</v>
      </c>
      <c r="M731" s="7">
        <f t="shared" si="11"/>
        <v>4.3650000000000002</v>
      </c>
      <c r="N731" s="4" t="str" cm="1">
        <f t="array" ref="N731">_xlfn.IFS(I731="Rob","Robusta",I731="Exc","Excelsa",I731="Ara","Arabica",I731="Lib","Liberica")</f>
        <v>Liberica</v>
      </c>
      <c r="O731" s="4" t="str" cm="1">
        <f t="array" ref="O731">_xlfn.IFS(J731="M","Medium",J731="L","Light",J731="D","Dark")</f>
        <v>Medium</v>
      </c>
      <c r="P731" s="4" t="str">
        <f>_xlfn.XLOOKUP(CoffeeOrderstable[[#This Row],[Customer ID]],customers!$A$1:$A$1001,customers!$I$1:$I$1001,,0)</f>
        <v>No</v>
      </c>
    </row>
    <row r="732" spans="1:16" x14ac:dyDescent="0.3">
      <c r="A732" s="3" t="s">
        <v>4614</v>
      </c>
      <c r="B732" s="5">
        <v>43475</v>
      </c>
      <c r="C732" s="3" t="s">
        <v>4615</v>
      </c>
      <c r="D732" s="4" t="s">
        <v>6164</v>
      </c>
      <c r="E732" s="3">
        <v>1</v>
      </c>
      <c r="F732" s="3" t="str">
        <f>_xlfn.XLOOKUP(C732,customers!$A$1:$A$1001,customers!$B$1:$B$1001,,0)</f>
        <v>Andie Rudram</v>
      </c>
      <c r="G732" s="3" t="str">
        <f>IF(_xlfn.XLOOKUP(C732,customers!$A$1:$A$1001,customers!$C$1:$C$1001,,0)=0,"", _xlfn.XLOOKUP(C732,customers!$A$1:$A$1001,customers!$C$1:$C$1001,,0))</f>
        <v>arudramka@prnewswire.com</v>
      </c>
      <c r="H732" s="3" t="str">
        <f>_xlfn.XLOOKUP(C732,customers!$A$1:$A$1001,customers!$G$1:$G$1001,,0)</f>
        <v>United States</v>
      </c>
      <c r="I732" s="4" t="str">
        <f>INDEX(products!$A$1:$G$49,MATCH(orders!$D732,products!$A$1:$A$49,0),MATCH(orders!I$1,products!$A$1:$G$1,0))</f>
        <v>Lib</v>
      </c>
      <c r="J732" s="4" t="str">
        <f>INDEX(products!$A$1:$G$49,MATCH(orders!$D732,products!$A$1:$A$49,0),MATCH(orders!J$1,products!$A$1:$G$1,0))</f>
        <v>L</v>
      </c>
      <c r="K732" s="6">
        <f>INDEX(products!$A$1:$G$49,MATCH(orders!$D732,products!$A$1:$A$49,0),MATCH(orders!K$1,products!$A$1:$G$1,0))</f>
        <v>2.5</v>
      </c>
      <c r="L732" s="7">
        <f>INDEX(products!$A$1:$G$49,MATCH(orders!$D732,products!$A$1:$A$49,0),MATCH(orders!L$1,products!$A$1:$G$1,0))</f>
        <v>36.454999999999998</v>
      </c>
      <c r="M732" s="7">
        <f t="shared" si="11"/>
        <v>36.454999999999998</v>
      </c>
      <c r="N732" s="4" t="str" cm="1">
        <f t="array" ref="N732">_xlfn.IFS(I732="Rob","Robusta",I732="Exc","Excelsa",I732="Ara","Arabica",I732="Lib","Liberica")</f>
        <v>Liberica</v>
      </c>
      <c r="O732" s="4" t="str" cm="1">
        <f t="array" ref="O732">_xlfn.IFS(J732="M","Medium",J732="L","Light",J732="D","Dark")</f>
        <v>Light</v>
      </c>
      <c r="P732" s="4" t="str">
        <f>_xlfn.XLOOKUP(CoffeeOrderstable[[#This Row],[Customer ID]],customers!$A$1:$A$1001,customers!$I$1:$I$1001,,0)</f>
        <v>No</v>
      </c>
    </row>
    <row r="733" spans="1:16" x14ac:dyDescent="0.3">
      <c r="A733" s="3" t="s">
        <v>4620</v>
      </c>
      <c r="B733" s="5">
        <v>44222</v>
      </c>
      <c r="C733" s="3" t="s">
        <v>4621</v>
      </c>
      <c r="D733" s="4" t="s">
        <v>6150</v>
      </c>
      <c r="E733" s="3">
        <v>4</v>
      </c>
      <c r="F733" s="3" t="str">
        <f>_xlfn.XLOOKUP(C733,customers!$A$1:$A$1001,customers!$B$1:$B$1001,,0)</f>
        <v>Leta Clarricoates</v>
      </c>
      <c r="G733" s="3" t="str">
        <f>IF(_xlfn.XLOOKUP(C733,customers!$A$1:$A$1001,customers!$C$1:$C$1001,,0)=0,"", _xlfn.XLOOKUP(C733,customers!$A$1:$A$1001,customers!$C$1:$C$1001,,0))</f>
        <v/>
      </c>
      <c r="H733" s="3" t="str">
        <f>_xlfn.XLOOKUP(C733,customers!$A$1:$A$1001,customers!$G$1:$G$1001,,0)</f>
        <v>United States</v>
      </c>
      <c r="I733" s="4" t="str">
        <f>INDEX(products!$A$1:$G$49,MATCH(orders!$D733,products!$A$1:$A$49,0),MATCH(orders!I$1,products!$A$1:$G$1,0))</f>
        <v>Lib</v>
      </c>
      <c r="J733" s="4" t="str">
        <f>INDEX(products!$A$1:$G$49,MATCH(orders!$D733,products!$A$1:$A$49,0),MATCH(orders!J$1,products!$A$1:$G$1,0))</f>
        <v>D</v>
      </c>
      <c r="K733" s="6">
        <f>INDEX(products!$A$1:$G$49,MATCH(orders!$D733,products!$A$1:$A$49,0),MATCH(orders!K$1,products!$A$1:$G$1,0))</f>
        <v>0.2</v>
      </c>
      <c r="L733" s="7">
        <f>INDEX(products!$A$1:$G$49,MATCH(orders!$D733,products!$A$1:$A$49,0),MATCH(orders!L$1,products!$A$1:$G$1,0))</f>
        <v>3.8849999999999998</v>
      </c>
      <c r="M733" s="7">
        <f t="shared" si="11"/>
        <v>15.54</v>
      </c>
      <c r="N733" s="4" t="str" cm="1">
        <f t="array" ref="N733">_xlfn.IFS(I733="Rob","Robusta",I733="Exc","Excelsa",I733="Ara","Arabica",I733="Lib","Liberica")</f>
        <v>Liberica</v>
      </c>
      <c r="O733" s="4" t="str" cm="1">
        <f t="array" ref="O733">_xlfn.IFS(J733="M","Medium",J733="L","Light",J733="D","Dark")</f>
        <v>Dark</v>
      </c>
      <c r="P733" s="4" t="str">
        <f>_xlfn.XLOOKUP(CoffeeOrderstable[[#This Row],[Customer ID]],customers!$A$1:$A$1001,customers!$I$1:$I$1001,,0)</f>
        <v>Yes</v>
      </c>
    </row>
    <row r="734" spans="1:16" x14ac:dyDescent="0.3">
      <c r="A734" s="3" t="s">
        <v>4625</v>
      </c>
      <c r="B734" s="5">
        <v>44312</v>
      </c>
      <c r="C734" s="3" t="s">
        <v>4626</v>
      </c>
      <c r="D734" s="4" t="s">
        <v>6184</v>
      </c>
      <c r="E734" s="3">
        <v>2</v>
      </c>
      <c r="F734" s="3" t="str">
        <f>_xlfn.XLOOKUP(C734,customers!$A$1:$A$1001,customers!$B$1:$B$1001,,0)</f>
        <v>Jacquelyn Maha</v>
      </c>
      <c r="G734" s="3" t="str">
        <f>IF(_xlfn.XLOOKUP(C734,customers!$A$1:$A$1001,customers!$C$1:$C$1001,,0)=0,"", _xlfn.XLOOKUP(C734,customers!$A$1:$A$1001,customers!$C$1:$C$1001,,0))</f>
        <v>jmahakc@cyberchimps.com</v>
      </c>
      <c r="H734" s="3" t="str">
        <f>_xlfn.XLOOKUP(C734,customers!$A$1:$A$1001,customers!$G$1:$G$1001,,0)</f>
        <v>United States</v>
      </c>
      <c r="I734" s="4" t="str">
        <f>INDEX(products!$A$1:$G$49,MATCH(orders!$D734,products!$A$1:$A$49,0),MATCH(orders!I$1,products!$A$1:$G$1,0))</f>
        <v>Exc</v>
      </c>
      <c r="J734" s="4" t="str">
        <f>INDEX(products!$A$1:$G$49,MATCH(orders!$D734,products!$A$1:$A$49,0),MATCH(orders!J$1,products!$A$1:$G$1,0))</f>
        <v>L</v>
      </c>
      <c r="K734" s="6">
        <f>INDEX(products!$A$1:$G$49,MATCH(orders!$D734,products!$A$1:$A$49,0),MATCH(orders!K$1,products!$A$1:$G$1,0))</f>
        <v>0.2</v>
      </c>
      <c r="L734" s="7">
        <f>INDEX(products!$A$1:$G$49,MATCH(orders!$D734,products!$A$1:$A$49,0),MATCH(orders!L$1,products!$A$1:$G$1,0))</f>
        <v>4.4550000000000001</v>
      </c>
      <c r="M734" s="7">
        <f t="shared" si="11"/>
        <v>8.91</v>
      </c>
      <c r="N734" s="4" t="str" cm="1">
        <f t="array" ref="N734">_xlfn.IFS(I734="Rob","Robusta",I734="Exc","Excelsa",I734="Ara","Arabica",I734="Lib","Liberica")</f>
        <v>Excelsa</v>
      </c>
      <c r="O734" s="4" t="str" cm="1">
        <f t="array" ref="O734">_xlfn.IFS(J734="M","Medium",J734="L","Light",J734="D","Dark")</f>
        <v>Light</v>
      </c>
      <c r="P734" s="4" t="str">
        <f>_xlfn.XLOOKUP(CoffeeOrderstable[[#This Row],[Customer ID]],customers!$A$1:$A$1001,customers!$I$1:$I$1001,,0)</f>
        <v>No</v>
      </c>
    </row>
    <row r="735" spans="1:16" x14ac:dyDescent="0.3">
      <c r="A735" s="3" t="s">
        <v>4631</v>
      </c>
      <c r="B735" s="5">
        <v>44565</v>
      </c>
      <c r="C735" s="3" t="s">
        <v>4632</v>
      </c>
      <c r="D735" s="4" t="s">
        <v>6181</v>
      </c>
      <c r="E735" s="3">
        <v>3</v>
      </c>
      <c r="F735" s="3" t="str">
        <f>_xlfn.XLOOKUP(C735,customers!$A$1:$A$1001,customers!$B$1:$B$1001,,0)</f>
        <v>Glory Clemon</v>
      </c>
      <c r="G735" s="3" t="str">
        <f>IF(_xlfn.XLOOKUP(C735,customers!$A$1:$A$1001,customers!$C$1:$C$1001,,0)=0,"", _xlfn.XLOOKUP(C735,customers!$A$1:$A$1001,customers!$C$1:$C$1001,,0))</f>
        <v>gclemonkd@networksolutions.com</v>
      </c>
      <c r="H735" s="3" t="str">
        <f>_xlfn.XLOOKUP(C735,customers!$A$1:$A$1001,customers!$G$1:$G$1001,,0)</f>
        <v>United States</v>
      </c>
      <c r="I735" s="4" t="str">
        <f>INDEX(products!$A$1:$G$49,MATCH(orders!$D735,products!$A$1:$A$49,0),MATCH(orders!I$1,products!$A$1:$G$1,0))</f>
        <v>Lib</v>
      </c>
      <c r="J735" s="4" t="str">
        <f>INDEX(products!$A$1:$G$49,MATCH(orders!$D735,products!$A$1:$A$49,0),MATCH(orders!J$1,products!$A$1:$G$1,0))</f>
        <v>M</v>
      </c>
      <c r="K735" s="6">
        <f>INDEX(products!$A$1:$G$49,MATCH(orders!$D735,products!$A$1:$A$49,0),MATCH(orders!K$1,products!$A$1:$G$1,0))</f>
        <v>2.5</v>
      </c>
      <c r="L735" s="7">
        <f>INDEX(products!$A$1:$G$49,MATCH(orders!$D735,products!$A$1:$A$49,0),MATCH(orders!L$1,products!$A$1:$G$1,0))</f>
        <v>33.464999999999996</v>
      </c>
      <c r="M735" s="7">
        <f t="shared" si="11"/>
        <v>100.39499999999998</v>
      </c>
      <c r="N735" s="4" t="str" cm="1">
        <f t="array" ref="N735">_xlfn.IFS(I735="Rob","Robusta",I735="Exc","Excelsa",I735="Ara","Arabica",I735="Lib","Liberica")</f>
        <v>Liberica</v>
      </c>
      <c r="O735" s="4" t="str" cm="1">
        <f t="array" ref="O735">_xlfn.IFS(J735="M","Medium",J735="L","Light",J735="D","Dark")</f>
        <v>Medium</v>
      </c>
      <c r="P735" s="4" t="str">
        <f>_xlfn.XLOOKUP(CoffeeOrderstable[[#This Row],[Customer ID]],customers!$A$1:$A$1001,customers!$I$1:$I$1001,,0)</f>
        <v>Yes</v>
      </c>
    </row>
    <row r="736" spans="1:16" x14ac:dyDescent="0.3">
      <c r="A736" s="3" t="s">
        <v>4637</v>
      </c>
      <c r="B736" s="5">
        <v>43697</v>
      </c>
      <c r="C736" s="3" t="s">
        <v>4638</v>
      </c>
      <c r="D736" s="4" t="s">
        <v>6163</v>
      </c>
      <c r="E736" s="3">
        <v>5</v>
      </c>
      <c r="F736" s="3" t="str">
        <f>_xlfn.XLOOKUP(C736,customers!$A$1:$A$1001,customers!$B$1:$B$1001,,0)</f>
        <v>Alica Kift</v>
      </c>
      <c r="G736" s="3" t="str">
        <f>IF(_xlfn.XLOOKUP(C736,customers!$A$1:$A$1001,customers!$C$1:$C$1001,,0)=0,"", _xlfn.XLOOKUP(C736,customers!$A$1:$A$1001,customers!$C$1:$C$1001,,0))</f>
        <v/>
      </c>
      <c r="H736" s="3" t="str">
        <f>_xlfn.XLOOKUP(C736,customers!$A$1:$A$1001,customers!$G$1:$G$1001,,0)</f>
        <v>United States</v>
      </c>
      <c r="I736" s="4" t="str">
        <f>INDEX(products!$A$1:$G$49,MATCH(orders!$D736,products!$A$1:$A$49,0),MATCH(orders!I$1,products!$A$1:$G$1,0))</f>
        <v>Rob</v>
      </c>
      <c r="J736" s="4" t="str">
        <f>INDEX(products!$A$1:$G$49,MATCH(orders!$D736,products!$A$1:$A$49,0),MATCH(orders!J$1,products!$A$1:$G$1,0))</f>
        <v>D</v>
      </c>
      <c r="K736" s="6">
        <f>INDEX(products!$A$1:$G$49,MATCH(orders!$D736,products!$A$1:$A$49,0),MATCH(orders!K$1,products!$A$1:$G$1,0))</f>
        <v>0.2</v>
      </c>
      <c r="L736" s="7">
        <f>INDEX(products!$A$1:$G$49,MATCH(orders!$D736,products!$A$1:$A$49,0),MATCH(orders!L$1,products!$A$1:$G$1,0))</f>
        <v>2.6849999999999996</v>
      </c>
      <c r="M736" s="7">
        <f t="shared" si="11"/>
        <v>13.424999999999997</v>
      </c>
      <c r="N736" s="4" t="str" cm="1">
        <f t="array" ref="N736">_xlfn.IFS(I736="Rob","Robusta",I736="Exc","Excelsa",I736="Ara","Arabica",I736="Lib","Liberica")</f>
        <v>Robusta</v>
      </c>
      <c r="O736" s="4" t="str" cm="1">
        <f t="array" ref="O736">_xlfn.IFS(J736="M","Medium",J736="L","Light",J736="D","Dark")</f>
        <v>Dark</v>
      </c>
      <c r="P736" s="4" t="str">
        <f>_xlfn.XLOOKUP(CoffeeOrderstable[[#This Row],[Customer ID]],customers!$A$1:$A$1001,customers!$I$1:$I$1001,,0)</f>
        <v>No</v>
      </c>
    </row>
    <row r="737" spans="1:16" x14ac:dyDescent="0.3">
      <c r="A737" s="3" t="s">
        <v>4642</v>
      </c>
      <c r="B737" s="5">
        <v>44757</v>
      </c>
      <c r="C737" s="3" t="s">
        <v>4643</v>
      </c>
      <c r="D737" s="4" t="s">
        <v>6153</v>
      </c>
      <c r="E737" s="3">
        <v>6</v>
      </c>
      <c r="F737" s="3" t="str">
        <f>_xlfn.XLOOKUP(C737,customers!$A$1:$A$1001,customers!$B$1:$B$1001,,0)</f>
        <v>Babb Pollins</v>
      </c>
      <c r="G737" s="3" t="str">
        <f>IF(_xlfn.XLOOKUP(C737,customers!$A$1:$A$1001,customers!$C$1:$C$1001,,0)=0,"", _xlfn.XLOOKUP(C737,customers!$A$1:$A$1001,customers!$C$1:$C$1001,,0))</f>
        <v>bpollinskf@shinystat.com</v>
      </c>
      <c r="H737" s="3" t="str">
        <f>_xlfn.XLOOKUP(C737,customers!$A$1:$A$1001,customers!$G$1:$G$1001,,0)</f>
        <v>United States</v>
      </c>
      <c r="I737" s="4" t="str">
        <f>INDEX(products!$A$1:$G$49,MATCH(orders!$D737,products!$A$1:$A$49,0),MATCH(orders!I$1,products!$A$1:$G$1,0))</f>
        <v>Exc</v>
      </c>
      <c r="J737" s="4" t="str">
        <f>INDEX(products!$A$1:$G$49,MATCH(orders!$D737,products!$A$1:$A$49,0),MATCH(orders!J$1,products!$A$1:$G$1,0))</f>
        <v>D</v>
      </c>
      <c r="K737" s="6">
        <f>INDEX(products!$A$1:$G$49,MATCH(orders!$D737,products!$A$1:$A$49,0),MATCH(orders!K$1,products!$A$1:$G$1,0))</f>
        <v>0.2</v>
      </c>
      <c r="L737" s="7">
        <f>INDEX(products!$A$1:$G$49,MATCH(orders!$D737,products!$A$1:$A$49,0),MATCH(orders!L$1,products!$A$1:$G$1,0))</f>
        <v>3.645</v>
      </c>
      <c r="M737" s="7">
        <f t="shared" si="11"/>
        <v>21.87</v>
      </c>
      <c r="N737" s="4" t="str" cm="1">
        <f t="array" ref="N737">_xlfn.IFS(I737="Rob","Robusta",I737="Exc","Excelsa",I737="Ara","Arabica",I737="Lib","Liberica")</f>
        <v>Excelsa</v>
      </c>
      <c r="O737" s="4" t="str" cm="1">
        <f t="array" ref="O737">_xlfn.IFS(J737="M","Medium",J737="L","Light",J737="D","Dark")</f>
        <v>Dark</v>
      </c>
      <c r="P737" s="4" t="str">
        <f>_xlfn.XLOOKUP(CoffeeOrderstable[[#This Row],[Customer ID]],customers!$A$1:$A$1001,customers!$I$1:$I$1001,,0)</f>
        <v>No</v>
      </c>
    </row>
    <row r="738" spans="1:16" x14ac:dyDescent="0.3">
      <c r="A738" s="3" t="s">
        <v>4647</v>
      </c>
      <c r="B738" s="5">
        <v>43508</v>
      </c>
      <c r="C738" s="3" t="s">
        <v>4648</v>
      </c>
      <c r="D738" s="4" t="s">
        <v>6143</v>
      </c>
      <c r="E738" s="3">
        <v>2</v>
      </c>
      <c r="F738" s="3" t="str">
        <f>_xlfn.XLOOKUP(C738,customers!$A$1:$A$1001,customers!$B$1:$B$1001,,0)</f>
        <v>Jarret Toye</v>
      </c>
      <c r="G738" s="3" t="str">
        <f>IF(_xlfn.XLOOKUP(C738,customers!$A$1:$A$1001,customers!$C$1:$C$1001,,0)=0,"", _xlfn.XLOOKUP(C738,customers!$A$1:$A$1001,customers!$C$1:$C$1001,,0))</f>
        <v>jtoyekg@pinterest.com</v>
      </c>
      <c r="H738" s="3" t="str">
        <f>_xlfn.XLOOKUP(C738,customers!$A$1:$A$1001,customers!$G$1:$G$1001,,0)</f>
        <v>Ireland</v>
      </c>
      <c r="I738" s="4" t="str">
        <f>INDEX(products!$A$1:$G$49,MATCH(orders!$D738,products!$A$1:$A$49,0),MATCH(orders!I$1,products!$A$1:$G$1,0))</f>
        <v>Lib</v>
      </c>
      <c r="J738" s="4" t="str">
        <f>INDEX(products!$A$1:$G$49,MATCH(orders!$D738,products!$A$1:$A$49,0),MATCH(orders!J$1,products!$A$1:$G$1,0))</f>
        <v>D</v>
      </c>
      <c r="K738" s="6">
        <f>INDEX(products!$A$1:$G$49,MATCH(orders!$D738,products!$A$1:$A$49,0),MATCH(orders!K$1,products!$A$1:$G$1,0))</f>
        <v>1</v>
      </c>
      <c r="L738" s="7">
        <f>INDEX(products!$A$1:$G$49,MATCH(orders!$D738,products!$A$1:$A$49,0),MATCH(orders!L$1,products!$A$1:$G$1,0))</f>
        <v>12.95</v>
      </c>
      <c r="M738" s="7">
        <f t="shared" si="11"/>
        <v>25.9</v>
      </c>
      <c r="N738" s="4" t="str" cm="1">
        <f t="array" ref="N738">_xlfn.IFS(I738="Rob","Robusta",I738="Exc","Excelsa",I738="Ara","Arabica",I738="Lib","Liberica")</f>
        <v>Liberica</v>
      </c>
      <c r="O738" s="4" t="str" cm="1">
        <f t="array" ref="O738">_xlfn.IFS(J738="M","Medium",J738="L","Light",J738="D","Dark")</f>
        <v>Dark</v>
      </c>
      <c r="P738" s="4" t="str">
        <f>_xlfn.XLOOKUP(CoffeeOrderstable[[#This Row],[Customer ID]],customers!$A$1:$A$1001,customers!$I$1:$I$1001,,0)</f>
        <v>Yes</v>
      </c>
    </row>
    <row r="739" spans="1:16" x14ac:dyDescent="0.3">
      <c r="A739" s="3" t="s">
        <v>4653</v>
      </c>
      <c r="B739" s="5">
        <v>44447</v>
      </c>
      <c r="C739" s="3" t="s">
        <v>4654</v>
      </c>
      <c r="D739" s="4" t="s">
        <v>6155</v>
      </c>
      <c r="E739" s="3">
        <v>5</v>
      </c>
      <c r="F739" s="3" t="str">
        <f>_xlfn.XLOOKUP(C739,customers!$A$1:$A$1001,customers!$B$1:$B$1001,,0)</f>
        <v>Carlie Linskill</v>
      </c>
      <c r="G739" s="3" t="str">
        <f>IF(_xlfn.XLOOKUP(C739,customers!$A$1:$A$1001,customers!$C$1:$C$1001,,0)=0,"", _xlfn.XLOOKUP(C739,customers!$A$1:$A$1001,customers!$C$1:$C$1001,,0))</f>
        <v>clinskillkh@sphinn.com</v>
      </c>
      <c r="H739" s="3" t="str">
        <f>_xlfn.XLOOKUP(C739,customers!$A$1:$A$1001,customers!$G$1:$G$1001,,0)</f>
        <v>United States</v>
      </c>
      <c r="I739" s="4" t="str">
        <f>INDEX(products!$A$1:$G$49,MATCH(orders!$D739,products!$A$1:$A$49,0),MATCH(orders!I$1,products!$A$1:$G$1,0))</f>
        <v>Ara</v>
      </c>
      <c r="J739" s="4" t="str">
        <f>INDEX(products!$A$1:$G$49,MATCH(orders!$D739,products!$A$1:$A$49,0),MATCH(orders!J$1,products!$A$1:$G$1,0))</f>
        <v>M</v>
      </c>
      <c r="K739" s="6">
        <f>INDEX(products!$A$1:$G$49,MATCH(orders!$D739,products!$A$1:$A$49,0),MATCH(orders!K$1,products!$A$1:$G$1,0))</f>
        <v>1</v>
      </c>
      <c r="L739" s="7">
        <f>INDEX(products!$A$1:$G$49,MATCH(orders!$D739,products!$A$1:$A$49,0),MATCH(orders!L$1,products!$A$1:$G$1,0))</f>
        <v>11.25</v>
      </c>
      <c r="M739" s="7">
        <f t="shared" si="11"/>
        <v>56.25</v>
      </c>
      <c r="N739" s="4" t="str" cm="1">
        <f t="array" ref="N739">_xlfn.IFS(I739="Rob","Robusta",I739="Exc","Excelsa",I739="Ara","Arabica",I739="Lib","Liberica")</f>
        <v>Arabica</v>
      </c>
      <c r="O739" s="4" t="str" cm="1">
        <f t="array" ref="O739">_xlfn.IFS(J739="M","Medium",J739="L","Light",J739="D","Dark")</f>
        <v>Medium</v>
      </c>
      <c r="P739" s="4" t="str">
        <f>_xlfn.XLOOKUP(CoffeeOrderstable[[#This Row],[Customer ID]],customers!$A$1:$A$1001,customers!$I$1:$I$1001,,0)</f>
        <v>No</v>
      </c>
    </row>
    <row r="740" spans="1:16" x14ac:dyDescent="0.3">
      <c r="A740" s="3" t="s">
        <v>4659</v>
      </c>
      <c r="B740" s="5">
        <v>43812</v>
      </c>
      <c r="C740" s="3" t="s">
        <v>4660</v>
      </c>
      <c r="D740" s="4" t="s">
        <v>6178</v>
      </c>
      <c r="E740" s="3">
        <v>3</v>
      </c>
      <c r="F740" s="3" t="str">
        <f>_xlfn.XLOOKUP(C740,customers!$A$1:$A$1001,customers!$B$1:$B$1001,,0)</f>
        <v>Natal Vigrass</v>
      </c>
      <c r="G740" s="3" t="str">
        <f>IF(_xlfn.XLOOKUP(C740,customers!$A$1:$A$1001,customers!$C$1:$C$1001,,0)=0,"", _xlfn.XLOOKUP(C740,customers!$A$1:$A$1001,customers!$C$1:$C$1001,,0))</f>
        <v>nvigrasski@ezinearticles.com</v>
      </c>
      <c r="H740" s="3" t="str">
        <f>_xlfn.XLOOKUP(C740,customers!$A$1:$A$1001,customers!$G$1:$G$1001,,0)</f>
        <v>United Kingdom</v>
      </c>
      <c r="I740" s="4" t="str">
        <f>INDEX(products!$A$1:$G$49,MATCH(orders!$D740,products!$A$1:$A$49,0),MATCH(orders!I$1,products!$A$1:$G$1,0))</f>
        <v>Rob</v>
      </c>
      <c r="J740" s="4" t="str">
        <f>INDEX(products!$A$1:$G$49,MATCH(orders!$D740,products!$A$1:$A$49,0),MATCH(orders!J$1,products!$A$1:$G$1,0))</f>
        <v>L</v>
      </c>
      <c r="K740" s="6">
        <f>INDEX(products!$A$1:$G$49,MATCH(orders!$D740,products!$A$1:$A$49,0),MATCH(orders!K$1,products!$A$1:$G$1,0))</f>
        <v>0.2</v>
      </c>
      <c r="L740" s="7">
        <f>INDEX(products!$A$1:$G$49,MATCH(orders!$D740,products!$A$1:$A$49,0),MATCH(orders!L$1,products!$A$1:$G$1,0))</f>
        <v>3.5849999999999995</v>
      </c>
      <c r="M740" s="7">
        <f t="shared" si="11"/>
        <v>10.754999999999999</v>
      </c>
      <c r="N740" s="4" t="str" cm="1">
        <f t="array" ref="N740">_xlfn.IFS(I740="Rob","Robusta",I740="Exc","Excelsa",I740="Ara","Arabica",I740="Lib","Liberica")</f>
        <v>Robusta</v>
      </c>
      <c r="O740" s="4" t="str" cm="1">
        <f t="array" ref="O740">_xlfn.IFS(J740="M","Medium",J740="L","Light",J740="D","Dark")</f>
        <v>Light</v>
      </c>
      <c r="P740" s="4" t="str">
        <f>_xlfn.XLOOKUP(CoffeeOrderstable[[#This Row],[Customer ID]],customers!$A$1:$A$1001,customers!$I$1:$I$1001,,0)</f>
        <v>No</v>
      </c>
    </row>
    <row r="741" spans="1:16" x14ac:dyDescent="0.3">
      <c r="A741" s="3" t="s">
        <v>4665</v>
      </c>
      <c r="B741" s="5">
        <v>44433</v>
      </c>
      <c r="C741" s="3" t="s">
        <v>4434</v>
      </c>
      <c r="D741" s="4" t="s">
        <v>6153</v>
      </c>
      <c r="E741" s="3">
        <v>5</v>
      </c>
      <c r="F741" s="3" t="str">
        <f>_xlfn.XLOOKUP(C741,customers!$A$1:$A$1001,customers!$B$1:$B$1001,,0)</f>
        <v>Jimmy Dymoke</v>
      </c>
      <c r="G741" s="3" t="str">
        <f>IF(_xlfn.XLOOKUP(C741,customers!$A$1:$A$1001,customers!$C$1:$C$1001,,0)=0,"", _xlfn.XLOOKUP(C741,customers!$A$1:$A$1001,customers!$C$1:$C$1001,,0))</f>
        <v>jdymokeje@prnewswire.com</v>
      </c>
      <c r="H741" s="3" t="str">
        <f>_xlfn.XLOOKUP(C741,customers!$A$1:$A$1001,customers!$G$1:$G$1001,,0)</f>
        <v>Ireland</v>
      </c>
      <c r="I741" s="4" t="str">
        <f>INDEX(products!$A$1:$G$49,MATCH(orders!$D741,products!$A$1:$A$49,0),MATCH(orders!I$1,products!$A$1:$G$1,0))</f>
        <v>Exc</v>
      </c>
      <c r="J741" s="4" t="str">
        <f>INDEX(products!$A$1:$G$49,MATCH(orders!$D741,products!$A$1:$A$49,0),MATCH(orders!J$1,products!$A$1:$G$1,0))</f>
        <v>D</v>
      </c>
      <c r="K741" s="6">
        <f>INDEX(products!$A$1:$G$49,MATCH(orders!$D741,products!$A$1:$A$49,0),MATCH(orders!K$1,products!$A$1:$G$1,0))</f>
        <v>0.2</v>
      </c>
      <c r="L741" s="7">
        <f>INDEX(products!$A$1:$G$49,MATCH(orders!$D741,products!$A$1:$A$49,0),MATCH(orders!L$1,products!$A$1:$G$1,0))</f>
        <v>3.645</v>
      </c>
      <c r="M741" s="7">
        <f t="shared" si="11"/>
        <v>18.225000000000001</v>
      </c>
      <c r="N741" s="4" t="str" cm="1">
        <f t="array" ref="N741">_xlfn.IFS(I741="Rob","Robusta",I741="Exc","Excelsa",I741="Ara","Arabica",I741="Lib","Liberica")</f>
        <v>Excelsa</v>
      </c>
      <c r="O741" s="4" t="str" cm="1">
        <f t="array" ref="O741">_xlfn.IFS(J741="M","Medium",J741="L","Light",J741="D","Dark")</f>
        <v>Dark</v>
      </c>
      <c r="P741" s="4" t="str">
        <f>_xlfn.XLOOKUP(CoffeeOrderstable[[#This Row],[Customer ID]],customers!$A$1:$A$1001,customers!$I$1:$I$1001,,0)</f>
        <v>No</v>
      </c>
    </row>
    <row r="742" spans="1:16" x14ac:dyDescent="0.3">
      <c r="A742" s="3" t="s">
        <v>4670</v>
      </c>
      <c r="B742" s="5">
        <v>44643</v>
      </c>
      <c r="C742" s="3" t="s">
        <v>4671</v>
      </c>
      <c r="D742" s="4" t="s">
        <v>6173</v>
      </c>
      <c r="E742" s="3">
        <v>4</v>
      </c>
      <c r="F742" s="3" t="str">
        <f>_xlfn.XLOOKUP(C742,customers!$A$1:$A$1001,customers!$B$1:$B$1001,,0)</f>
        <v>Kandace Cragell</v>
      </c>
      <c r="G742" s="3" t="str">
        <f>IF(_xlfn.XLOOKUP(C742,customers!$A$1:$A$1001,customers!$C$1:$C$1001,,0)=0,"", _xlfn.XLOOKUP(C742,customers!$A$1:$A$1001,customers!$C$1:$C$1001,,0))</f>
        <v>kcragellkk@google.com</v>
      </c>
      <c r="H742" s="3" t="str">
        <f>_xlfn.XLOOKUP(C742,customers!$A$1:$A$1001,customers!$G$1:$G$1001,,0)</f>
        <v>Ireland</v>
      </c>
      <c r="I742" s="4" t="str">
        <f>INDEX(products!$A$1:$G$49,MATCH(orders!$D742,products!$A$1:$A$49,0),MATCH(orders!I$1,products!$A$1:$G$1,0))</f>
        <v>Rob</v>
      </c>
      <c r="J742" s="4" t="str">
        <f>INDEX(products!$A$1:$G$49,MATCH(orders!$D742,products!$A$1:$A$49,0),MATCH(orders!J$1,products!$A$1:$G$1,0))</f>
        <v>L</v>
      </c>
      <c r="K742" s="6">
        <f>INDEX(products!$A$1:$G$49,MATCH(orders!$D742,products!$A$1:$A$49,0),MATCH(orders!K$1,products!$A$1:$G$1,0))</f>
        <v>0.5</v>
      </c>
      <c r="L742" s="7">
        <f>INDEX(products!$A$1:$G$49,MATCH(orders!$D742,products!$A$1:$A$49,0),MATCH(orders!L$1,products!$A$1:$G$1,0))</f>
        <v>7.169999999999999</v>
      </c>
      <c r="M742" s="7">
        <f t="shared" si="11"/>
        <v>28.679999999999996</v>
      </c>
      <c r="N742" s="4" t="str" cm="1">
        <f t="array" ref="N742">_xlfn.IFS(I742="Rob","Robusta",I742="Exc","Excelsa",I742="Ara","Arabica",I742="Lib","Liberica")</f>
        <v>Robusta</v>
      </c>
      <c r="O742" s="4" t="str" cm="1">
        <f t="array" ref="O742">_xlfn.IFS(J742="M","Medium",J742="L","Light",J742="D","Dark")</f>
        <v>Light</v>
      </c>
      <c r="P742" s="4" t="str">
        <f>_xlfn.XLOOKUP(CoffeeOrderstable[[#This Row],[Customer ID]],customers!$A$1:$A$1001,customers!$I$1:$I$1001,,0)</f>
        <v>No</v>
      </c>
    </row>
    <row r="743" spans="1:16" x14ac:dyDescent="0.3">
      <c r="A743" s="3" t="s">
        <v>4676</v>
      </c>
      <c r="B743" s="5">
        <v>43566</v>
      </c>
      <c r="C743" s="3" t="s">
        <v>4677</v>
      </c>
      <c r="D743" s="4" t="s">
        <v>6159</v>
      </c>
      <c r="E743" s="3">
        <v>2</v>
      </c>
      <c r="F743" s="3" t="str">
        <f>_xlfn.XLOOKUP(C743,customers!$A$1:$A$1001,customers!$B$1:$B$1001,,0)</f>
        <v>Lyon Ibert</v>
      </c>
      <c r="G743" s="3" t="str">
        <f>IF(_xlfn.XLOOKUP(C743,customers!$A$1:$A$1001,customers!$C$1:$C$1001,,0)=0,"", _xlfn.XLOOKUP(C743,customers!$A$1:$A$1001,customers!$C$1:$C$1001,,0))</f>
        <v>libertkl@huffingtonpost.com</v>
      </c>
      <c r="H743" s="3" t="str">
        <f>_xlfn.XLOOKUP(C743,customers!$A$1:$A$1001,customers!$G$1:$G$1001,,0)</f>
        <v>United States</v>
      </c>
      <c r="I743" s="4" t="str">
        <f>INDEX(products!$A$1:$G$49,MATCH(orders!$D743,products!$A$1:$A$49,0),MATCH(orders!I$1,products!$A$1:$G$1,0))</f>
        <v>Lib</v>
      </c>
      <c r="J743" s="4" t="str">
        <f>INDEX(products!$A$1:$G$49,MATCH(orders!$D743,products!$A$1:$A$49,0),MATCH(orders!J$1,products!$A$1:$G$1,0))</f>
        <v>M</v>
      </c>
      <c r="K743" s="6">
        <f>INDEX(products!$A$1:$G$49,MATCH(orders!$D743,products!$A$1:$A$49,0),MATCH(orders!K$1,products!$A$1:$G$1,0))</f>
        <v>0.2</v>
      </c>
      <c r="L743" s="7">
        <f>INDEX(products!$A$1:$G$49,MATCH(orders!$D743,products!$A$1:$A$49,0),MATCH(orders!L$1,products!$A$1:$G$1,0))</f>
        <v>4.3650000000000002</v>
      </c>
      <c r="M743" s="7">
        <f t="shared" si="11"/>
        <v>8.73</v>
      </c>
      <c r="N743" s="4" t="str" cm="1">
        <f t="array" ref="N743">_xlfn.IFS(I743="Rob","Robusta",I743="Exc","Excelsa",I743="Ara","Arabica",I743="Lib","Liberica")</f>
        <v>Liberica</v>
      </c>
      <c r="O743" s="4" t="str" cm="1">
        <f t="array" ref="O743">_xlfn.IFS(J743="M","Medium",J743="L","Light",J743="D","Dark")</f>
        <v>Medium</v>
      </c>
      <c r="P743" s="4" t="str">
        <f>_xlfn.XLOOKUP(CoffeeOrderstable[[#This Row],[Customer ID]],customers!$A$1:$A$1001,customers!$I$1:$I$1001,,0)</f>
        <v>No</v>
      </c>
    </row>
    <row r="744" spans="1:16" x14ac:dyDescent="0.3">
      <c r="A744" s="3" t="s">
        <v>4682</v>
      </c>
      <c r="B744" s="5">
        <v>44133</v>
      </c>
      <c r="C744" s="3" t="s">
        <v>4683</v>
      </c>
      <c r="D744" s="4" t="s">
        <v>6162</v>
      </c>
      <c r="E744" s="3">
        <v>4</v>
      </c>
      <c r="F744" s="3" t="str">
        <f>_xlfn.XLOOKUP(C744,customers!$A$1:$A$1001,customers!$B$1:$B$1001,,0)</f>
        <v>Reese Lidgey</v>
      </c>
      <c r="G744" s="3" t="str">
        <f>IF(_xlfn.XLOOKUP(C744,customers!$A$1:$A$1001,customers!$C$1:$C$1001,,0)=0,"", _xlfn.XLOOKUP(C744,customers!$A$1:$A$1001,customers!$C$1:$C$1001,,0))</f>
        <v>rlidgeykm@vimeo.com</v>
      </c>
      <c r="H744" s="3" t="str">
        <f>_xlfn.XLOOKUP(C744,customers!$A$1:$A$1001,customers!$G$1:$G$1001,,0)</f>
        <v>United States</v>
      </c>
      <c r="I744" s="4" t="str">
        <f>INDEX(products!$A$1:$G$49,MATCH(orders!$D744,products!$A$1:$A$49,0),MATCH(orders!I$1,products!$A$1:$G$1,0))</f>
        <v>Lib</v>
      </c>
      <c r="J744" s="4" t="str">
        <f>INDEX(products!$A$1:$G$49,MATCH(orders!$D744,products!$A$1:$A$49,0),MATCH(orders!J$1,products!$A$1:$G$1,0))</f>
        <v>M</v>
      </c>
      <c r="K744" s="6">
        <f>INDEX(products!$A$1:$G$49,MATCH(orders!$D744,products!$A$1:$A$49,0),MATCH(orders!K$1,products!$A$1:$G$1,0))</f>
        <v>1</v>
      </c>
      <c r="L744" s="7">
        <f>INDEX(products!$A$1:$G$49,MATCH(orders!$D744,products!$A$1:$A$49,0),MATCH(orders!L$1,products!$A$1:$G$1,0))</f>
        <v>14.55</v>
      </c>
      <c r="M744" s="7">
        <f t="shared" si="11"/>
        <v>58.2</v>
      </c>
      <c r="N744" s="4" t="str" cm="1">
        <f t="array" ref="N744">_xlfn.IFS(I744="Rob","Robusta",I744="Exc","Excelsa",I744="Ara","Arabica",I744="Lib","Liberica")</f>
        <v>Liberica</v>
      </c>
      <c r="O744" s="4" t="str" cm="1">
        <f t="array" ref="O744">_xlfn.IFS(J744="M","Medium",J744="L","Light",J744="D","Dark")</f>
        <v>Medium</v>
      </c>
      <c r="P744" s="4" t="str">
        <f>_xlfn.XLOOKUP(CoffeeOrderstable[[#This Row],[Customer ID]],customers!$A$1:$A$1001,customers!$I$1:$I$1001,,0)</f>
        <v>No</v>
      </c>
    </row>
    <row r="745" spans="1:16" x14ac:dyDescent="0.3">
      <c r="A745" s="3" t="s">
        <v>4688</v>
      </c>
      <c r="B745" s="5">
        <v>44042</v>
      </c>
      <c r="C745" s="3" t="s">
        <v>4689</v>
      </c>
      <c r="D745" s="4" t="s">
        <v>6158</v>
      </c>
      <c r="E745" s="3">
        <v>3</v>
      </c>
      <c r="F745" s="3" t="str">
        <f>_xlfn.XLOOKUP(C745,customers!$A$1:$A$1001,customers!$B$1:$B$1001,,0)</f>
        <v>Tersina Castagne</v>
      </c>
      <c r="G745" s="3" t="str">
        <f>IF(_xlfn.XLOOKUP(C745,customers!$A$1:$A$1001,customers!$C$1:$C$1001,,0)=0,"", _xlfn.XLOOKUP(C745,customers!$A$1:$A$1001,customers!$C$1:$C$1001,,0))</f>
        <v>tcastagnekn@wikia.com</v>
      </c>
      <c r="H745" s="3" t="str">
        <f>_xlfn.XLOOKUP(C745,customers!$A$1:$A$1001,customers!$G$1:$G$1001,,0)</f>
        <v>United States</v>
      </c>
      <c r="I745" s="4" t="str">
        <f>INDEX(products!$A$1:$G$49,MATCH(orders!$D745,products!$A$1:$A$49,0),MATCH(orders!I$1,products!$A$1:$G$1,0))</f>
        <v>Ara</v>
      </c>
      <c r="J745" s="4" t="str">
        <f>INDEX(products!$A$1:$G$49,MATCH(orders!$D745,products!$A$1:$A$49,0),MATCH(orders!J$1,products!$A$1:$G$1,0))</f>
        <v>D</v>
      </c>
      <c r="K745" s="6">
        <f>INDEX(products!$A$1:$G$49,MATCH(orders!$D745,products!$A$1:$A$49,0),MATCH(orders!K$1,products!$A$1:$G$1,0))</f>
        <v>0.5</v>
      </c>
      <c r="L745" s="7">
        <f>INDEX(products!$A$1:$G$49,MATCH(orders!$D745,products!$A$1:$A$49,0),MATCH(orders!L$1,products!$A$1:$G$1,0))</f>
        <v>5.97</v>
      </c>
      <c r="M745" s="7">
        <f t="shared" si="11"/>
        <v>17.91</v>
      </c>
      <c r="N745" s="4" t="str" cm="1">
        <f t="array" ref="N745">_xlfn.IFS(I745="Rob","Robusta",I745="Exc","Excelsa",I745="Ara","Arabica",I745="Lib","Liberica")</f>
        <v>Arabica</v>
      </c>
      <c r="O745" s="4" t="str" cm="1">
        <f t="array" ref="O745">_xlfn.IFS(J745="M","Medium",J745="L","Light",J745="D","Dark")</f>
        <v>Dark</v>
      </c>
      <c r="P745" s="4" t="str">
        <f>_xlfn.XLOOKUP(CoffeeOrderstable[[#This Row],[Customer ID]],customers!$A$1:$A$1001,customers!$I$1:$I$1001,,0)</f>
        <v>No</v>
      </c>
    </row>
    <row r="746" spans="1:16" x14ac:dyDescent="0.3">
      <c r="A746" s="3" t="s">
        <v>4694</v>
      </c>
      <c r="B746" s="5">
        <v>43539</v>
      </c>
      <c r="C746" s="3" t="s">
        <v>4695</v>
      </c>
      <c r="D746" s="4" t="s">
        <v>6174</v>
      </c>
      <c r="E746" s="3">
        <v>6</v>
      </c>
      <c r="F746" s="3" t="str">
        <f>_xlfn.XLOOKUP(C746,customers!$A$1:$A$1001,customers!$B$1:$B$1001,,0)</f>
        <v>Samuele Klaaassen</v>
      </c>
      <c r="G746" s="3" t="str">
        <f>IF(_xlfn.XLOOKUP(C746,customers!$A$1:$A$1001,customers!$C$1:$C$1001,,0)=0,"", _xlfn.XLOOKUP(C746,customers!$A$1:$A$1001,customers!$C$1:$C$1001,,0))</f>
        <v/>
      </c>
      <c r="H746" s="3" t="str">
        <f>_xlfn.XLOOKUP(C746,customers!$A$1:$A$1001,customers!$G$1:$G$1001,,0)</f>
        <v>United States</v>
      </c>
      <c r="I746" s="4" t="str">
        <f>INDEX(products!$A$1:$G$49,MATCH(orders!$D746,products!$A$1:$A$49,0),MATCH(orders!I$1,products!$A$1:$G$1,0))</f>
        <v>Rob</v>
      </c>
      <c r="J746" s="4" t="str">
        <f>INDEX(products!$A$1:$G$49,MATCH(orders!$D746,products!$A$1:$A$49,0),MATCH(orders!J$1,products!$A$1:$G$1,0))</f>
        <v>M</v>
      </c>
      <c r="K746" s="6">
        <f>INDEX(products!$A$1:$G$49,MATCH(orders!$D746,products!$A$1:$A$49,0),MATCH(orders!K$1,products!$A$1:$G$1,0))</f>
        <v>0.2</v>
      </c>
      <c r="L746" s="7">
        <f>INDEX(products!$A$1:$G$49,MATCH(orders!$D746,products!$A$1:$A$49,0),MATCH(orders!L$1,products!$A$1:$G$1,0))</f>
        <v>2.9849999999999999</v>
      </c>
      <c r="M746" s="7">
        <f t="shared" si="11"/>
        <v>17.91</v>
      </c>
      <c r="N746" s="4" t="str" cm="1">
        <f t="array" ref="N746">_xlfn.IFS(I746="Rob","Robusta",I746="Exc","Excelsa",I746="Ara","Arabica",I746="Lib","Liberica")</f>
        <v>Robusta</v>
      </c>
      <c r="O746" s="4" t="str" cm="1">
        <f t="array" ref="O746">_xlfn.IFS(J746="M","Medium",J746="L","Light",J746="D","Dark")</f>
        <v>Medium</v>
      </c>
      <c r="P746" s="4" t="str">
        <f>_xlfn.XLOOKUP(CoffeeOrderstable[[#This Row],[Customer ID]],customers!$A$1:$A$1001,customers!$I$1:$I$1001,,0)</f>
        <v>Yes</v>
      </c>
    </row>
    <row r="747" spans="1:16" x14ac:dyDescent="0.3">
      <c r="A747" s="3" t="s">
        <v>4699</v>
      </c>
      <c r="B747" s="5">
        <v>44557</v>
      </c>
      <c r="C747" s="3" t="s">
        <v>4700</v>
      </c>
      <c r="D747" s="4" t="s">
        <v>6144</v>
      </c>
      <c r="E747" s="3">
        <v>2</v>
      </c>
      <c r="F747" s="3" t="str">
        <f>_xlfn.XLOOKUP(C747,customers!$A$1:$A$1001,customers!$B$1:$B$1001,,0)</f>
        <v>Jordana Halden</v>
      </c>
      <c r="G747" s="3" t="str">
        <f>IF(_xlfn.XLOOKUP(C747,customers!$A$1:$A$1001,customers!$C$1:$C$1001,,0)=0,"", _xlfn.XLOOKUP(C747,customers!$A$1:$A$1001,customers!$C$1:$C$1001,,0))</f>
        <v>jhaldenkp@comcast.net</v>
      </c>
      <c r="H747" s="3" t="str">
        <f>_xlfn.XLOOKUP(C747,customers!$A$1:$A$1001,customers!$G$1:$G$1001,,0)</f>
        <v>Ireland</v>
      </c>
      <c r="I747" s="4" t="str">
        <f>INDEX(products!$A$1:$G$49,MATCH(orders!$D747,products!$A$1:$A$49,0),MATCH(orders!I$1,products!$A$1:$G$1,0))</f>
        <v>Exc</v>
      </c>
      <c r="J747" s="4" t="str">
        <f>INDEX(products!$A$1:$G$49,MATCH(orders!$D747,products!$A$1:$A$49,0),MATCH(orders!J$1,products!$A$1:$G$1,0))</f>
        <v>D</v>
      </c>
      <c r="K747" s="6">
        <f>INDEX(products!$A$1:$G$49,MATCH(orders!$D747,products!$A$1:$A$49,0),MATCH(orders!K$1,products!$A$1:$G$1,0))</f>
        <v>0.5</v>
      </c>
      <c r="L747" s="7">
        <f>INDEX(products!$A$1:$G$49,MATCH(orders!$D747,products!$A$1:$A$49,0),MATCH(orders!L$1,products!$A$1:$G$1,0))</f>
        <v>7.29</v>
      </c>
      <c r="M747" s="7">
        <f t="shared" si="11"/>
        <v>14.58</v>
      </c>
      <c r="N747" s="4" t="str" cm="1">
        <f t="array" ref="N747">_xlfn.IFS(I747="Rob","Robusta",I747="Exc","Excelsa",I747="Ara","Arabica",I747="Lib","Liberica")</f>
        <v>Excelsa</v>
      </c>
      <c r="O747" s="4" t="str" cm="1">
        <f t="array" ref="O747">_xlfn.IFS(J747="M","Medium",J747="L","Light",J747="D","Dark")</f>
        <v>Dark</v>
      </c>
      <c r="P747" s="4" t="str">
        <f>_xlfn.XLOOKUP(CoffeeOrderstable[[#This Row],[Customer ID]],customers!$A$1:$A$1001,customers!$I$1:$I$1001,,0)</f>
        <v>No</v>
      </c>
    </row>
    <row r="748" spans="1:16" x14ac:dyDescent="0.3">
      <c r="A748" s="3" t="s">
        <v>4705</v>
      </c>
      <c r="B748" s="5">
        <v>43741</v>
      </c>
      <c r="C748" s="3" t="s">
        <v>4706</v>
      </c>
      <c r="D748" s="4" t="s">
        <v>6155</v>
      </c>
      <c r="E748" s="3">
        <v>3</v>
      </c>
      <c r="F748" s="3" t="str">
        <f>_xlfn.XLOOKUP(C748,customers!$A$1:$A$1001,customers!$B$1:$B$1001,,0)</f>
        <v>Hussein Olliff</v>
      </c>
      <c r="G748" s="3" t="str">
        <f>IF(_xlfn.XLOOKUP(C748,customers!$A$1:$A$1001,customers!$C$1:$C$1001,,0)=0,"", _xlfn.XLOOKUP(C748,customers!$A$1:$A$1001,customers!$C$1:$C$1001,,0))</f>
        <v>holliffkq@sciencedirect.com</v>
      </c>
      <c r="H748" s="3" t="str">
        <f>_xlfn.XLOOKUP(C748,customers!$A$1:$A$1001,customers!$G$1:$G$1001,,0)</f>
        <v>Ireland</v>
      </c>
      <c r="I748" s="4" t="str">
        <f>INDEX(products!$A$1:$G$49,MATCH(orders!$D748,products!$A$1:$A$49,0),MATCH(orders!I$1,products!$A$1:$G$1,0))</f>
        <v>Ara</v>
      </c>
      <c r="J748" s="4" t="str">
        <f>INDEX(products!$A$1:$G$49,MATCH(orders!$D748,products!$A$1:$A$49,0),MATCH(orders!J$1,products!$A$1:$G$1,0))</f>
        <v>M</v>
      </c>
      <c r="K748" s="6">
        <f>INDEX(products!$A$1:$G$49,MATCH(orders!$D748,products!$A$1:$A$49,0),MATCH(orders!K$1,products!$A$1:$G$1,0))</f>
        <v>1</v>
      </c>
      <c r="L748" s="7">
        <f>INDEX(products!$A$1:$G$49,MATCH(orders!$D748,products!$A$1:$A$49,0),MATCH(orders!L$1,products!$A$1:$G$1,0))</f>
        <v>11.25</v>
      </c>
      <c r="M748" s="7">
        <f t="shared" si="11"/>
        <v>33.75</v>
      </c>
      <c r="N748" s="4" t="str" cm="1">
        <f t="array" ref="N748">_xlfn.IFS(I748="Rob","Robusta",I748="Exc","Excelsa",I748="Ara","Arabica",I748="Lib","Liberica")</f>
        <v>Arabica</v>
      </c>
      <c r="O748" s="4" t="str" cm="1">
        <f t="array" ref="O748">_xlfn.IFS(J748="M","Medium",J748="L","Light",J748="D","Dark")</f>
        <v>Medium</v>
      </c>
      <c r="P748" s="4" t="str">
        <f>_xlfn.XLOOKUP(CoffeeOrderstable[[#This Row],[Customer ID]],customers!$A$1:$A$1001,customers!$I$1:$I$1001,,0)</f>
        <v>No</v>
      </c>
    </row>
    <row r="749" spans="1:16" x14ac:dyDescent="0.3">
      <c r="A749" s="3" t="s">
        <v>4711</v>
      </c>
      <c r="B749" s="5">
        <v>43501</v>
      </c>
      <c r="C749" s="3" t="s">
        <v>4712</v>
      </c>
      <c r="D749" s="4" t="s">
        <v>6160</v>
      </c>
      <c r="E749" s="3">
        <v>4</v>
      </c>
      <c r="F749" s="3" t="str">
        <f>_xlfn.XLOOKUP(C749,customers!$A$1:$A$1001,customers!$B$1:$B$1001,,0)</f>
        <v>Teddi Quadri</v>
      </c>
      <c r="G749" s="3" t="str">
        <f>IF(_xlfn.XLOOKUP(C749,customers!$A$1:$A$1001,customers!$C$1:$C$1001,,0)=0,"", _xlfn.XLOOKUP(C749,customers!$A$1:$A$1001,customers!$C$1:$C$1001,,0))</f>
        <v>tquadrikr@opensource.org</v>
      </c>
      <c r="H749" s="3" t="str">
        <f>_xlfn.XLOOKUP(C749,customers!$A$1:$A$1001,customers!$G$1:$G$1001,,0)</f>
        <v>Ireland</v>
      </c>
      <c r="I749" s="4" t="str">
        <f>INDEX(products!$A$1:$G$49,MATCH(orders!$D749,products!$A$1:$A$49,0),MATCH(orders!I$1,products!$A$1:$G$1,0))</f>
        <v>Lib</v>
      </c>
      <c r="J749" s="4" t="str">
        <f>INDEX(products!$A$1:$G$49,MATCH(orders!$D749,products!$A$1:$A$49,0),MATCH(orders!J$1,products!$A$1:$G$1,0))</f>
        <v>M</v>
      </c>
      <c r="K749" s="6">
        <f>INDEX(products!$A$1:$G$49,MATCH(orders!$D749,products!$A$1:$A$49,0),MATCH(orders!K$1,products!$A$1:$G$1,0))</f>
        <v>0.5</v>
      </c>
      <c r="L749" s="7">
        <f>INDEX(products!$A$1:$G$49,MATCH(orders!$D749,products!$A$1:$A$49,0),MATCH(orders!L$1,products!$A$1:$G$1,0))</f>
        <v>8.73</v>
      </c>
      <c r="M749" s="7">
        <f t="shared" si="11"/>
        <v>34.92</v>
      </c>
      <c r="N749" s="4" t="str" cm="1">
        <f t="array" ref="N749">_xlfn.IFS(I749="Rob","Robusta",I749="Exc","Excelsa",I749="Ara","Arabica",I749="Lib","Liberica")</f>
        <v>Liberica</v>
      </c>
      <c r="O749" s="4" t="str" cm="1">
        <f t="array" ref="O749">_xlfn.IFS(J749="M","Medium",J749="L","Light",J749="D","Dark")</f>
        <v>Medium</v>
      </c>
      <c r="P749" s="4" t="str">
        <f>_xlfn.XLOOKUP(CoffeeOrderstable[[#This Row],[Customer ID]],customers!$A$1:$A$1001,customers!$I$1:$I$1001,,0)</f>
        <v>Yes</v>
      </c>
    </row>
    <row r="750" spans="1:16" x14ac:dyDescent="0.3">
      <c r="A750" s="3" t="s">
        <v>4717</v>
      </c>
      <c r="B750" s="5">
        <v>44074</v>
      </c>
      <c r="C750" s="3" t="s">
        <v>4718</v>
      </c>
      <c r="D750" s="4" t="s">
        <v>6144</v>
      </c>
      <c r="E750" s="3">
        <v>2</v>
      </c>
      <c r="F750" s="3" t="str">
        <f>_xlfn.XLOOKUP(C750,customers!$A$1:$A$1001,customers!$B$1:$B$1001,,0)</f>
        <v>Felita Eshmade</v>
      </c>
      <c r="G750" s="3" t="str">
        <f>IF(_xlfn.XLOOKUP(C750,customers!$A$1:$A$1001,customers!$C$1:$C$1001,,0)=0,"", _xlfn.XLOOKUP(C750,customers!$A$1:$A$1001,customers!$C$1:$C$1001,,0))</f>
        <v>feshmadeks@umn.edu</v>
      </c>
      <c r="H750" s="3" t="str">
        <f>_xlfn.XLOOKUP(C750,customers!$A$1:$A$1001,customers!$G$1:$G$1001,,0)</f>
        <v>United States</v>
      </c>
      <c r="I750" s="4" t="str">
        <f>INDEX(products!$A$1:$G$49,MATCH(orders!$D750,products!$A$1:$A$49,0),MATCH(orders!I$1,products!$A$1:$G$1,0))</f>
        <v>Exc</v>
      </c>
      <c r="J750" s="4" t="str">
        <f>INDEX(products!$A$1:$G$49,MATCH(orders!$D750,products!$A$1:$A$49,0),MATCH(orders!J$1,products!$A$1:$G$1,0))</f>
        <v>D</v>
      </c>
      <c r="K750" s="6">
        <f>INDEX(products!$A$1:$G$49,MATCH(orders!$D750,products!$A$1:$A$49,0),MATCH(orders!K$1,products!$A$1:$G$1,0))</f>
        <v>0.5</v>
      </c>
      <c r="L750" s="7">
        <f>INDEX(products!$A$1:$G$49,MATCH(orders!$D750,products!$A$1:$A$49,0),MATCH(orders!L$1,products!$A$1:$G$1,0))</f>
        <v>7.29</v>
      </c>
      <c r="M750" s="7">
        <f t="shared" si="11"/>
        <v>14.58</v>
      </c>
      <c r="N750" s="4" t="str" cm="1">
        <f t="array" ref="N750">_xlfn.IFS(I750="Rob","Robusta",I750="Exc","Excelsa",I750="Ara","Arabica",I750="Lib","Liberica")</f>
        <v>Excelsa</v>
      </c>
      <c r="O750" s="4" t="str" cm="1">
        <f t="array" ref="O750">_xlfn.IFS(J750="M","Medium",J750="L","Light",J750="D","Dark")</f>
        <v>Dark</v>
      </c>
      <c r="P750" s="4" t="str">
        <f>_xlfn.XLOOKUP(CoffeeOrderstable[[#This Row],[Customer ID]],customers!$A$1:$A$1001,customers!$I$1:$I$1001,,0)</f>
        <v>No</v>
      </c>
    </row>
    <row r="751" spans="1:16" x14ac:dyDescent="0.3">
      <c r="A751" s="3" t="s">
        <v>4723</v>
      </c>
      <c r="B751" s="5">
        <v>44209</v>
      </c>
      <c r="C751" s="3" t="s">
        <v>4724</v>
      </c>
      <c r="D751" s="4" t="s">
        <v>6163</v>
      </c>
      <c r="E751" s="3">
        <v>2</v>
      </c>
      <c r="F751" s="3" t="str">
        <f>_xlfn.XLOOKUP(C751,customers!$A$1:$A$1001,customers!$B$1:$B$1001,,0)</f>
        <v>Melodie OIlier</v>
      </c>
      <c r="G751" s="3" t="str">
        <f>IF(_xlfn.XLOOKUP(C751,customers!$A$1:$A$1001,customers!$C$1:$C$1001,,0)=0,"", _xlfn.XLOOKUP(C751,customers!$A$1:$A$1001,customers!$C$1:$C$1001,,0))</f>
        <v>moilierkt@paginegialle.it</v>
      </c>
      <c r="H751" s="3" t="str">
        <f>_xlfn.XLOOKUP(C751,customers!$A$1:$A$1001,customers!$G$1:$G$1001,,0)</f>
        <v>Ireland</v>
      </c>
      <c r="I751" s="4" t="str">
        <f>INDEX(products!$A$1:$G$49,MATCH(orders!$D751,products!$A$1:$A$49,0),MATCH(orders!I$1,products!$A$1:$G$1,0))</f>
        <v>Rob</v>
      </c>
      <c r="J751" s="4" t="str">
        <f>INDEX(products!$A$1:$G$49,MATCH(orders!$D751,products!$A$1:$A$49,0),MATCH(orders!J$1,products!$A$1:$G$1,0))</f>
        <v>D</v>
      </c>
      <c r="K751" s="6">
        <f>INDEX(products!$A$1:$G$49,MATCH(orders!$D751,products!$A$1:$A$49,0),MATCH(orders!K$1,products!$A$1:$G$1,0))</f>
        <v>0.2</v>
      </c>
      <c r="L751" s="7">
        <f>INDEX(products!$A$1:$G$49,MATCH(orders!$D751,products!$A$1:$A$49,0),MATCH(orders!L$1,products!$A$1:$G$1,0))</f>
        <v>2.6849999999999996</v>
      </c>
      <c r="M751" s="7">
        <f t="shared" si="11"/>
        <v>5.3699999999999992</v>
      </c>
      <c r="N751" s="4" t="str" cm="1">
        <f t="array" ref="N751">_xlfn.IFS(I751="Rob","Robusta",I751="Exc","Excelsa",I751="Ara","Arabica",I751="Lib","Liberica")</f>
        <v>Robusta</v>
      </c>
      <c r="O751" s="4" t="str" cm="1">
        <f t="array" ref="O751">_xlfn.IFS(J751="M","Medium",J751="L","Light",J751="D","Dark")</f>
        <v>Dark</v>
      </c>
      <c r="P751" s="4" t="str">
        <f>_xlfn.XLOOKUP(CoffeeOrderstable[[#This Row],[Customer ID]],customers!$A$1:$A$1001,customers!$I$1:$I$1001,,0)</f>
        <v>Yes</v>
      </c>
    </row>
    <row r="752" spans="1:16" x14ac:dyDescent="0.3">
      <c r="A752" s="3" t="s">
        <v>4730</v>
      </c>
      <c r="B752" s="5">
        <v>44277</v>
      </c>
      <c r="C752" s="3" t="s">
        <v>4731</v>
      </c>
      <c r="D752" s="4" t="s">
        <v>6146</v>
      </c>
      <c r="E752" s="3">
        <v>1</v>
      </c>
      <c r="F752" s="3" t="str">
        <f>_xlfn.XLOOKUP(C752,customers!$A$1:$A$1001,customers!$B$1:$B$1001,,0)</f>
        <v>Hazel Iacopini</v>
      </c>
      <c r="G752" s="3" t="str">
        <f>IF(_xlfn.XLOOKUP(C752,customers!$A$1:$A$1001,customers!$C$1:$C$1001,,0)=0,"", _xlfn.XLOOKUP(C752,customers!$A$1:$A$1001,customers!$C$1:$C$1001,,0))</f>
        <v/>
      </c>
      <c r="H752" s="3" t="str">
        <f>_xlfn.XLOOKUP(C752,customers!$A$1:$A$1001,customers!$G$1:$G$1001,,0)</f>
        <v>United States</v>
      </c>
      <c r="I752" s="4" t="str">
        <f>INDEX(products!$A$1:$G$49,MATCH(orders!$D752,products!$A$1:$A$49,0),MATCH(orders!I$1,products!$A$1:$G$1,0))</f>
        <v>Rob</v>
      </c>
      <c r="J752" s="4" t="str">
        <f>INDEX(products!$A$1:$G$49,MATCH(orders!$D752,products!$A$1:$A$49,0),MATCH(orders!J$1,products!$A$1:$G$1,0))</f>
        <v>M</v>
      </c>
      <c r="K752" s="6">
        <f>INDEX(products!$A$1:$G$49,MATCH(orders!$D752,products!$A$1:$A$49,0),MATCH(orders!K$1,products!$A$1:$G$1,0))</f>
        <v>0.5</v>
      </c>
      <c r="L752" s="7">
        <f>INDEX(products!$A$1:$G$49,MATCH(orders!$D752,products!$A$1:$A$49,0),MATCH(orders!L$1,products!$A$1:$G$1,0))</f>
        <v>5.97</v>
      </c>
      <c r="M752" s="7">
        <f t="shared" si="11"/>
        <v>5.97</v>
      </c>
      <c r="N752" s="4" t="str" cm="1">
        <f t="array" ref="N752">_xlfn.IFS(I752="Rob","Robusta",I752="Exc","Excelsa",I752="Ara","Arabica",I752="Lib","Liberica")</f>
        <v>Robusta</v>
      </c>
      <c r="O752" s="4" t="str" cm="1">
        <f t="array" ref="O752">_xlfn.IFS(J752="M","Medium",J752="L","Light",J752="D","Dark")</f>
        <v>Medium</v>
      </c>
      <c r="P752" s="4" t="str">
        <f>_xlfn.XLOOKUP(CoffeeOrderstable[[#This Row],[Customer ID]],customers!$A$1:$A$1001,customers!$I$1:$I$1001,,0)</f>
        <v>Yes</v>
      </c>
    </row>
    <row r="753" spans="1:16" x14ac:dyDescent="0.3">
      <c r="A753" s="3" t="s">
        <v>4735</v>
      </c>
      <c r="B753" s="5">
        <v>43847</v>
      </c>
      <c r="C753" s="3" t="s">
        <v>4736</v>
      </c>
      <c r="D753" s="4" t="s">
        <v>6161</v>
      </c>
      <c r="E753" s="3">
        <v>2</v>
      </c>
      <c r="F753" s="3" t="str">
        <f>_xlfn.XLOOKUP(C753,customers!$A$1:$A$1001,customers!$B$1:$B$1001,,0)</f>
        <v>Vinny Shoebotham</v>
      </c>
      <c r="G753" s="3" t="str">
        <f>IF(_xlfn.XLOOKUP(C753,customers!$A$1:$A$1001,customers!$C$1:$C$1001,,0)=0,"", _xlfn.XLOOKUP(C753,customers!$A$1:$A$1001,customers!$C$1:$C$1001,,0))</f>
        <v>vshoebothamkv@redcross.org</v>
      </c>
      <c r="H753" s="3" t="str">
        <f>_xlfn.XLOOKUP(C753,customers!$A$1:$A$1001,customers!$G$1:$G$1001,,0)</f>
        <v>United States</v>
      </c>
      <c r="I753" s="4" t="str">
        <f>INDEX(products!$A$1:$G$49,MATCH(orders!$D753,products!$A$1:$A$49,0),MATCH(orders!I$1,products!$A$1:$G$1,0))</f>
        <v>Lib</v>
      </c>
      <c r="J753" s="4" t="str">
        <f>INDEX(products!$A$1:$G$49,MATCH(orders!$D753,products!$A$1:$A$49,0),MATCH(orders!J$1,products!$A$1:$G$1,0))</f>
        <v>L</v>
      </c>
      <c r="K753" s="6">
        <f>INDEX(products!$A$1:$G$49,MATCH(orders!$D753,products!$A$1:$A$49,0),MATCH(orders!K$1,products!$A$1:$G$1,0))</f>
        <v>0.5</v>
      </c>
      <c r="L753" s="7">
        <f>INDEX(products!$A$1:$G$49,MATCH(orders!$D753,products!$A$1:$A$49,0),MATCH(orders!L$1,products!$A$1:$G$1,0))</f>
        <v>9.51</v>
      </c>
      <c r="M753" s="7">
        <f t="shared" si="11"/>
        <v>19.02</v>
      </c>
      <c r="N753" s="4" t="str" cm="1">
        <f t="array" ref="N753">_xlfn.IFS(I753="Rob","Robusta",I753="Exc","Excelsa",I753="Ara","Arabica",I753="Lib","Liberica")</f>
        <v>Liberica</v>
      </c>
      <c r="O753" s="4" t="str" cm="1">
        <f t="array" ref="O753">_xlfn.IFS(J753="M","Medium",J753="L","Light",J753="D","Dark")</f>
        <v>Light</v>
      </c>
      <c r="P753" s="4" t="str">
        <f>_xlfn.XLOOKUP(CoffeeOrderstable[[#This Row],[Customer ID]],customers!$A$1:$A$1001,customers!$I$1:$I$1001,,0)</f>
        <v>No</v>
      </c>
    </row>
    <row r="754" spans="1:16" x14ac:dyDescent="0.3">
      <c r="A754" s="3" t="s">
        <v>4741</v>
      </c>
      <c r="B754" s="5">
        <v>43648</v>
      </c>
      <c r="C754" s="3" t="s">
        <v>4742</v>
      </c>
      <c r="D754" s="4" t="s">
        <v>6141</v>
      </c>
      <c r="E754" s="3">
        <v>2</v>
      </c>
      <c r="F754" s="3" t="str">
        <f>_xlfn.XLOOKUP(C754,customers!$A$1:$A$1001,customers!$B$1:$B$1001,,0)</f>
        <v>Bran Sterke</v>
      </c>
      <c r="G754" s="3" t="str">
        <f>IF(_xlfn.XLOOKUP(C754,customers!$A$1:$A$1001,customers!$C$1:$C$1001,,0)=0,"", _xlfn.XLOOKUP(C754,customers!$A$1:$A$1001,customers!$C$1:$C$1001,,0))</f>
        <v>bsterkekw@biblegateway.com</v>
      </c>
      <c r="H754" s="3" t="str">
        <f>_xlfn.XLOOKUP(C754,customers!$A$1:$A$1001,customers!$G$1:$G$1001,,0)</f>
        <v>United States</v>
      </c>
      <c r="I754" s="4" t="str">
        <f>INDEX(products!$A$1:$G$49,MATCH(orders!$D754,products!$A$1:$A$49,0),MATCH(orders!I$1,products!$A$1:$G$1,0))</f>
        <v>Exc</v>
      </c>
      <c r="J754" s="4" t="str">
        <f>INDEX(products!$A$1:$G$49,MATCH(orders!$D754,products!$A$1:$A$49,0),MATCH(orders!J$1,products!$A$1:$G$1,0))</f>
        <v>M</v>
      </c>
      <c r="K754" s="6">
        <f>INDEX(products!$A$1:$G$49,MATCH(orders!$D754,products!$A$1:$A$49,0),MATCH(orders!K$1,products!$A$1:$G$1,0))</f>
        <v>1</v>
      </c>
      <c r="L754" s="7">
        <f>INDEX(products!$A$1:$G$49,MATCH(orders!$D754,products!$A$1:$A$49,0),MATCH(orders!L$1,products!$A$1:$G$1,0))</f>
        <v>13.75</v>
      </c>
      <c r="M754" s="7">
        <f t="shared" si="11"/>
        <v>27.5</v>
      </c>
      <c r="N754" s="4" t="str" cm="1">
        <f t="array" ref="N754">_xlfn.IFS(I754="Rob","Robusta",I754="Exc","Excelsa",I754="Ara","Arabica",I754="Lib","Liberica")</f>
        <v>Excelsa</v>
      </c>
      <c r="O754" s="4" t="str" cm="1">
        <f t="array" ref="O754">_xlfn.IFS(J754="M","Medium",J754="L","Light",J754="D","Dark")</f>
        <v>Medium</v>
      </c>
      <c r="P754" s="4" t="str">
        <f>_xlfn.XLOOKUP(CoffeeOrderstable[[#This Row],[Customer ID]],customers!$A$1:$A$1001,customers!$I$1:$I$1001,,0)</f>
        <v>Yes</v>
      </c>
    </row>
    <row r="755" spans="1:16" x14ac:dyDescent="0.3">
      <c r="A755" s="3" t="s">
        <v>4747</v>
      </c>
      <c r="B755" s="5">
        <v>44704</v>
      </c>
      <c r="C755" s="3" t="s">
        <v>4748</v>
      </c>
      <c r="D755" s="4" t="s">
        <v>6158</v>
      </c>
      <c r="E755" s="3">
        <v>5</v>
      </c>
      <c r="F755" s="3" t="str">
        <f>_xlfn.XLOOKUP(C755,customers!$A$1:$A$1001,customers!$B$1:$B$1001,,0)</f>
        <v>Simone Capon</v>
      </c>
      <c r="G755" s="3" t="str">
        <f>IF(_xlfn.XLOOKUP(C755,customers!$A$1:$A$1001,customers!$C$1:$C$1001,,0)=0,"", _xlfn.XLOOKUP(C755,customers!$A$1:$A$1001,customers!$C$1:$C$1001,,0))</f>
        <v>scaponkx@craigslist.org</v>
      </c>
      <c r="H755" s="3" t="str">
        <f>_xlfn.XLOOKUP(C755,customers!$A$1:$A$1001,customers!$G$1:$G$1001,,0)</f>
        <v>United States</v>
      </c>
      <c r="I755" s="4" t="str">
        <f>INDEX(products!$A$1:$G$49,MATCH(orders!$D755,products!$A$1:$A$49,0),MATCH(orders!I$1,products!$A$1:$G$1,0))</f>
        <v>Ara</v>
      </c>
      <c r="J755" s="4" t="str">
        <f>INDEX(products!$A$1:$G$49,MATCH(orders!$D755,products!$A$1:$A$49,0),MATCH(orders!J$1,products!$A$1:$G$1,0))</f>
        <v>D</v>
      </c>
      <c r="K755" s="6">
        <f>INDEX(products!$A$1:$G$49,MATCH(orders!$D755,products!$A$1:$A$49,0),MATCH(orders!K$1,products!$A$1:$G$1,0))</f>
        <v>0.5</v>
      </c>
      <c r="L755" s="7">
        <f>INDEX(products!$A$1:$G$49,MATCH(orders!$D755,products!$A$1:$A$49,0),MATCH(orders!L$1,products!$A$1:$G$1,0))</f>
        <v>5.97</v>
      </c>
      <c r="M755" s="7">
        <f t="shared" si="11"/>
        <v>29.849999999999998</v>
      </c>
      <c r="N755" s="4" t="str" cm="1">
        <f t="array" ref="N755">_xlfn.IFS(I755="Rob","Robusta",I755="Exc","Excelsa",I755="Ara","Arabica",I755="Lib","Liberica")</f>
        <v>Arabica</v>
      </c>
      <c r="O755" s="4" t="str" cm="1">
        <f t="array" ref="O755">_xlfn.IFS(J755="M","Medium",J755="L","Light",J755="D","Dark")</f>
        <v>Dark</v>
      </c>
      <c r="P755" s="4" t="str">
        <f>_xlfn.XLOOKUP(CoffeeOrderstable[[#This Row],[Customer ID]],customers!$A$1:$A$1001,customers!$I$1:$I$1001,,0)</f>
        <v>No</v>
      </c>
    </row>
    <row r="756" spans="1:16" x14ac:dyDescent="0.3">
      <c r="A756" s="3" t="s">
        <v>4753</v>
      </c>
      <c r="B756" s="5">
        <v>44726</v>
      </c>
      <c r="C756" s="3" t="s">
        <v>4434</v>
      </c>
      <c r="D756" s="4" t="s">
        <v>6154</v>
      </c>
      <c r="E756" s="3">
        <v>6</v>
      </c>
      <c r="F756" s="3" t="str">
        <f>_xlfn.XLOOKUP(C756,customers!$A$1:$A$1001,customers!$B$1:$B$1001,,0)</f>
        <v>Jimmy Dymoke</v>
      </c>
      <c r="G756" s="3" t="str">
        <f>IF(_xlfn.XLOOKUP(C756,customers!$A$1:$A$1001,customers!$C$1:$C$1001,,0)=0,"", _xlfn.XLOOKUP(C756,customers!$A$1:$A$1001,customers!$C$1:$C$1001,,0))</f>
        <v>jdymokeje@prnewswire.com</v>
      </c>
      <c r="H756" s="3" t="str">
        <f>_xlfn.XLOOKUP(C756,customers!$A$1:$A$1001,customers!$G$1:$G$1001,,0)</f>
        <v>Ireland</v>
      </c>
      <c r="I756" s="4" t="str">
        <f>INDEX(products!$A$1:$G$49,MATCH(orders!$D756,products!$A$1:$A$49,0),MATCH(orders!I$1,products!$A$1:$G$1,0))</f>
        <v>Ara</v>
      </c>
      <c r="J756" s="4" t="str">
        <f>INDEX(products!$A$1:$G$49,MATCH(orders!$D756,products!$A$1:$A$49,0),MATCH(orders!J$1,products!$A$1:$G$1,0))</f>
        <v>D</v>
      </c>
      <c r="K756" s="6">
        <f>INDEX(products!$A$1:$G$49,MATCH(orders!$D756,products!$A$1:$A$49,0),MATCH(orders!K$1,products!$A$1:$G$1,0))</f>
        <v>0.2</v>
      </c>
      <c r="L756" s="7">
        <f>INDEX(products!$A$1:$G$49,MATCH(orders!$D756,products!$A$1:$A$49,0),MATCH(orders!L$1,products!$A$1:$G$1,0))</f>
        <v>2.9849999999999999</v>
      </c>
      <c r="M756" s="7">
        <f t="shared" si="11"/>
        <v>17.91</v>
      </c>
      <c r="N756" s="4" t="str" cm="1">
        <f t="array" ref="N756">_xlfn.IFS(I756="Rob","Robusta",I756="Exc","Excelsa",I756="Ara","Arabica",I756="Lib","Liberica")</f>
        <v>Arabica</v>
      </c>
      <c r="O756" s="4" t="str" cm="1">
        <f t="array" ref="O756">_xlfn.IFS(J756="M","Medium",J756="L","Light",J756="D","Dark")</f>
        <v>Dark</v>
      </c>
      <c r="P756" s="4" t="str">
        <f>_xlfn.XLOOKUP(CoffeeOrderstable[[#This Row],[Customer ID]],customers!$A$1:$A$1001,customers!$I$1:$I$1001,,0)</f>
        <v>No</v>
      </c>
    </row>
    <row r="757" spans="1:16" x14ac:dyDescent="0.3">
      <c r="A757" s="3" t="s">
        <v>4758</v>
      </c>
      <c r="B757" s="5">
        <v>44397</v>
      </c>
      <c r="C757" s="3" t="s">
        <v>4759</v>
      </c>
      <c r="D757" s="4" t="s">
        <v>6145</v>
      </c>
      <c r="E757" s="3">
        <v>6</v>
      </c>
      <c r="F757" s="3" t="str">
        <f>_xlfn.XLOOKUP(C757,customers!$A$1:$A$1001,customers!$B$1:$B$1001,,0)</f>
        <v>Foster Constance</v>
      </c>
      <c r="G757" s="3" t="str">
        <f>IF(_xlfn.XLOOKUP(C757,customers!$A$1:$A$1001,customers!$C$1:$C$1001,,0)=0,"", _xlfn.XLOOKUP(C757,customers!$A$1:$A$1001,customers!$C$1:$C$1001,,0))</f>
        <v>fconstancekz@ifeng.com</v>
      </c>
      <c r="H757" s="3" t="str">
        <f>_xlfn.XLOOKUP(C757,customers!$A$1:$A$1001,customers!$G$1:$G$1001,,0)</f>
        <v>United States</v>
      </c>
      <c r="I757" s="4" t="str">
        <f>INDEX(products!$A$1:$G$49,MATCH(orders!$D757,products!$A$1:$A$49,0),MATCH(orders!I$1,products!$A$1:$G$1,0))</f>
        <v>Lib</v>
      </c>
      <c r="J757" s="4" t="str">
        <f>INDEX(products!$A$1:$G$49,MATCH(orders!$D757,products!$A$1:$A$49,0),MATCH(orders!J$1,products!$A$1:$G$1,0))</f>
        <v>L</v>
      </c>
      <c r="K757" s="6">
        <f>INDEX(products!$A$1:$G$49,MATCH(orders!$D757,products!$A$1:$A$49,0),MATCH(orders!K$1,products!$A$1:$G$1,0))</f>
        <v>0.2</v>
      </c>
      <c r="L757" s="7">
        <f>INDEX(products!$A$1:$G$49,MATCH(orders!$D757,products!$A$1:$A$49,0),MATCH(orders!L$1,products!$A$1:$G$1,0))</f>
        <v>4.7549999999999999</v>
      </c>
      <c r="M757" s="7">
        <f t="shared" si="11"/>
        <v>28.53</v>
      </c>
      <c r="N757" s="4" t="str" cm="1">
        <f t="array" ref="N757">_xlfn.IFS(I757="Rob","Robusta",I757="Exc","Excelsa",I757="Ara","Arabica",I757="Lib","Liberica")</f>
        <v>Liberica</v>
      </c>
      <c r="O757" s="4" t="str" cm="1">
        <f t="array" ref="O757">_xlfn.IFS(J757="M","Medium",J757="L","Light",J757="D","Dark")</f>
        <v>Light</v>
      </c>
      <c r="P757" s="4" t="str">
        <f>_xlfn.XLOOKUP(CoffeeOrderstable[[#This Row],[Customer ID]],customers!$A$1:$A$1001,customers!$I$1:$I$1001,,0)</f>
        <v>No</v>
      </c>
    </row>
    <row r="758" spans="1:16" x14ac:dyDescent="0.3">
      <c r="A758" s="3" t="s">
        <v>4764</v>
      </c>
      <c r="B758" s="5">
        <v>44715</v>
      </c>
      <c r="C758" s="3" t="s">
        <v>4765</v>
      </c>
      <c r="D758" s="4" t="s">
        <v>6177</v>
      </c>
      <c r="E758" s="3">
        <v>4</v>
      </c>
      <c r="F758" s="3" t="str">
        <f>_xlfn.XLOOKUP(C758,customers!$A$1:$A$1001,customers!$B$1:$B$1001,,0)</f>
        <v>Fernando Sulman</v>
      </c>
      <c r="G758" s="3" t="str">
        <f>IF(_xlfn.XLOOKUP(C758,customers!$A$1:$A$1001,customers!$C$1:$C$1001,,0)=0,"", _xlfn.XLOOKUP(C758,customers!$A$1:$A$1001,customers!$C$1:$C$1001,,0))</f>
        <v>fsulmanl0@washington.edu</v>
      </c>
      <c r="H758" s="3" t="str">
        <f>_xlfn.XLOOKUP(C758,customers!$A$1:$A$1001,customers!$G$1:$G$1001,,0)</f>
        <v>United States</v>
      </c>
      <c r="I758" s="4" t="str">
        <f>INDEX(products!$A$1:$G$49,MATCH(orders!$D758,products!$A$1:$A$49,0),MATCH(orders!I$1,products!$A$1:$G$1,0))</f>
        <v>Rob</v>
      </c>
      <c r="J758" s="4" t="str">
        <f>INDEX(products!$A$1:$G$49,MATCH(orders!$D758,products!$A$1:$A$49,0),MATCH(orders!J$1,products!$A$1:$G$1,0))</f>
        <v>D</v>
      </c>
      <c r="K758" s="6">
        <f>INDEX(products!$A$1:$G$49,MATCH(orders!$D758,products!$A$1:$A$49,0),MATCH(orders!K$1,products!$A$1:$G$1,0))</f>
        <v>1</v>
      </c>
      <c r="L758" s="7">
        <f>INDEX(products!$A$1:$G$49,MATCH(orders!$D758,products!$A$1:$A$49,0),MATCH(orders!L$1,products!$A$1:$G$1,0))</f>
        <v>8.9499999999999993</v>
      </c>
      <c r="M758" s="7">
        <f t="shared" si="11"/>
        <v>35.799999999999997</v>
      </c>
      <c r="N758" s="4" t="str" cm="1">
        <f t="array" ref="N758">_xlfn.IFS(I758="Rob","Robusta",I758="Exc","Excelsa",I758="Ara","Arabica",I758="Lib","Liberica")</f>
        <v>Robusta</v>
      </c>
      <c r="O758" s="4" t="str" cm="1">
        <f t="array" ref="O758">_xlfn.IFS(J758="M","Medium",J758="L","Light",J758="D","Dark")</f>
        <v>Dark</v>
      </c>
      <c r="P758" s="4" t="str">
        <f>_xlfn.XLOOKUP(CoffeeOrderstable[[#This Row],[Customer ID]],customers!$A$1:$A$1001,customers!$I$1:$I$1001,,0)</f>
        <v>Yes</v>
      </c>
    </row>
    <row r="759" spans="1:16" x14ac:dyDescent="0.3">
      <c r="A759" s="3" t="s">
        <v>4770</v>
      </c>
      <c r="B759" s="5">
        <v>43977</v>
      </c>
      <c r="C759" s="3" t="s">
        <v>4771</v>
      </c>
      <c r="D759" s="4" t="s">
        <v>6158</v>
      </c>
      <c r="E759" s="3">
        <v>3</v>
      </c>
      <c r="F759" s="3" t="str">
        <f>_xlfn.XLOOKUP(C759,customers!$A$1:$A$1001,customers!$B$1:$B$1001,,0)</f>
        <v>Dorotea Hollyman</v>
      </c>
      <c r="G759" s="3" t="str">
        <f>IF(_xlfn.XLOOKUP(C759,customers!$A$1:$A$1001,customers!$C$1:$C$1001,,0)=0,"", _xlfn.XLOOKUP(C759,customers!$A$1:$A$1001,customers!$C$1:$C$1001,,0))</f>
        <v>dhollymanl1@ibm.com</v>
      </c>
      <c r="H759" s="3" t="str">
        <f>_xlfn.XLOOKUP(C759,customers!$A$1:$A$1001,customers!$G$1:$G$1001,,0)</f>
        <v>United States</v>
      </c>
      <c r="I759" s="4" t="str">
        <f>INDEX(products!$A$1:$G$49,MATCH(orders!$D759,products!$A$1:$A$49,0),MATCH(orders!I$1,products!$A$1:$G$1,0))</f>
        <v>Ara</v>
      </c>
      <c r="J759" s="4" t="str">
        <f>INDEX(products!$A$1:$G$49,MATCH(orders!$D759,products!$A$1:$A$49,0),MATCH(orders!J$1,products!$A$1:$G$1,0))</f>
        <v>D</v>
      </c>
      <c r="K759" s="6">
        <f>INDEX(products!$A$1:$G$49,MATCH(orders!$D759,products!$A$1:$A$49,0),MATCH(orders!K$1,products!$A$1:$G$1,0))</f>
        <v>0.5</v>
      </c>
      <c r="L759" s="7">
        <f>INDEX(products!$A$1:$G$49,MATCH(orders!$D759,products!$A$1:$A$49,0),MATCH(orders!L$1,products!$A$1:$G$1,0))</f>
        <v>5.97</v>
      </c>
      <c r="M759" s="7">
        <f t="shared" si="11"/>
        <v>17.91</v>
      </c>
      <c r="N759" s="4" t="str" cm="1">
        <f t="array" ref="N759">_xlfn.IFS(I759="Rob","Robusta",I759="Exc","Excelsa",I759="Ara","Arabica",I759="Lib","Liberica")</f>
        <v>Arabica</v>
      </c>
      <c r="O759" s="4" t="str" cm="1">
        <f t="array" ref="O759">_xlfn.IFS(J759="M","Medium",J759="L","Light",J759="D","Dark")</f>
        <v>Dark</v>
      </c>
      <c r="P759" s="4" t="str">
        <f>_xlfn.XLOOKUP(CoffeeOrderstable[[#This Row],[Customer ID]],customers!$A$1:$A$1001,customers!$I$1:$I$1001,,0)</f>
        <v>Yes</v>
      </c>
    </row>
    <row r="760" spans="1:16" x14ac:dyDescent="0.3">
      <c r="A760" s="3" t="s">
        <v>4776</v>
      </c>
      <c r="B760" s="5">
        <v>43672</v>
      </c>
      <c r="C760" s="3" t="s">
        <v>4777</v>
      </c>
      <c r="D760" s="4" t="s">
        <v>6177</v>
      </c>
      <c r="E760" s="3">
        <v>1</v>
      </c>
      <c r="F760" s="3" t="str">
        <f>_xlfn.XLOOKUP(C760,customers!$A$1:$A$1001,customers!$B$1:$B$1001,,0)</f>
        <v>Lorelei Nardoni</v>
      </c>
      <c r="G760" s="3" t="str">
        <f>IF(_xlfn.XLOOKUP(C760,customers!$A$1:$A$1001,customers!$C$1:$C$1001,,0)=0,"", _xlfn.XLOOKUP(C760,customers!$A$1:$A$1001,customers!$C$1:$C$1001,,0))</f>
        <v>lnardonil2@hao123.com</v>
      </c>
      <c r="H760" s="3" t="str">
        <f>_xlfn.XLOOKUP(C760,customers!$A$1:$A$1001,customers!$G$1:$G$1001,,0)</f>
        <v>United States</v>
      </c>
      <c r="I760" s="4" t="str">
        <f>INDEX(products!$A$1:$G$49,MATCH(orders!$D760,products!$A$1:$A$49,0),MATCH(orders!I$1,products!$A$1:$G$1,0))</f>
        <v>Rob</v>
      </c>
      <c r="J760" s="4" t="str">
        <f>INDEX(products!$A$1:$G$49,MATCH(orders!$D760,products!$A$1:$A$49,0),MATCH(orders!J$1,products!$A$1:$G$1,0))</f>
        <v>D</v>
      </c>
      <c r="K760" s="6">
        <f>INDEX(products!$A$1:$G$49,MATCH(orders!$D760,products!$A$1:$A$49,0),MATCH(orders!K$1,products!$A$1:$G$1,0))</f>
        <v>1</v>
      </c>
      <c r="L760" s="7">
        <f>INDEX(products!$A$1:$G$49,MATCH(orders!$D760,products!$A$1:$A$49,0),MATCH(orders!L$1,products!$A$1:$G$1,0))</f>
        <v>8.9499999999999993</v>
      </c>
      <c r="M760" s="7">
        <f t="shared" si="11"/>
        <v>8.9499999999999993</v>
      </c>
      <c r="N760" s="4" t="str" cm="1">
        <f t="array" ref="N760">_xlfn.IFS(I760="Rob","Robusta",I760="Exc","Excelsa",I760="Ara","Arabica",I760="Lib","Liberica")</f>
        <v>Robusta</v>
      </c>
      <c r="O760" s="4" t="str" cm="1">
        <f t="array" ref="O760">_xlfn.IFS(J760="M","Medium",J760="L","Light",J760="D","Dark")</f>
        <v>Dark</v>
      </c>
      <c r="P760" s="4" t="str">
        <f>_xlfn.XLOOKUP(CoffeeOrderstable[[#This Row],[Customer ID]],customers!$A$1:$A$1001,customers!$I$1:$I$1001,,0)</f>
        <v>No</v>
      </c>
    </row>
    <row r="761" spans="1:16" x14ac:dyDescent="0.3">
      <c r="A761" s="3" t="s">
        <v>4781</v>
      </c>
      <c r="B761" s="5">
        <v>44126</v>
      </c>
      <c r="C761" s="3" t="s">
        <v>4782</v>
      </c>
      <c r="D761" s="4" t="s">
        <v>6165</v>
      </c>
      <c r="E761" s="3">
        <v>1</v>
      </c>
      <c r="F761" s="3" t="str">
        <f>_xlfn.XLOOKUP(C761,customers!$A$1:$A$1001,customers!$B$1:$B$1001,,0)</f>
        <v>Dallas Yarham</v>
      </c>
      <c r="G761" s="3" t="str">
        <f>IF(_xlfn.XLOOKUP(C761,customers!$A$1:$A$1001,customers!$C$1:$C$1001,,0)=0,"", _xlfn.XLOOKUP(C761,customers!$A$1:$A$1001,customers!$C$1:$C$1001,,0))</f>
        <v>dyarhaml3@moonfruit.com</v>
      </c>
      <c r="H761" s="3" t="str">
        <f>_xlfn.XLOOKUP(C761,customers!$A$1:$A$1001,customers!$G$1:$G$1001,,0)</f>
        <v>United States</v>
      </c>
      <c r="I761" s="4" t="str">
        <f>INDEX(products!$A$1:$G$49,MATCH(orders!$D761,products!$A$1:$A$49,0),MATCH(orders!I$1,products!$A$1:$G$1,0))</f>
        <v>Lib</v>
      </c>
      <c r="J761" s="4" t="str">
        <f>INDEX(products!$A$1:$G$49,MATCH(orders!$D761,products!$A$1:$A$49,0),MATCH(orders!J$1,products!$A$1:$G$1,0))</f>
        <v>D</v>
      </c>
      <c r="K761" s="6">
        <f>INDEX(products!$A$1:$G$49,MATCH(orders!$D761,products!$A$1:$A$49,0),MATCH(orders!K$1,products!$A$1:$G$1,0))</f>
        <v>2.5</v>
      </c>
      <c r="L761" s="7">
        <f>INDEX(products!$A$1:$G$49,MATCH(orders!$D761,products!$A$1:$A$49,0),MATCH(orders!L$1,products!$A$1:$G$1,0))</f>
        <v>29.784999999999997</v>
      </c>
      <c r="M761" s="7">
        <f t="shared" si="11"/>
        <v>29.784999999999997</v>
      </c>
      <c r="N761" s="4" t="str" cm="1">
        <f t="array" ref="N761">_xlfn.IFS(I761="Rob","Robusta",I761="Exc","Excelsa",I761="Ara","Arabica",I761="Lib","Liberica")</f>
        <v>Liberica</v>
      </c>
      <c r="O761" s="4" t="str" cm="1">
        <f t="array" ref="O761">_xlfn.IFS(J761="M","Medium",J761="L","Light",J761="D","Dark")</f>
        <v>Dark</v>
      </c>
      <c r="P761" s="4" t="str">
        <f>_xlfn.XLOOKUP(CoffeeOrderstable[[#This Row],[Customer ID]],customers!$A$1:$A$1001,customers!$I$1:$I$1001,,0)</f>
        <v>Yes</v>
      </c>
    </row>
    <row r="762" spans="1:16" x14ac:dyDescent="0.3">
      <c r="A762" s="3" t="s">
        <v>4787</v>
      </c>
      <c r="B762" s="5">
        <v>44189</v>
      </c>
      <c r="C762" s="3" t="s">
        <v>4788</v>
      </c>
      <c r="D762" s="4" t="s">
        <v>6176</v>
      </c>
      <c r="E762" s="3">
        <v>5</v>
      </c>
      <c r="F762" s="3" t="str">
        <f>_xlfn.XLOOKUP(C762,customers!$A$1:$A$1001,customers!$B$1:$B$1001,,0)</f>
        <v>Arlana Ferrea</v>
      </c>
      <c r="G762" s="3" t="str">
        <f>IF(_xlfn.XLOOKUP(C762,customers!$A$1:$A$1001,customers!$C$1:$C$1001,,0)=0,"", _xlfn.XLOOKUP(C762,customers!$A$1:$A$1001,customers!$C$1:$C$1001,,0))</f>
        <v>aferreal4@wikia.com</v>
      </c>
      <c r="H762" s="3" t="str">
        <f>_xlfn.XLOOKUP(C762,customers!$A$1:$A$1001,customers!$G$1:$G$1001,,0)</f>
        <v>United States</v>
      </c>
      <c r="I762" s="4" t="str">
        <f>INDEX(products!$A$1:$G$49,MATCH(orders!$D762,products!$A$1:$A$49,0),MATCH(orders!I$1,products!$A$1:$G$1,0))</f>
        <v>Exc</v>
      </c>
      <c r="J762" s="4" t="str">
        <f>INDEX(products!$A$1:$G$49,MATCH(orders!$D762,products!$A$1:$A$49,0),MATCH(orders!J$1,products!$A$1:$G$1,0))</f>
        <v>L</v>
      </c>
      <c r="K762" s="6">
        <f>INDEX(products!$A$1:$G$49,MATCH(orders!$D762,products!$A$1:$A$49,0),MATCH(orders!K$1,products!$A$1:$G$1,0))</f>
        <v>0.5</v>
      </c>
      <c r="L762" s="7">
        <f>INDEX(products!$A$1:$G$49,MATCH(orders!$D762,products!$A$1:$A$49,0),MATCH(orders!L$1,products!$A$1:$G$1,0))</f>
        <v>8.91</v>
      </c>
      <c r="M762" s="7">
        <f t="shared" si="11"/>
        <v>44.55</v>
      </c>
      <c r="N762" s="4" t="str" cm="1">
        <f t="array" ref="N762">_xlfn.IFS(I762="Rob","Robusta",I762="Exc","Excelsa",I762="Ara","Arabica",I762="Lib","Liberica")</f>
        <v>Excelsa</v>
      </c>
      <c r="O762" s="4" t="str" cm="1">
        <f t="array" ref="O762">_xlfn.IFS(J762="M","Medium",J762="L","Light",J762="D","Dark")</f>
        <v>Light</v>
      </c>
      <c r="P762" s="4" t="str">
        <f>_xlfn.XLOOKUP(CoffeeOrderstable[[#This Row],[Customer ID]],customers!$A$1:$A$1001,customers!$I$1:$I$1001,,0)</f>
        <v>No</v>
      </c>
    </row>
    <row r="763" spans="1:16" x14ac:dyDescent="0.3">
      <c r="A763" s="3" t="s">
        <v>4792</v>
      </c>
      <c r="B763" s="5">
        <v>43714</v>
      </c>
      <c r="C763" s="3" t="s">
        <v>4793</v>
      </c>
      <c r="D763" s="4" t="s">
        <v>6171</v>
      </c>
      <c r="E763" s="3">
        <v>6</v>
      </c>
      <c r="F763" s="3" t="str">
        <f>_xlfn.XLOOKUP(C763,customers!$A$1:$A$1001,customers!$B$1:$B$1001,,0)</f>
        <v>Chuck Kendrick</v>
      </c>
      <c r="G763" s="3" t="str">
        <f>IF(_xlfn.XLOOKUP(C763,customers!$A$1:$A$1001,customers!$C$1:$C$1001,,0)=0,"", _xlfn.XLOOKUP(C763,customers!$A$1:$A$1001,customers!$C$1:$C$1001,,0))</f>
        <v>ckendrickl5@webnode.com</v>
      </c>
      <c r="H763" s="3" t="str">
        <f>_xlfn.XLOOKUP(C763,customers!$A$1:$A$1001,customers!$G$1:$G$1001,,0)</f>
        <v>United States</v>
      </c>
      <c r="I763" s="4" t="str">
        <f>INDEX(products!$A$1:$G$49,MATCH(orders!$D763,products!$A$1:$A$49,0),MATCH(orders!I$1,products!$A$1:$G$1,0))</f>
        <v>Exc</v>
      </c>
      <c r="J763" s="4" t="str">
        <f>INDEX(products!$A$1:$G$49,MATCH(orders!$D763,products!$A$1:$A$49,0),MATCH(orders!J$1,products!$A$1:$G$1,0))</f>
        <v>L</v>
      </c>
      <c r="K763" s="6">
        <f>INDEX(products!$A$1:$G$49,MATCH(orders!$D763,products!$A$1:$A$49,0),MATCH(orders!K$1,products!$A$1:$G$1,0))</f>
        <v>1</v>
      </c>
      <c r="L763" s="7">
        <f>INDEX(products!$A$1:$G$49,MATCH(orders!$D763,products!$A$1:$A$49,0),MATCH(orders!L$1,products!$A$1:$G$1,0))</f>
        <v>14.85</v>
      </c>
      <c r="M763" s="7">
        <f t="shared" si="11"/>
        <v>89.1</v>
      </c>
      <c r="N763" s="4" t="str" cm="1">
        <f t="array" ref="N763">_xlfn.IFS(I763="Rob","Robusta",I763="Exc","Excelsa",I763="Ara","Arabica",I763="Lib","Liberica")</f>
        <v>Excelsa</v>
      </c>
      <c r="O763" s="4" t="str" cm="1">
        <f t="array" ref="O763">_xlfn.IFS(J763="M","Medium",J763="L","Light",J763="D","Dark")</f>
        <v>Light</v>
      </c>
      <c r="P763" s="4" t="str">
        <f>_xlfn.XLOOKUP(CoffeeOrderstable[[#This Row],[Customer ID]],customers!$A$1:$A$1001,customers!$I$1:$I$1001,,0)</f>
        <v>Yes</v>
      </c>
    </row>
    <row r="764" spans="1:16" x14ac:dyDescent="0.3">
      <c r="A764" s="3" t="s">
        <v>4797</v>
      </c>
      <c r="B764" s="5">
        <v>43563</v>
      </c>
      <c r="C764" s="3" t="s">
        <v>4798</v>
      </c>
      <c r="D764" s="4" t="s">
        <v>6160</v>
      </c>
      <c r="E764" s="3">
        <v>5</v>
      </c>
      <c r="F764" s="3" t="str">
        <f>_xlfn.XLOOKUP(C764,customers!$A$1:$A$1001,customers!$B$1:$B$1001,,0)</f>
        <v>Sharona Danilchik</v>
      </c>
      <c r="G764" s="3" t="str">
        <f>IF(_xlfn.XLOOKUP(C764,customers!$A$1:$A$1001,customers!$C$1:$C$1001,,0)=0,"", _xlfn.XLOOKUP(C764,customers!$A$1:$A$1001,customers!$C$1:$C$1001,,0))</f>
        <v>sdanilchikl6@mit.edu</v>
      </c>
      <c r="H764" s="3" t="str">
        <f>_xlfn.XLOOKUP(C764,customers!$A$1:$A$1001,customers!$G$1:$G$1001,,0)</f>
        <v>United Kingdom</v>
      </c>
      <c r="I764" s="4" t="str">
        <f>INDEX(products!$A$1:$G$49,MATCH(orders!$D764,products!$A$1:$A$49,0),MATCH(orders!I$1,products!$A$1:$G$1,0))</f>
        <v>Lib</v>
      </c>
      <c r="J764" s="4" t="str">
        <f>INDEX(products!$A$1:$G$49,MATCH(orders!$D764,products!$A$1:$A$49,0),MATCH(orders!J$1,products!$A$1:$G$1,0))</f>
        <v>M</v>
      </c>
      <c r="K764" s="6">
        <f>INDEX(products!$A$1:$G$49,MATCH(orders!$D764,products!$A$1:$A$49,0),MATCH(orders!K$1,products!$A$1:$G$1,0))</f>
        <v>0.5</v>
      </c>
      <c r="L764" s="7">
        <f>INDEX(products!$A$1:$G$49,MATCH(orders!$D764,products!$A$1:$A$49,0),MATCH(orders!L$1,products!$A$1:$G$1,0))</f>
        <v>8.73</v>
      </c>
      <c r="M764" s="7">
        <f t="shared" si="11"/>
        <v>43.650000000000006</v>
      </c>
      <c r="N764" s="4" t="str" cm="1">
        <f t="array" ref="N764">_xlfn.IFS(I764="Rob","Robusta",I764="Exc","Excelsa",I764="Ara","Arabica",I764="Lib","Liberica")</f>
        <v>Liberica</v>
      </c>
      <c r="O764" s="4" t="str" cm="1">
        <f t="array" ref="O764">_xlfn.IFS(J764="M","Medium",J764="L","Light",J764="D","Dark")</f>
        <v>Medium</v>
      </c>
      <c r="P764" s="4" t="str">
        <f>_xlfn.XLOOKUP(CoffeeOrderstable[[#This Row],[Customer ID]],customers!$A$1:$A$1001,customers!$I$1:$I$1001,,0)</f>
        <v>No</v>
      </c>
    </row>
    <row r="765" spans="1:16" x14ac:dyDescent="0.3">
      <c r="A765" s="3" t="s">
        <v>4803</v>
      </c>
      <c r="B765" s="5">
        <v>44587</v>
      </c>
      <c r="C765" s="3" t="s">
        <v>4804</v>
      </c>
      <c r="D765" s="4" t="s">
        <v>6180</v>
      </c>
      <c r="E765" s="3">
        <v>3</v>
      </c>
      <c r="F765" s="3" t="str">
        <f>_xlfn.XLOOKUP(C765,customers!$A$1:$A$1001,customers!$B$1:$B$1001,,0)</f>
        <v>Sarajane Potter</v>
      </c>
      <c r="G765" s="3" t="str">
        <f>IF(_xlfn.XLOOKUP(C765,customers!$A$1:$A$1001,customers!$C$1:$C$1001,,0)=0,"", _xlfn.XLOOKUP(C765,customers!$A$1:$A$1001,customers!$C$1:$C$1001,,0))</f>
        <v/>
      </c>
      <c r="H765" s="3" t="str">
        <f>_xlfn.XLOOKUP(C765,customers!$A$1:$A$1001,customers!$G$1:$G$1001,,0)</f>
        <v>United States</v>
      </c>
      <c r="I765" s="4" t="str">
        <f>INDEX(products!$A$1:$G$49,MATCH(orders!$D765,products!$A$1:$A$49,0),MATCH(orders!I$1,products!$A$1:$G$1,0))</f>
        <v>Ara</v>
      </c>
      <c r="J765" s="4" t="str">
        <f>INDEX(products!$A$1:$G$49,MATCH(orders!$D765,products!$A$1:$A$49,0),MATCH(orders!J$1,products!$A$1:$G$1,0))</f>
        <v>L</v>
      </c>
      <c r="K765" s="6">
        <f>INDEX(products!$A$1:$G$49,MATCH(orders!$D765,products!$A$1:$A$49,0),MATCH(orders!K$1,products!$A$1:$G$1,0))</f>
        <v>0.5</v>
      </c>
      <c r="L765" s="7">
        <f>INDEX(products!$A$1:$G$49,MATCH(orders!$D765,products!$A$1:$A$49,0),MATCH(orders!L$1,products!$A$1:$G$1,0))</f>
        <v>7.77</v>
      </c>
      <c r="M765" s="7">
        <f t="shared" si="11"/>
        <v>23.31</v>
      </c>
      <c r="N765" s="4" t="str" cm="1">
        <f t="array" ref="N765">_xlfn.IFS(I765="Rob","Robusta",I765="Exc","Excelsa",I765="Ara","Arabica",I765="Lib","Liberica")</f>
        <v>Arabica</v>
      </c>
      <c r="O765" s="4" t="str" cm="1">
        <f t="array" ref="O765">_xlfn.IFS(J765="M","Medium",J765="L","Light",J765="D","Dark")</f>
        <v>Light</v>
      </c>
      <c r="P765" s="4" t="str">
        <f>_xlfn.XLOOKUP(CoffeeOrderstable[[#This Row],[Customer ID]],customers!$A$1:$A$1001,customers!$I$1:$I$1001,,0)</f>
        <v>No</v>
      </c>
    </row>
    <row r="766" spans="1:16" x14ac:dyDescent="0.3">
      <c r="A766" s="3" t="s">
        <v>4808</v>
      </c>
      <c r="B766" s="5">
        <v>43797</v>
      </c>
      <c r="C766" s="3" t="s">
        <v>4809</v>
      </c>
      <c r="D766" s="4" t="s">
        <v>6182</v>
      </c>
      <c r="E766" s="3">
        <v>6</v>
      </c>
      <c r="F766" s="3" t="str">
        <f>_xlfn.XLOOKUP(C766,customers!$A$1:$A$1001,customers!$B$1:$B$1001,,0)</f>
        <v>Bobby Folomkin</v>
      </c>
      <c r="G766" s="3" t="str">
        <f>IF(_xlfn.XLOOKUP(C766,customers!$A$1:$A$1001,customers!$C$1:$C$1001,,0)=0,"", _xlfn.XLOOKUP(C766,customers!$A$1:$A$1001,customers!$C$1:$C$1001,,0))</f>
        <v>bfolomkinl8@yolasite.com</v>
      </c>
      <c r="H766" s="3" t="str">
        <f>_xlfn.XLOOKUP(C766,customers!$A$1:$A$1001,customers!$G$1:$G$1001,,0)</f>
        <v>United States</v>
      </c>
      <c r="I766" s="4" t="str">
        <f>INDEX(products!$A$1:$G$49,MATCH(orders!$D766,products!$A$1:$A$49,0),MATCH(orders!I$1,products!$A$1:$G$1,0))</f>
        <v>Ara</v>
      </c>
      <c r="J766" s="4" t="str">
        <f>INDEX(products!$A$1:$G$49,MATCH(orders!$D766,products!$A$1:$A$49,0),MATCH(orders!J$1,products!$A$1:$G$1,0))</f>
        <v>L</v>
      </c>
      <c r="K766" s="6">
        <f>INDEX(products!$A$1:$G$49,MATCH(orders!$D766,products!$A$1:$A$49,0),MATCH(orders!K$1,products!$A$1:$G$1,0))</f>
        <v>2.5</v>
      </c>
      <c r="L766" s="7">
        <f>INDEX(products!$A$1:$G$49,MATCH(orders!$D766,products!$A$1:$A$49,0),MATCH(orders!L$1,products!$A$1:$G$1,0))</f>
        <v>29.784999999999997</v>
      </c>
      <c r="M766" s="7">
        <f t="shared" si="11"/>
        <v>178.70999999999998</v>
      </c>
      <c r="N766" s="4" t="str" cm="1">
        <f t="array" ref="N766">_xlfn.IFS(I766="Rob","Robusta",I766="Exc","Excelsa",I766="Ara","Arabica",I766="Lib","Liberica")</f>
        <v>Arabica</v>
      </c>
      <c r="O766" s="4" t="str" cm="1">
        <f t="array" ref="O766">_xlfn.IFS(J766="M","Medium",J766="L","Light",J766="D","Dark")</f>
        <v>Light</v>
      </c>
      <c r="P766" s="4" t="str">
        <f>_xlfn.XLOOKUP(CoffeeOrderstable[[#This Row],[Customer ID]],customers!$A$1:$A$1001,customers!$I$1:$I$1001,,0)</f>
        <v>Yes</v>
      </c>
    </row>
    <row r="767" spans="1:16" x14ac:dyDescent="0.3">
      <c r="A767" s="3" t="s">
        <v>4814</v>
      </c>
      <c r="B767" s="5">
        <v>43667</v>
      </c>
      <c r="C767" s="3" t="s">
        <v>4815</v>
      </c>
      <c r="D767" s="4" t="s">
        <v>6138</v>
      </c>
      <c r="E767" s="3">
        <v>6</v>
      </c>
      <c r="F767" s="3" t="str">
        <f>_xlfn.XLOOKUP(C767,customers!$A$1:$A$1001,customers!$B$1:$B$1001,,0)</f>
        <v>Rafferty Pursglove</v>
      </c>
      <c r="G767" s="3" t="str">
        <f>IF(_xlfn.XLOOKUP(C767,customers!$A$1:$A$1001,customers!$C$1:$C$1001,,0)=0,"", _xlfn.XLOOKUP(C767,customers!$A$1:$A$1001,customers!$C$1:$C$1001,,0))</f>
        <v>rpursglovel9@biblegateway.com</v>
      </c>
      <c r="H767" s="3" t="str">
        <f>_xlfn.XLOOKUP(C767,customers!$A$1:$A$1001,customers!$G$1:$G$1001,,0)</f>
        <v>United States</v>
      </c>
      <c r="I767" s="4" t="str">
        <f>INDEX(products!$A$1:$G$49,MATCH(orders!$D767,products!$A$1:$A$49,0),MATCH(orders!I$1,products!$A$1:$G$1,0))</f>
        <v>Rob</v>
      </c>
      <c r="J767" s="4" t="str">
        <f>INDEX(products!$A$1:$G$49,MATCH(orders!$D767,products!$A$1:$A$49,0),MATCH(orders!J$1,products!$A$1:$G$1,0))</f>
        <v>M</v>
      </c>
      <c r="K767" s="6">
        <f>INDEX(products!$A$1:$G$49,MATCH(orders!$D767,products!$A$1:$A$49,0),MATCH(orders!K$1,products!$A$1:$G$1,0))</f>
        <v>1</v>
      </c>
      <c r="L767" s="7">
        <f>INDEX(products!$A$1:$G$49,MATCH(orders!$D767,products!$A$1:$A$49,0),MATCH(orders!L$1,products!$A$1:$G$1,0))</f>
        <v>9.9499999999999993</v>
      </c>
      <c r="M767" s="7">
        <f t="shared" si="11"/>
        <v>59.699999999999996</v>
      </c>
      <c r="N767" s="4" t="str" cm="1">
        <f t="array" ref="N767">_xlfn.IFS(I767="Rob","Robusta",I767="Exc","Excelsa",I767="Ara","Arabica",I767="Lib","Liberica")</f>
        <v>Robusta</v>
      </c>
      <c r="O767" s="4" t="str" cm="1">
        <f t="array" ref="O767">_xlfn.IFS(J767="M","Medium",J767="L","Light",J767="D","Dark")</f>
        <v>Medium</v>
      </c>
      <c r="P767" s="4" t="str">
        <f>_xlfn.XLOOKUP(CoffeeOrderstable[[#This Row],[Customer ID]],customers!$A$1:$A$1001,customers!$I$1:$I$1001,,0)</f>
        <v>Yes</v>
      </c>
    </row>
    <row r="768" spans="1:16" x14ac:dyDescent="0.3">
      <c r="A768" s="3" t="s">
        <v>4814</v>
      </c>
      <c r="B768" s="5">
        <v>43667</v>
      </c>
      <c r="C768" s="3" t="s">
        <v>4815</v>
      </c>
      <c r="D768" s="4" t="s">
        <v>6180</v>
      </c>
      <c r="E768" s="3">
        <v>2</v>
      </c>
      <c r="F768" s="3" t="str">
        <f>_xlfn.XLOOKUP(C768,customers!$A$1:$A$1001,customers!$B$1:$B$1001,,0)</f>
        <v>Rafferty Pursglove</v>
      </c>
      <c r="G768" s="3" t="str">
        <f>IF(_xlfn.XLOOKUP(C768,customers!$A$1:$A$1001,customers!$C$1:$C$1001,,0)=0,"", _xlfn.XLOOKUP(C768,customers!$A$1:$A$1001,customers!$C$1:$C$1001,,0))</f>
        <v>rpursglovel9@biblegateway.com</v>
      </c>
      <c r="H768" s="3" t="str">
        <f>_xlfn.XLOOKUP(C768,customers!$A$1:$A$1001,customers!$G$1:$G$1001,,0)</f>
        <v>United States</v>
      </c>
      <c r="I768" s="4" t="str">
        <f>INDEX(products!$A$1:$G$49,MATCH(orders!$D768,products!$A$1:$A$49,0),MATCH(orders!I$1,products!$A$1:$G$1,0))</f>
        <v>Ara</v>
      </c>
      <c r="J768" s="4" t="str">
        <f>INDEX(products!$A$1:$G$49,MATCH(orders!$D768,products!$A$1:$A$49,0),MATCH(orders!J$1,products!$A$1:$G$1,0))</f>
        <v>L</v>
      </c>
      <c r="K768" s="6">
        <f>INDEX(products!$A$1:$G$49,MATCH(orders!$D768,products!$A$1:$A$49,0),MATCH(orders!K$1,products!$A$1:$G$1,0))</f>
        <v>0.5</v>
      </c>
      <c r="L768" s="7">
        <f>INDEX(products!$A$1:$G$49,MATCH(orders!$D768,products!$A$1:$A$49,0),MATCH(orders!L$1,products!$A$1:$G$1,0))</f>
        <v>7.77</v>
      </c>
      <c r="M768" s="7">
        <f t="shared" si="11"/>
        <v>15.54</v>
      </c>
      <c r="N768" s="4" t="str" cm="1">
        <f t="array" ref="N768">_xlfn.IFS(I768="Rob","Robusta",I768="Exc","Excelsa",I768="Ara","Arabica",I768="Lib","Liberica")</f>
        <v>Arabica</v>
      </c>
      <c r="O768" s="4" t="str" cm="1">
        <f t="array" ref="O768">_xlfn.IFS(J768="M","Medium",J768="L","Light",J768="D","Dark")</f>
        <v>Light</v>
      </c>
      <c r="P768" s="4" t="str">
        <f>_xlfn.XLOOKUP(CoffeeOrderstable[[#This Row],[Customer ID]],customers!$A$1:$A$1001,customers!$I$1:$I$1001,,0)</f>
        <v>Yes</v>
      </c>
    </row>
    <row r="769" spans="1:16" x14ac:dyDescent="0.3">
      <c r="A769" s="3" t="s">
        <v>4825</v>
      </c>
      <c r="B769" s="5">
        <v>44267</v>
      </c>
      <c r="C769" s="3" t="s">
        <v>4759</v>
      </c>
      <c r="D769" s="4" t="s">
        <v>6182</v>
      </c>
      <c r="E769" s="3">
        <v>3</v>
      </c>
      <c r="F769" s="3" t="str">
        <f>_xlfn.XLOOKUP(C769,customers!$A$1:$A$1001,customers!$B$1:$B$1001,,0)</f>
        <v>Foster Constance</v>
      </c>
      <c r="G769" s="3" t="str">
        <f>IF(_xlfn.XLOOKUP(C769,customers!$A$1:$A$1001,customers!$C$1:$C$1001,,0)=0,"", _xlfn.XLOOKUP(C769,customers!$A$1:$A$1001,customers!$C$1:$C$1001,,0))</f>
        <v>fconstancekz@ifeng.com</v>
      </c>
      <c r="H769" s="3" t="str">
        <f>_xlfn.XLOOKUP(C769,customers!$A$1:$A$1001,customers!$G$1:$G$1001,,0)</f>
        <v>United States</v>
      </c>
      <c r="I769" s="4" t="str">
        <f>INDEX(products!$A$1:$G$49,MATCH(orders!$D769,products!$A$1:$A$49,0),MATCH(orders!I$1,products!$A$1:$G$1,0))</f>
        <v>Ara</v>
      </c>
      <c r="J769" s="4" t="str">
        <f>INDEX(products!$A$1:$G$49,MATCH(orders!$D769,products!$A$1:$A$49,0),MATCH(orders!J$1,products!$A$1:$G$1,0))</f>
        <v>L</v>
      </c>
      <c r="K769" s="6">
        <f>INDEX(products!$A$1:$G$49,MATCH(orders!$D769,products!$A$1:$A$49,0),MATCH(orders!K$1,products!$A$1:$G$1,0))</f>
        <v>2.5</v>
      </c>
      <c r="L769" s="7">
        <f>INDEX(products!$A$1:$G$49,MATCH(orders!$D769,products!$A$1:$A$49,0),MATCH(orders!L$1,products!$A$1:$G$1,0))</f>
        <v>29.784999999999997</v>
      </c>
      <c r="M769" s="7">
        <f t="shared" si="11"/>
        <v>89.35499999999999</v>
      </c>
      <c r="N769" s="4" t="str" cm="1">
        <f t="array" ref="N769">_xlfn.IFS(I769="Rob","Robusta",I769="Exc","Excelsa",I769="Ara","Arabica",I769="Lib","Liberica")</f>
        <v>Arabica</v>
      </c>
      <c r="O769" s="4" t="str" cm="1">
        <f t="array" ref="O769">_xlfn.IFS(J769="M","Medium",J769="L","Light",J769="D","Dark")</f>
        <v>Light</v>
      </c>
      <c r="P769" s="4" t="str">
        <f>_xlfn.XLOOKUP(CoffeeOrderstable[[#This Row],[Customer ID]],customers!$A$1:$A$1001,customers!$I$1:$I$1001,,0)</f>
        <v>No</v>
      </c>
    </row>
    <row r="770" spans="1:16" x14ac:dyDescent="0.3">
      <c r="A770" s="3" t="s">
        <v>4831</v>
      </c>
      <c r="B770" s="5">
        <v>44562</v>
      </c>
      <c r="C770" s="3" t="s">
        <v>4759</v>
      </c>
      <c r="D770" s="4" t="s">
        <v>6179</v>
      </c>
      <c r="E770" s="3">
        <v>2</v>
      </c>
      <c r="F770" s="3" t="str">
        <f>_xlfn.XLOOKUP(C770,customers!$A$1:$A$1001,customers!$B$1:$B$1001,,0)</f>
        <v>Foster Constance</v>
      </c>
      <c r="G770" s="3" t="str">
        <f>IF(_xlfn.XLOOKUP(C770,customers!$A$1:$A$1001,customers!$C$1:$C$1001,,0)=0,"", _xlfn.XLOOKUP(C770,customers!$A$1:$A$1001,customers!$C$1:$C$1001,,0))</f>
        <v>fconstancekz@ifeng.com</v>
      </c>
      <c r="H770" s="3" t="str">
        <f>_xlfn.XLOOKUP(C770,customers!$A$1:$A$1001,customers!$G$1:$G$1001,,0)</f>
        <v>United States</v>
      </c>
      <c r="I770" s="4" t="str">
        <f>INDEX(products!$A$1:$G$49,MATCH(orders!$D770,products!$A$1:$A$49,0),MATCH(orders!I$1,products!$A$1:$G$1,0))</f>
        <v>Rob</v>
      </c>
      <c r="J770" s="4" t="str">
        <f>INDEX(products!$A$1:$G$49,MATCH(orders!$D770,products!$A$1:$A$49,0),MATCH(orders!J$1,products!$A$1:$G$1,0))</f>
        <v>L</v>
      </c>
      <c r="K770" s="6">
        <f>INDEX(products!$A$1:$G$49,MATCH(orders!$D770,products!$A$1:$A$49,0),MATCH(orders!K$1,products!$A$1:$G$1,0))</f>
        <v>1</v>
      </c>
      <c r="L770" s="7">
        <f>INDEX(products!$A$1:$G$49,MATCH(orders!$D770,products!$A$1:$A$49,0),MATCH(orders!L$1,products!$A$1:$G$1,0))</f>
        <v>11.95</v>
      </c>
      <c r="M770" s="7">
        <f t="shared" si="11"/>
        <v>23.9</v>
      </c>
      <c r="N770" s="4" t="str" cm="1">
        <f t="array" ref="N770">_xlfn.IFS(I770="Rob","Robusta",I770="Exc","Excelsa",I770="Ara","Arabica",I770="Lib","Liberica")</f>
        <v>Robusta</v>
      </c>
      <c r="O770" s="4" t="str" cm="1">
        <f t="array" ref="O770">_xlfn.IFS(J770="M","Medium",J770="L","Light",J770="D","Dark")</f>
        <v>Light</v>
      </c>
      <c r="P770" s="4" t="str">
        <f>_xlfn.XLOOKUP(CoffeeOrderstable[[#This Row],[Customer ID]],customers!$A$1:$A$1001,customers!$I$1:$I$1001,,0)</f>
        <v>No</v>
      </c>
    </row>
    <row r="771" spans="1:16" x14ac:dyDescent="0.3">
      <c r="A771" s="3" t="s">
        <v>4836</v>
      </c>
      <c r="B771" s="5">
        <v>43912</v>
      </c>
      <c r="C771" s="3" t="s">
        <v>4837</v>
      </c>
      <c r="D771" s="4" t="s">
        <v>6151</v>
      </c>
      <c r="E771" s="3">
        <v>6</v>
      </c>
      <c r="F771" s="3" t="str">
        <f>_xlfn.XLOOKUP(C771,customers!$A$1:$A$1001,customers!$B$1:$B$1001,,0)</f>
        <v>Dalia Eburah</v>
      </c>
      <c r="G771" s="3" t="str">
        <f>IF(_xlfn.XLOOKUP(C771,customers!$A$1:$A$1001,customers!$C$1:$C$1001,,0)=0,"", _xlfn.XLOOKUP(C771,customers!$A$1:$A$1001,customers!$C$1:$C$1001,,0))</f>
        <v>deburahld@google.co.jp</v>
      </c>
      <c r="H771" s="3" t="str">
        <f>_xlfn.XLOOKUP(C771,customers!$A$1:$A$1001,customers!$G$1:$G$1001,,0)</f>
        <v>United Kingdom</v>
      </c>
      <c r="I771" s="4" t="str">
        <f>INDEX(products!$A$1:$G$49,MATCH(orders!$D771,products!$A$1:$A$49,0),MATCH(orders!I$1,products!$A$1:$G$1,0))</f>
        <v>Rob</v>
      </c>
      <c r="J771" s="4" t="str">
        <f>INDEX(products!$A$1:$G$49,MATCH(orders!$D771,products!$A$1:$A$49,0),MATCH(orders!J$1,products!$A$1:$G$1,0))</f>
        <v>M</v>
      </c>
      <c r="K771" s="6">
        <f>INDEX(products!$A$1:$G$49,MATCH(orders!$D771,products!$A$1:$A$49,0),MATCH(orders!K$1,products!$A$1:$G$1,0))</f>
        <v>2.5</v>
      </c>
      <c r="L771" s="7">
        <f>INDEX(products!$A$1:$G$49,MATCH(orders!$D771,products!$A$1:$A$49,0),MATCH(orders!L$1,products!$A$1:$G$1,0))</f>
        <v>22.884999999999998</v>
      </c>
      <c r="M771" s="7">
        <f t="shared" ref="M771:M834" si="12">L771*E771</f>
        <v>137.31</v>
      </c>
      <c r="N771" s="4" t="str" cm="1">
        <f t="array" ref="N771">_xlfn.IFS(I771="Rob","Robusta",I771="Exc","Excelsa",I771="Ara","Arabica",I771="Lib","Liberica")</f>
        <v>Robusta</v>
      </c>
      <c r="O771" s="4" t="str" cm="1">
        <f t="array" ref="O771">_xlfn.IFS(J771="M","Medium",J771="L","Light",J771="D","Dark")</f>
        <v>Medium</v>
      </c>
      <c r="P771" s="4" t="str">
        <f>_xlfn.XLOOKUP(CoffeeOrderstable[[#This Row],[Customer ID]],customers!$A$1:$A$1001,customers!$I$1:$I$1001,,0)</f>
        <v>No</v>
      </c>
    </row>
    <row r="772" spans="1:16" x14ac:dyDescent="0.3">
      <c r="A772" s="3" t="s">
        <v>4842</v>
      </c>
      <c r="B772" s="5">
        <v>44092</v>
      </c>
      <c r="C772" s="3" t="s">
        <v>4843</v>
      </c>
      <c r="D772" s="4" t="s">
        <v>6147</v>
      </c>
      <c r="E772" s="3">
        <v>1</v>
      </c>
      <c r="F772" s="3" t="str">
        <f>_xlfn.XLOOKUP(C772,customers!$A$1:$A$1001,customers!$B$1:$B$1001,,0)</f>
        <v>Martie Brimilcombe</v>
      </c>
      <c r="G772" s="3" t="str">
        <f>IF(_xlfn.XLOOKUP(C772,customers!$A$1:$A$1001,customers!$C$1:$C$1001,,0)=0,"", _xlfn.XLOOKUP(C772,customers!$A$1:$A$1001,customers!$C$1:$C$1001,,0))</f>
        <v>mbrimilcombele@cnn.com</v>
      </c>
      <c r="H772" s="3" t="str">
        <f>_xlfn.XLOOKUP(C772,customers!$A$1:$A$1001,customers!$G$1:$G$1001,,0)</f>
        <v>United States</v>
      </c>
      <c r="I772" s="4" t="str">
        <f>INDEX(products!$A$1:$G$49,MATCH(orders!$D772,products!$A$1:$A$49,0),MATCH(orders!I$1,products!$A$1:$G$1,0))</f>
        <v>Ara</v>
      </c>
      <c r="J772" s="4" t="str">
        <f>INDEX(products!$A$1:$G$49,MATCH(orders!$D772,products!$A$1:$A$49,0),MATCH(orders!J$1,products!$A$1:$G$1,0))</f>
        <v>D</v>
      </c>
      <c r="K772" s="6">
        <f>INDEX(products!$A$1:$G$49,MATCH(orders!$D772,products!$A$1:$A$49,0),MATCH(orders!K$1,products!$A$1:$G$1,0))</f>
        <v>1</v>
      </c>
      <c r="L772" s="7">
        <f>INDEX(products!$A$1:$G$49,MATCH(orders!$D772,products!$A$1:$A$49,0),MATCH(orders!L$1,products!$A$1:$G$1,0))</f>
        <v>9.9499999999999993</v>
      </c>
      <c r="M772" s="7">
        <f t="shared" si="12"/>
        <v>9.9499999999999993</v>
      </c>
      <c r="N772" s="4" t="str" cm="1">
        <f t="array" ref="N772">_xlfn.IFS(I772="Rob","Robusta",I772="Exc","Excelsa",I772="Ara","Arabica",I772="Lib","Liberica")</f>
        <v>Arabica</v>
      </c>
      <c r="O772" s="4" t="str" cm="1">
        <f t="array" ref="O772">_xlfn.IFS(J772="M","Medium",J772="L","Light",J772="D","Dark")</f>
        <v>Dark</v>
      </c>
      <c r="P772" s="4" t="str">
        <f>_xlfn.XLOOKUP(CoffeeOrderstable[[#This Row],[Customer ID]],customers!$A$1:$A$1001,customers!$I$1:$I$1001,,0)</f>
        <v>No</v>
      </c>
    </row>
    <row r="773" spans="1:16" x14ac:dyDescent="0.3">
      <c r="A773" s="3" t="s">
        <v>4847</v>
      </c>
      <c r="B773" s="5">
        <v>43468</v>
      </c>
      <c r="C773" s="3" t="s">
        <v>4848</v>
      </c>
      <c r="D773" s="4" t="s">
        <v>6173</v>
      </c>
      <c r="E773" s="3">
        <v>3</v>
      </c>
      <c r="F773" s="3" t="str">
        <f>_xlfn.XLOOKUP(C773,customers!$A$1:$A$1001,customers!$B$1:$B$1001,,0)</f>
        <v>Suzanna Bollam</v>
      </c>
      <c r="G773" s="3" t="str">
        <f>IF(_xlfn.XLOOKUP(C773,customers!$A$1:$A$1001,customers!$C$1:$C$1001,,0)=0,"", _xlfn.XLOOKUP(C773,customers!$A$1:$A$1001,customers!$C$1:$C$1001,,0))</f>
        <v>sbollamlf@list-manage.com</v>
      </c>
      <c r="H773" s="3" t="str">
        <f>_xlfn.XLOOKUP(C773,customers!$A$1:$A$1001,customers!$G$1:$G$1001,,0)</f>
        <v>United States</v>
      </c>
      <c r="I773" s="4" t="str">
        <f>INDEX(products!$A$1:$G$49,MATCH(orders!$D773,products!$A$1:$A$49,0),MATCH(orders!I$1,products!$A$1:$G$1,0))</f>
        <v>Rob</v>
      </c>
      <c r="J773" s="4" t="str">
        <f>INDEX(products!$A$1:$G$49,MATCH(orders!$D773,products!$A$1:$A$49,0),MATCH(orders!J$1,products!$A$1:$G$1,0))</f>
        <v>L</v>
      </c>
      <c r="K773" s="6">
        <f>INDEX(products!$A$1:$G$49,MATCH(orders!$D773,products!$A$1:$A$49,0),MATCH(orders!K$1,products!$A$1:$G$1,0))</f>
        <v>0.5</v>
      </c>
      <c r="L773" s="7">
        <f>INDEX(products!$A$1:$G$49,MATCH(orders!$D773,products!$A$1:$A$49,0),MATCH(orders!L$1,products!$A$1:$G$1,0))</f>
        <v>7.169999999999999</v>
      </c>
      <c r="M773" s="7">
        <f t="shared" si="12"/>
        <v>21.509999999999998</v>
      </c>
      <c r="N773" s="4" t="str" cm="1">
        <f t="array" ref="N773">_xlfn.IFS(I773="Rob","Robusta",I773="Exc","Excelsa",I773="Ara","Arabica",I773="Lib","Liberica")</f>
        <v>Robusta</v>
      </c>
      <c r="O773" s="4" t="str" cm="1">
        <f t="array" ref="O773">_xlfn.IFS(J773="M","Medium",J773="L","Light",J773="D","Dark")</f>
        <v>Light</v>
      </c>
      <c r="P773" s="4" t="str">
        <f>_xlfn.XLOOKUP(CoffeeOrderstable[[#This Row],[Customer ID]],customers!$A$1:$A$1001,customers!$I$1:$I$1001,,0)</f>
        <v>No</v>
      </c>
    </row>
    <row r="774" spans="1:16" x14ac:dyDescent="0.3">
      <c r="A774" s="3" t="s">
        <v>4853</v>
      </c>
      <c r="B774" s="5">
        <v>44468</v>
      </c>
      <c r="C774" s="3" t="s">
        <v>4854</v>
      </c>
      <c r="D774" s="4" t="s">
        <v>6141</v>
      </c>
      <c r="E774" s="3">
        <v>6</v>
      </c>
      <c r="F774" s="3" t="str">
        <f>_xlfn.XLOOKUP(C774,customers!$A$1:$A$1001,customers!$B$1:$B$1001,,0)</f>
        <v>Mellisa Mebes</v>
      </c>
      <c r="G774" s="3" t="str">
        <f>IF(_xlfn.XLOOKUP(C774,customers!$A$1:$A$1001,customers!$C$1:$C$1001,,0)=0,"", _xlfn.XLOOKUP(C774,customers!$A$1:$A$1001,customers!$C$1:$C$1001,,0))</f>
        <v/>
      </c>
      <c r="H774" s="3" t="str">
        <f>_xlfn.XLOOKUP(C774,customers!$A$1:$A$1001,customers!$G$1:$G$1001,,0)</f>
        <v>United States</v>
      </c>
      <c r="I774" s="4" t="str">
        <f>INDEX(products!$A$1:$G$49,MATCH(orders!$D774,products!$A$1:$A$49,0),MATCH(orders!I$1,products!$A$1:$G$1,0))</f>
        <v>Exc</v>
      </c>
      <c r="J774" s="4" t="str">
        <f>INDEX(products!$A$1:$G$49,MATCH(orders!$D774,products!$A$1:$A$49,0),MATCH(orders!J$1,products!$A$1:$G$1,0))</f>
        <v>M</v>
      </c>
      <c r="K774" s="6">
        <f>INDEX(products!$A$1:$G$49,MATCH(orders!$D774,products!$A$1:$A$49,0),MATCH(orders!K$1,products!$A$1:$G$1,0))</f>
        <v>1</v>
      </c>
      <c r="L774" s="7">
        <f>INDEX(products!$A$1:$G$49,MATCH(orders!$D774,products!$A$1:$A$49,0),MATCH(orders!L$1,products!$A$1:$G$1,0))</f>
        <v>13.75</v>
      </c>
      <c r="M774" s="7">
        <f t="shared" si="12"/>
        <v>82.5</v>
      </c>
      <c r="N774" s="4" t="str" cm="1">
        <f t="array" ref="N774">_xlfn.IFS(I774="Rob","Robusta",I774="Exc","Excelsa",I774="Ara","Arabica",I774="Lib","Liberica")</f>
        <v>Excelsa</v>
      </c>
      <c r="O774" s="4" t="str" cm="1">
        <f t="array" ref="O774">_xlfn.IFS(J774="M","Medium",J774="L","Light",J774="D","Dark")</f>
        <v>Medium</v>
      </c>
      <c r="P774" s="4" t="str">
        <f>_xlfn.XLOOKUP(CoffeeOrderstable[[#This Row],[Customer ID]],customers!$A$1:$A$1001,customers!$I$1:$I$1001,,0)</f>
        <v>No</v>
      </c>
    </row>
    <row r="775" spans="1:16" x14ac:dyDescent="0.3">
      <c r="A775" s="3" t="s">
        <v>4858</v>
      </c>
      <c r="B775" s="5">
        <v>44488</v>
      </c>
      <c r="C775" s="3" t="s">
        <v>4859</v>
      </c>
      <c r="D775" s="4" t="s">
        <v>6159</v>
      </c>
      <c r="E775" s="3">
        <v>2</v>
      </c>
      <c r="F775" s="3" t="str">
        <f>_xlfn.XLOOKUP(C775,customers!$A$1:$A$1001,customers!$B$1:$B$1001,,0)</f>
        <v>Alva Filipczak</v>
      </c>
      <c r="G775" s="3" t="str">
        <f>IF(_xlfn.XLOOKUP(C775,customers!$A$1:$A$1001,customers!$C$1:$C$1001,,0)=0,"", _xlfn.XLOOKUP(C775,customers!$A$1:$A$1001,customers!$C$1:$C$1001,,0))</f>
        <v>afilipczaklh@ning.com</v>
      </c>
      <c r="H775" s="3" t="str">
        <f>_xlfn.XLOOKUP(C775,customers!$A$1:$A$1001,customers!$G$1:$G$1001,,0)</f>
        <v>Ireland</v>
      </c>
      <c r="I775" s="4" t="str">
        <f>INDEX(products!$A$1:$G$49,MATCH(orders!$D775,products!$A$1:$A$49,0),MATCH(orders!I$1,products!$A$1:$G$1,0))</f>
        <v>Lib</v>
      </c>
      <c r="J775" s="4" t="str">
        <f>INDEX(products!$A$1:$G$49,MATCH(orders!$D775,products!$A$1:$A$49,0),MATCH(orders!J$1,products!$A$1:$G$1,0))</f>
        <v>M</v>
      </c>
      <c r="K775" s="6">
        <f>INDEX(products!$A$1:$G$49,MATCH(orders!$D775,products!$A$1:$A$49,0),MATCH(orders!K$1,products!$A$1:$G$1,0))</f>
        <v>0.2</v>
      </c>
      <c r="L775" s="7">
        <f>INDEX(products!$A$1:$G$49,MATCH(orders!$D775,products!$A$1:$A$49,0),MATCH(orders!L$1,products!$A$1:$G$1,0))</f>
        <v>4.3650000000000002</v>
      </c>
      <c r="M775" s="7">
        <f t="shared" si="12"/>
        <v>8.73</v>
      </c>
      <c r="N775" s="4" t="str" cm="1">
        <f t="array" ref="N775">_xlfn.IFS(I775="Rob","Robusta",I775="Exc","Excelsa",I775="Ara","Arabica",I775="Lib","Liberica")</f>
        <v>Liberica</v>
      </c>
      <c r="O775" s="4" t="str" cm="1">
        <f t="array" ref="O775">_xlfn.IFS(J775="M","Medium",J775="L","Light",J775="D","Dark")</f>
        <v>Medium</v>
      </c>
      <c r="P775" s="4" t="str">
        <f>_xlfn.XLOOKUP(CoffeeOrderstable[[#This Row],[Customer ID]],customers!$A$1:$A$1001,customers!$I$1:$I$1001,,0)</f>
        <v>No</v>
      </c>
    </row>
    <row r="776" spans="1:16" x14ac:dyDescent="0.3">
      <c r="A776" s="3" t="s">
        <v>4864</v>
      </c>
      <c r="B776" s="5">
        <v>44756</v>
      </c>
      <c r="C776" s="3" t="s">
        <v>4865</v>
      </c>
      <c r="D776" s="4" t="s">
        <v>6138</v>
      </c>
      <c r="E776" s="3">
        <v>2</v>
      </c>
      <c r="F776" s="3" t="str">
        <f>_xlfn.XLOOKUP(C776,customers!$A$1:$A$1001,customers!$B$1:$B$1001,,0)</f>
        <v>Dorette Hinemoor</v>
      </c>
      <c r="G776" s="3" t="str">
        <f>IF(_xlfn.XLOOKUP(C776,customers!$A$1:$A$1001,customers!$C$1:$C$1001,,0)=0,"", _xlfn.XLOOKUP(C776,customers!$A$1:$A$1001,customers!$C$1:$C$1001,,0))</f>
        <v/>
      </c>
      <c r="H776" s="3" t="str">
        <f>_xlfn.XLOOKUP(C776,customers!$A$1:$A$1001,customers!$G$1:$G$1001,,0)</f>
        <v>United States</v>
      </c>
      <c r="I776" s="4" t="str">
        <f>INDEX(products!$A$1:$G$49,MATCH(orders!$D776,products!$A$1:$A$49,0),MATCH(orders!I$1,products!$A$1:$G$1,0))</f>
        <v>Rob</v>
      </c>
      <c r="J776" s="4" t="str">
        <f>INDEX(products!$A$1:$G$49,MATCH(orders!$D776,products!$A$1:$A$49,0),MATCH(orders!J$1,products!$A$1:$G$1,0))</f>
        <v>M</v>
      </c>
      <c r="K776" s="6">
        <f>INDEX(products!$A$1:$G$49,MATCH(orders!$D776,products!$A$1:$A$49,0),MATCH(orders!K$1,products!$A$1:$G$1,0))</f>
        <v>1</v>
      </c>
      <c r="L776" s="7">
        <f>INDEX(products!$A$1:$G$49,MATCH(orders!$D776,products!$A$1:$A$49,0),MATCH(orders!L$1,products!$A$1:$G$1,0))</f>
        <v>9.9499999999999993</v>
      </c>
      <c r="M776" s="7">
        <f t="shared" si="12"/>
        <v>19.899999999999999</v>
      </c>
      <c r="N776" s="4" t="str" cm="1">
        <f t="array" ref="N776">_xlfn.IFS(I776="Rob","Robusta",I776="Exc","Excelsa",I776="Ara","Arabica",I776="Lib","Liberica")</f>
        <v>Robusta</v>
      </c>
      <c r="O776" s="4" t="str" cm="1">
        <f t="array" ref="O776">_xlfn.IFS(J776="M","Medium",J776="L","Light",J776="D","Dark")</f>
        <v>Medium</v>
      </c>
      <c r="P776" s="4" t="str">
        <f>_xlfn.XLOOKUP(CoffeeOrderstable[[#This Row],[Customer ID]],customers!$A$1:$A$1001,customers!$I$1:$I$1001,,0)</f>
        <v>Yes</v>
      </c>
    </row>
    <row r="777" spans="1:16" x14ac:dyDescent="0.3">
      <c r="A777" s="3" t="s">
        <v>4869</v>
      </c>
      <c r="B777" s="5">
        <v>44396</v>
      </c>
      <c r="C777" s="3" t="s">
        <v>4870</v>
      </c>
      <c r="D777" s="4" t="s">
        <v>6176</v>
      </c>
      <c r="E777" s="3">
        <v>2</v>
      </c>
      <c r="F777" s="3" t="str">
        <f>_xlfn.XLOOKUP(C777,customers!$A$1:$A$1001,customers!$B$1:$B$1001,,0)</f>
        <v>Rhetta Elnaugh</v>
      </c>
      <c r="G777" s="3" t="str">
        <f>IF(_xlfn.XLOOKUP(C777,customers!$A$1:$A$1001,customers!$C$1:$C$1001,,0)=0,"", _xlfn.XLOOKUP(C777,customers!$A$1:$A$1001,customers!$C$1:$C$1001,,0))</f>
        <v>relnaughlj@comsenz.com</v>
      </c>
      <c r="H777" s="3" t="str">
        <f>_xlfn.XLOOKUP(C777,customers!$A$1:$A$1001,customers!$G$1:$G$1001,,0)</f>
        <v>United States</v>
      </c>
      <c r="I777" s="4" t="str">
        <f>INDEX(products!$A$1:$G$49,MATCH(orders!$D777,products!$A$1:$A$49,0),MATCH(orders!I$1,products!$A$1:$G$1,0))</f>
        <v>Exc</v>
      </c>
      <c r="J777" s="4" t="str">
        <f>INDEX(products!$A$1:$G$49,MATCH(orders!$D777,products!$A$1:$A$49,0),MATCH(orders!J$1,products!$A$1:$G$1,0))</f>
        <v>L</v>
      </c>
      <c r="K777" s="6">
        <f>INDEX(products!$A$1:$G$49,MATCH(orders!$D777,products!$A$1:$A$49,0),MATCH(orders!K$1,products!$A$1:$G$1,0))</f>
        <v>0.5</v>
      </c>
      <c r="L777" s="7">
        <f>INDEX(products!$A$1:$G$49,MATCH(orders!$D777,products!$A$1:$A$49,0),MATCH(orders!L$1,products!$A$1:$G$1,0))</f>
        <v>8.91</v>
      </c>
      <c r="M777" s="7">
        <f t="shared" si="12"/>
        <v>17.82</v>
      </c>
      <c r="N777" s="4" t="str" cm="1">
        <f t="array" ref="N777">_xlfn.IFS(I777="Rob","Robusta",I777="Exc","Excelsa",I777="Ara","Arabica",I777="Lib","Liberica")</f>
        <v>Excelsa</v>
      </c>
      <c r="O777" s="4" t="str" cm="1">
        <f t="array" ref="O777">_xlfn.IFS(J777="M","Medium",J777="L","Light",J777="D","Dark")</f>
        <v>Light</v>
      </c>
      <c r="P777" s="4" t="str">
        <f>_xlfn.XLOOKUP(CoffeeOrderstable[[#This Row],[Customer ID]],customers!$A$1:$A$1001,customers!$I$1:$I$1001,,0)</f>
        <v>Yes</v>
      </c>
    </row>
    <row r="778" spans="1:16" x14ac:dyDescent="0.3">
      <c r="A778" s="3" t="s">
        <v>4875</v>
      </c>
      <c r="B778" s="5">
        <v>44540</v>
      </c>
      <c r="C778" s="3" t="s">
        <v>4876</v>
      </c>
      <c r="D778" s="4" t="s">
        <v>6157</v>
      </c>
      <c r="E778" s="3">
        <v>3</v>
      </c>
      <c r="F778" s="3" t="str">
        <f>_xlfn.XLOOKUP(C778,customers!$A$1:$A$1001,customers!$B$1:$B$1001,,0)</f>
        <v>Jule Deehan</v>
      </c>
      <c r="G778" s="3" t="str">
        <f>IF(_xlfn.XLOOKUP(C778,customers!$A$1:$A$1001,customers!$C$1:$C$1001,,0)=0,"", _xlfn.XLOOKUP(C778,customers!$A$1:$A$1001,customers!$C$1:$C$1001,,0))</f>
        <v>jdeehanlk@about.me</v>
      </c>
      <c r="H778" s="3" t="str">
        <f>_xlfn.XLOOKUP(C778,customers!$A$1:$A$1001,customers!$G$1:$G$1001,,0)</f>
        <v>United States</v>
      </c>
      <c r="I778" s="4" t="str">
        <f>INDEX(products!$A$1:$G$49,MATCH(orders!$D778,products!$A$1:$A$49,0),MATCH(orders!I$1,products!$A$1:$G$1,0))</f>
        <v>Ara</v>
      </c>
      <c r="J778" s="4" t="str">
        <f>INDEX(products!$A$1:$G$49,MATCH(orders!$D778,products!$A$1:$A$49,0),MATCH(orders!J$1,products!$A$1:$G$1,0))</f>
        <v>M</v>
      </c>
      <c r="K778" s="6">
        <f>INDEX(products!$A$1:$G$49,MATCH(orders!$D778,products!$A$1:$A$49,0),MATCH(orders!K$1,products!$A$1:$G$1,0))</f>
        <v>0.5</v>
      </c>
      <c r="L778" s="7">
        <f>INDEX(products!$A$1:$G$49,MATCH(orders!$D778,products!$A$1:$A$49,0),MATCH(orders!L$1,products!$A$1:$G$1,0))</f>
        <v>6.75</v>
      </c>
      <c r="M778" s="7">
        <f t="shared" si="12"/>
        <v>20.25</v>
      </c>
      <c r="N778" s="4" t="str" cm="1">
        <f t="array" ref="N778">_xlfn.IFS(I778="Rob","Robusta",I778="Exc","Excelsa",I778="Ara","Arabica",I778="Lib","Liberica")</f>
        <v>Arabica</v>
      </c>
      <c r="O778" s="4" t="str" cm="1">
        <f t="array" ref="O778">_xlfn.IFS(J778="M","Medium",J778="L","Light",J778="D","Dark")</f>
        <v>Medium</v>
      </c>
      <c r="P778" s="4" t="str">
        <f>_xlfn.XLOOKUP(CoffeeOrderstable[[#This Row],[Customer ID]],customers!$A$1:$A$1001,customers!$I$1:$I$1001,,0)</f>
        <v>No</v>
      </c>
    </row>
    <row r="779" spans="1:16" x14ac:dyDescent="0.3">
      <c r="A779" s="3" t="s">
        <v>4881</v>
      </c>
      <c r="B779" s="5">
        <v>43541</v>
      </c>
      <c r="C779" s="3" t="s">
        <v>4882</v>
      </c>
      <c r="D779" s="4" t="s">
        <v>6182</v>
      </c>
      <c r="E779" s="3">
        <v>2</v>
      </c>
      <c r="F779" s="3" t="str">
        <f>_xlfn.XLOOKUP(C779,customers!$A$1:$A$1001,customers!$B$1:$B$1001,,0)</f>
        <v>Janella Eden</v>
      </c>
      <c r="G779" s="3" t="str">
        <f>IF(_xlfn.XLOOKUP(C779,customers!$A$1:$A$1001,customers!$C$1:$C$1001,,0)=0,"", _xlfn.XLOOKUP(C779,customers!$A$1:$A$1001,customers!$C$1:$C$1001,,0))</f>
        <v>jedenll@e-recht24.de</v>
      </c>
      <c r="H779" s="3" t="str">
        <f>_xlfn.XLOOKUP(C779,customers!$A$1:$A$1001,customers!$G$1:$G$1001,,0)</f>
        <v>United States</v>
      </c>
      <c r="I779" s="4" t="str">
        <f>INDEX(products!$A$1:$G$49,MATCH(orders!$D779,products!$A$1:$A$49,0),MATCH(orders!I$1,products!$A$1:$G$1,0))</f>
        <v>Ara</v>
      </c>
      <c r="J779" s="4" t="str">
        <f>INDEX(products!$A$1:$G$49,MATCH(orders!$D779,products!$A$1:$A$49,0),MATCH(orders!J$1,products!$A$1:$G$1,0))</f>
        <v>L</v>
      </c>
      <c r="K779" s="6">
        <f>INDEX(products!$A$1:$G$49,MATCH(orders!$D779,products!$A$1:$A$49,0),MATCH(orders!K$1,products!$A$1:$G$1,0))</f>
        <v>2.5</v>
      </c>
      <c r="L779" s="7">
        <f>INDEX(products!$A$1:$G$49,MATCH(orders!$D779,products!$A$1:$A$49,0),MATCH(orders!L$1,products!$A$1:$G$1,0))</f>
        <v>29.784999999999997</v>
      </c>
      <c r="M779" s="7">
        <f t="shared" si="12"/>
        <v>59.569999999999993</v>
      </c>
      <c r="N779" s="4" t="str" cm="1">
        <f t="array" ref="N779">_xlfn.IFS(I779="Rob","Robusta",I779="Exc","Excelsa",I779="Ara","Arabica",I779="Lib","Liberica")</f>
        <v>Arabica</v>
      </c>
      <c r="O779" s="4" t="str" cm="1">
        <f t="array" ref="O779">_xlfn.IFS(J779="M","Medium",J779="L","Light",J779="D","Dark")</f>
        <v>Light</v>
      </c>
      <c r="P779" s="4" t="str">
        <f>_xlfn.XLOOKUP(CoffeeOrderstable[[#This Row],[Customer ID]],customers!$A$1:$A$1001,customers!$I$1:$I$1001,,0)</f>
        <v>No</v>
      </c>
    </row>
    <row r="780" spans="1:16" x14ac:dyDescent="0.3">
      <c r="A780" s="3" t="s">
        <v>4886</v>
      </c>
      <c r="B780" s="5">
        <v>43889</v>
      </c>
      <c r="C780" s="3" t="s">
        <v>4933</v>
      </c>
      <c r="D780" s="4" t="s">
        <v>6161</v>
      </c>
      <c r="E780" s="3">
        <v>2</v>
      </c>
      <c r="F780" s="3" t="str">
        <f>_xlfn.XLOOKUP(C780,customers!$A$1:$A$1001,customers!$B$1:$B$1001,,0)</f>
        <v>Cam Jewster</v>
      </c>
      <c r="G780" s="3" t="str">
        <f>IF(_xlfn.XLOOKUP(C780,customers!$A$1:$A$1001,customers!$C$1:$C$1001,,0)=0,"", _xlfn.XLOOKUP(C780,customers!$A$1:$A$1001,customers!$C$1:$C$1001,,0))</f>
        <v>cjewsterlu@moonfruit.com</v>
      </c>
      <c r="H780" s="3" t="str">
        <f>_xlfn.XLOOKUP(C780,customers!$A$1:$A$1001,customers!$G$1:$G$1001,,0)</f>
        <v>United States</v>
      </c>
      <c r="I780" s="4" t="str">
        <f>INDEX(products!$A$1:$G$49,MATCH(orders!$D780,products!$A$1:$A$49,0),MATCH(orders!I$1,products!$A$1:$G$1,0))</f>
        <v>Lib</v>
      </c>
      <c r="J780" s="4" t="str">
        <f>INDEX(products!$A$1:$G$49,MATCH(orders!$D780,products!$A$1:$A$49,0),MATCH(orders!J$1,products!$A$1:$G$1,0))</f>
        <v>L</v>
      </c>
      <c r="K780" s="6">
        <f>INDEX(products!$A$1:$G$49,MATCH(orders!$D780,products!$A$1:$A$49,0),MATCH(orders!K$1,products!$A$1:$G$1,0))</f>
        <v>0.5</v>
      </c>
      <c r="L780" s="7">
        <f>INDEX(products!$A$1:$G$49,MATCH(orders!$D780,products!$A$1:$A$49,0),MATCH(orders!L$1,products!$A$1:$G$1,0))</f>
        <v>9.51</v>
      </c>
      <c r="M780" s="7">
        <f t="shared" si="12"/>
        <v>19.02</v>
      </c>
      <c r="N780" s="4" t="str" cm="1">
        <f t="array" ref="N780">_xlfn.IFS(I780="Rob","Robusta",I780="Exc","Excelsa",I780="Ara","Arabica",I780="Lib","Liberica")</f>
        <v>Liberica</v>
      </c>
      <c r="O780" s="4" t="str" cm="1">
        <f t="array" ref="O780">_xlfn.IFS(J780="M","Medium",J780="L","Light",J780="D","Dark")</f>
        <v>Light</v>
      </c>
      <c r="P780" s="4" t="str">
        <f>_xlfn.XLOOKUP(CoffeeOrderstable[[#This Row],[Customer ID]],customers!$A$1:$A$1001,customers!$I$1:$I$1001,,0)</f>
        <v>Yes</v>
      </c>
    </row>
    <row r="781" spans="1:16" x14ac:dyDescent="0.3">
      <c r="A781" s="3" t="s">
        <v>4892</v>
      </c>
      <c r="B781" s="5">
        <v>43985</v>
      </c>
      <c r="C781" s="3" t="s">
        <v>4893</v>
      </c>
      <c r="D781" s="4" t="s">
        <v>6143</v>
      </c>
      <c r="E781" s="3">
        <v>6</v>
      </c>
      <c r="F781" s="3" t="str">
        <f>_xlfn.XLOOKUP(C781,customers!$A$1:$A$1001,customers!$B$1:$B$1001,,0)</f>
        <v>Ugo Southerden</v>
      </c>
      <c r="G781" s="3" t="str">
        <f>IF(_xlfn.XLOOKUP(C781,customers!$A$1:$A$1001,customers!$C$1:$C$1001,,0)=0,"", _xlfn.XLOOKUP(C781,customers!$A$1:$A$1001,customers!$C$1:$C$1001,,0))</f>
        <v>usoutherdenln@hao123.com</v>
      </c>
      <c r="H781" s="3" t="str">
        <f>_xlfn.XLOOKUP(C781,customers!$A$1:$A$1001,customers!$G$1:$G$1001,,0)</f>
        <v>United States</v>
      </c>
      <c r="I781" s="4" t="str">
        <f>INDEX(products!$A$1:$G$49,MATCH(orders!$D781,products!$A$1:$A$49,0),MATCH(orders!I$1,products!$A$1:$G$1,0))</f>
        <v>Lib</v>
      </c>
      <c r="J781" s="4" t="str">
        <f>INDEX(products!$A$1:$G$49,MATCH(orders!$D781,products!$A$1:$A$49,0),MATCH(orders!J$1,products!$A$1:$G$1,0))</f>
        <v>D</v>
      </c>
      <c r="K781" s="6">
        <f>INDEX(products!$A$1:$G$49,MATCH(orders!$D781,products!$A$1:$A$49,0),MATCH(orders!K$1,products!$A$1:$G$1,0))</f>
        <v>1</v>
      </c>
      <c r="L781" s="7">
        <f>INDEX(products!$A$1:$G$49,MATCH(orders!$D781,products!$A$1:$A$49,0),MATCH(orders!L$1,products!$A$1:$G$1,0))</f>
        <v>12.95</v>
      </c>
      <c r="M781" s="7">
        <f t="shared" si="12"/>
        <v>77.699999999999989</v>
      </c>
      <c r="N781" s="4" t="str" cm="1">
        <f t="array" ref="N781">_xlfn.IFS(I781="Rob","Robusta",I781="Exc","Excelsa",I781="Ara","Arabica",I781="Lib","Liberica")</f>
        <v>Liberica</v>
      </c>
      <c r="O781" s="4" t="str" cm="1">
        <f t="array" ref="O781">_xlfn.IFS(J781="M","Medium",J781="L","Light",J781="D","Dark")</f>
        <v>Dark</v>
      </c>
      <c r="P781" s="4" t="str">
        <f>_xlfn.XLOOKUP(CoffeeOrderstable[[#This Row],[Customer ID]],customers!$A$1:$A$1001,customers!$I$1:$I$1001,,0)</f>
        <v>Yes</v>
      </c>
    </row>
    <row r="782" spans="1:16" x14ac:dyDescent="0.3">
      <c r="A782" s="3" t="s">
        <v>4898</v>
      </c>
      <c r="B782" s="5">
        <v>43883</v>
      </c>
      <c r="C782" s="3" t="s">
        <v>4899</v>
      </c>
      <c r="D782" s="4" t="s">
        <v>6141</v>
      </c>
      <c r="E782" s="3">
        <v>3</v>
      </c>
      <c r="F782" s="3" t="str">
        <f>_xlfn.XLOOKUP(C782,customers!$A$1:$A$1001,customers!$B$1:$B$1001,,0)</f>
        <v>Verne Dunkerley</v>
      </c>
      <c r="G782" s="3" t="str">
        <f>IF(_xlfn.XLOOKUP(C782,customers!$A$1:$A$1001,customers!$C$1:$C$1001,,0)=0,"", _xlfn.XLOOKUP(C782,customers!$A$1:$A$1001,customers!$C$1:$C$1001,,0))</f>
        <v/>
      </c>
      <c r="H782" s="3" t="str">
        <f>_xlfn.XLOOKUP(C782,customers!$A$1:$A$1001,customers!$G$1:$G$1001,,0)</f>
        <v>United States</v>
      </c>
      <c r="I782" s="4" t="str">
        <f>INDEX(products!$A$1:$G$49,MATCH(orders!$D782,products!$A$1:$A$49,0),MATCH(orders!I$1,products!$A$1:$G$1,0))</f>
        <v>Exc</v>
      </c>
      <c r="J782" s="4" t="str">
        <f>INDEX(products!$A$1:$G$49,MATCH(orders!$D782,products!$A$1:$A$49,0),MATCH(orders!J$1,products!$A$1:$G$1,0))</f>
        <v>M</v>
      </c>
      <c r="K782" s="6">
        <f>INDEX(products!$A$1:$G$49,MATCH(orders!$D782,products!$A$1:$A$49,0),MATCH(orders!K$1,products!$A$1:$G$1,0))</f>
        <v>1</v>
      </c>
      <c r="L782" s="7">
        <f>INDEX(products!$A$1:$G$49,MATCH(orders!$D782,products!$A$1:$A$49,0),MATCH(orders!L$1,products!$A$1:$G$1,0))</f>
        <v>13.75</v>
      </c>
      <c r="M782" s="7">
        <f t="shared" si="12"/>
        <v>41.25</v>
      </c>
      <c r="N782" s="4" t="str" cm="1">
        <f t="array" ref="N782">_xlfn.IFS(I782="Rob","Robusta",I782="Exc","Excelsa",I782="Ara","Arabica",I782="Lib","Liberica")</f>
        <v>Excelsa</v>
      </c>
      <c r="O782" s="4" t="str" cm="1">
        <f t="array" ref="O782">_xlfn.IFS(J782="M","Medium",J782="L","Light",J782="D","Dark")</f>
        <v>Medium</v>
      </c>
      <c r="P782" s="4" t="str">
        <f>_xlfn.XLOOKUP(CoffeeOrderstable[[#This Row],[Customer ID]],customers!$A$1:$A$1001,customers!$I$1:$I$1001,,0)</f>
        <v>No</v>
      </c>
    </row>
    <row r="783" spans="1:16" x14ac:dyDescent="0.3">
      <c r="A783" s="3" t="s">
        <v>4903</v>
      </c>
      <c r="B783" s="5">
        <v>43778</v>
      </c>
      <c r="C783" s="3" t="s">
        <v>4904</v>
      </c>
      <c r="D783" s="4" t="s">
        <v>6164</v>
      </c>
      <c r="E783" s="3">
        <v>4</v>
      </c>
      <c r="F783" s="3" t="str">
        <f>_xlfn.XLOOKUP(C783,customers!$A$1:$A$1001,customers!$B$1:$B$1001,,0)</f>
        <v>Lacee Burtenshaw</v>
      </c>
      <c r="G783" s="3" t="str">
        <f>IF(_xlfn.XLOOKUP(C783,customers!$A$1:$A$1001,customers!$C$1:$C$1001,,0)=0,"", _xlfn.XLOOKUP(C783,customers!$A$1:$A$1001,customers!$C$1:$C$1001,,0))</f>
        <v>lburtenshawlp@shinystat.com</v>
      </c>
      <c r="H783" s="3" t="str">
        <f>_xlfn.XLOOKUP(C783,customers!$A$1:$A$1001,customers!$G$1:$G$1001,,0)</f>
        <v>United States</v>
      </c>
      <c r="I783" s="4" t="str">
        <f>INDEX(products!$A$1:$G$49,MATCH(orders!$D783,products!$A$1:$A$49,0),MATCH(orders!I$1,products!$A$1:$G$1,0))</f>
        <v>Lib</v>
      </c>
      <c r="J783" s="4" t="str">
        <f>INDEX(products!$A$1:$G$49,MATCH(orders!$D783,products!$A$1:$A$49,0),MATCH(orders!J$1,products!$A$1:$G$1,0))</f>
        <v>L</v>
      </c>
      <c r="K783" s="6">
        <f>INDEX(products!$A$1:$G$49,MATCH(orders!$D783,products!$A$1:$A$49,0),MATCH(orders!K$1,products!$A$1:$G$1,0))</f>
        <v>2.5</v>
      </c>
      <c r="L783" s="7">
        <f>INDEX(products!$A$1:$G$49,MATCH(orders!$D783,products!$A$1:$A$49,0),MATCH(orders!L$1,products!$A$1:$G$1,0))</f>
        <v>36.454999999999998</v>
      </c>
      <c r="M783" s="7">
        <f t="shared" si="12"/>
        <v>145.82</v>
      </c>
      <c r="N783" s="4" t="str" cm="1">
        <f t="array" ref="N783">_xlfn.IFS(I783="Rob","Robusta",I783="Exc","Excelsa",I783="Ara","Arabica",I783="Lib","Liberica")</f>
        <v>Liberica</v>
      </c>
      <c r="O783" s="4" t="str" cm="1">
        <f t="array" ref="O783">_xlfn.IFS(J783="M","Medium",J783="L","Light",J783="D","Dark")</f>
        <v>Light</v>
      </c>
      <c r="P783" s="4" t="str">
        <f>_xlfn.XLOOKUP(CoffeeOrderstable[[#This Row],[Customer ID]],customers!$A$1:$A$1001,customers!$I$1:$I$1001,,0)</f>
        <v>No</v>
      </c>
    </row>
    <row r="784" spans="1:16" x14ac:dyDescent="0.3">
      <c r="A784" s="3" t="s">
        <v>4909</v>
      </c>
      <c r="B784" s="5">
        <v>43897</v>
      </c>
      <c r="C784" s="3" t="s">
        <v>4910</v>
      </c>
      <c r="D784" s="4" t="s">
        <v>6184</v>
      </c>
      <c r="E784" s="3">
        <v>6</v>
      </c>
      <c r="F784" s="3" t="str">
        <f>_xlfn.XLOOKUP(C784,customers!$A$1:$A$1001,customers!$B$1:$B$1001,,0)</f>
        <v>Adorne Gregoratti</v>
      </c>
      <c r="G784" s="3" t="str">
        <f>IF(_xlfn.XLOOKUP(C784,customers!$A$1:$A$1001,customers!$C$1:$C$1001,,0)=0,"", _xlfn.XLOOKUP(C784,customers!$A$1:$A$1001,customers!$C$1:$C$1001,,0))</f>
        <v>agregorattilq@vistaprint.com</v>
      </c>
      <c r="H784" s="3" t="str">
        <f>_xlfn.XLOOKUP(C784,customers!$A$1:$A$1001,customers!$G$1:$G$1001,,0)</f>
        <v>Ireland</v>
      </c>
      <c r="I784" s="4" t="str">
        <f>INDEX(products!$A$1:$G$49,MATCH(orders!$D784,products!$A$1:$A$49,0),MATCH(orders!I$1,products!$A$1:$G$1,0))</f>
        <v>Exc</v>
      </c>
      <c r="J784" s="4" t="str">
        <f>INDEX(products!$A$1:$G$49,MATCH(orders!$D784,products!$A$1:$A$49,0),MATCH(orders!J$1,products!$A$1:$G$1,0))</f>
        <v>L</v>
      </c>
      <c r="K784" s="6">
        <f>INDEX(products!$A$1:$G$49,MATCH(orders!$D784,products!$A$1:$A$49,0),MATCH(orders!K$1,products!$A$1:$G$1,0))</f>
        <v>0.2</v>
      </c>
      <c r="L784" s="7">
        <f>INDEX(products!$A$1:$G$49,MATCH(orders!$D784,products!$A$1:$A$49,0),MATCH(orders!L$1,products!$A$1:$G$1,0))</f>
        <v>4.4550000000000001</v>
      </c>
      <c r="M784" s="7">
        <f t="shared" si="12"/>
        <v>26.73</v>
      </c>
      <c r="N784" s="4" t="str" cm="1">
        <f t="array" ref="N784">_xlfn.IFS(I784="Rob","Robusta",I784="Exc","Excelsa",I784="Ara","Arabica",I784="Lib","Liberica")</f>
        <v>Excelsa</v>
      </c>
      <c r="O784" s="4" t="str" cm="1">
        <f t="array" ref="O784">_xlfn.IFS(J784="M","Medium",J784="L","Light",J784="D","Dark")</f>
        <v>Light</v>
      </c>
      <c r="P784" s="4" t="str">
        <f>_xlfn.XLOOKUP(CoffeeOrderstable[[#This Row],[Customer ID]],customers!$A$1:$A$1001,customers!$I$1:$I$1001,,0)</f>
        <v>No</v>
      </c>
    </row>
    <row r="785" spans="1:16" x14ac:dyDescent="0.3">
      <c r="A785" s="3" t="s">
        <v>4915</v>
      </c>
      <c r="B785" s="5">
        <v>44312</v>
      </c>
      <c r="C785" s="3" t="s">
        <v>4916</v>
      </c>
      <c r="D785" s="4" t="s">
        <v>6160</v>
      </c>
      <c r="E785" s="3">
        <v>5</v>
      </c>
      <c r="F785" s="3" t="str">
        <f>_xlfn.XLOOKUP(C785,customers!$A$1:$A$1001,customers!$B$1:$B$1001,,0)</f>
        <v>Chris Croster</v>
      </c>
      <c r="G785" s="3" t="str">
        <f>IF(_xlfn.XLOOKUP(C785,customers!$A$1:$A$1001,customers!$C$1:$C$1001,,0)=0,"", _xlfn.XLOOKUP(C785,customers!$A$1:$A$1001,customers!$C$1:$C$1001,,0))</f>
        <v>ccrosterlr@gov.uk</v>
      </c>
      <c r="H785" s="3" t="str">
        <f>_xlfn.XLOOKUP(C785,customers!$A$1:$A$1001,customers!$G$1:$G$1001,,0)</f>
        <v>United States</v>
      </c>
      <c r="I785" s="4" t="str">
        <f>INDEX(products!$A$1:$G$49,MATCH(orders!$D785,products!$A$1:$A$49,0),MATCH(orders!I$1,products!$A$1:$G$1,0))</f>
        <v>Lib</v>
      </c>
      <c r="J785" s="4" t="str">
        <f>INDEX(products!$A$1:$G$49,MATCH(orders!$D785,products!$A$1:$A$49,0),MATCH(orders!J$1,products!$A$1:$G$1,0))</f>
        <v>M</v>
      </c>
      <c r="K785" s="6">
        <f>INDEX(products!$A$1:$G$49,MATCH(orders!$D785,products!$A$1:$A$49,0),MATCH(orders!K$1,products!$A$1:$G$1,0))</f>
        <v>0.5</v>
      </c>
      <c r="L785" s="7">
        <f>INDEX(products!$A$1:$G$49,MATCH(orders!$D785,products!$A$1:$A$49,0),MATCH(orders!L$1,products!$A$1:$G$1,0))</f>
        <v>8.73</v>
      </c>
      <c r="M785" s="7">
        <f t="shared" si="12"/>
        <v>43.650000000000006</v>
      </c>
      <c r="N785" s="4" t="str" cm="1">
        <f t="array" ref="N785">_xlfn.IFS(I785="Rob","Robusta",I785="Exc","Excelsa",I785="Ara","Arabica",I785="Lib","Liberica")</f>
        <v>Liberica</v>
      </c>
      <c r="O785" s="4" t="str" cm="1">
        <f t="array" ref="O785">_xlfn.IFS(J785="M","Medium",J785="L","Light",J785="D","Dark")</f>
        <v>Medium</v>
      </c>
      <c r="P785" s="4" t="str">
        <f>_xlfn.XLOOKUP(CoffeeOrderstable[[#This Row],[Customer ID]],customers!$A$1:$A$1001,customers!$I$1:$I$1001,,0)</f>
        <v>Yes</v>
      </c>
    </row>
    <row r="786" spans="1:16" x14ac:dyDescent="0.3">
      <c r="A786" s="3" t="s">
        <v>4921</v>
      </c>
      <c r="B786" s="5">
        <v>44511</v>
      </c>
      <c r="C786" s="3" t="s">
        <v>4922</v>
      </c>
      <c r="D786" s="4" t="s">
        <v>6170</v>
      </c>
      <c r="E786" s="3">
        <v>2</v>
      </c>
      <c r="F786" s="3" t="str">
        <f>_xlfn.XLOOKUP(C786,customers!$A$1:$A$1001,customers!$B$1:$B$1001,,0)</f>
        <v>Graeme Whitehead</v>
      </c>
      <c r="G786" s="3" t="str">
        <f>IF(_xlfn.XLOOKUP(C786,customers!$A$1:$A$1001,customers!$C$1:$C$1001,,0)=0,"", _xlfn.XLOOKUP(C786,customers!$A$1:$A$1001,customers!$C$1:$C$1001,,0))</f>
        <v>gwhiteheadls@hp.com</v>
      </c>
      <c r="H786" s="3" t="str">
        <f>_xlfn.XLOOKUP(C786,customers!$A$1:$A$1001,customers!$G$1:$G$1001,,0)</f>
        <v>United States</v>
      </c>
      <c r="I786" s="4" t="str">
        <f>INDEX(products!$A$1:$G$49,MATCH(orders!$D786,products!$A$1:$A$49,0),MATCH(orders!I$1,products!$A$1:$G$1,0))</f>
        <v>Lib</v>
      </c>
      <c r="J786" s="4" t="str">
        <f>INDEX(products!$A$1:$G$49,MATCH(orders!$D786,products!$A$1:$A$49,0),MATCH(orders!J$1,products!$A$1:$G$1,0))</f>
        <v>L</v>
      </c>
      <c r="K786" s="6">
        <f>INDEX(products!$A$1:$G$49,MATCH(orders!$D786,products!$A$1:$A$49,0),MATCH(orders!K$1,products!$A$1:$G$1,0))</f>
        <v>1</v>
      </c>
      <c r="L786" s="7">
        <f>INDEX(products!$A$1:$G$49,MATCH(orders!$D786,products!$A$1:$A$49,0),MATCH(orders!L$1,products!$A$1:$G$1,0))</f>
        <v>15.85</v>
      </c>
      <c r="M786" s="7">
        <f t="shared" si="12"/>
        <v>31.7</v>
      </c>
      <c r="N786" s="4" t="str" cm="1">
        <f t="array" ref="N786">_xlfn.IFS(I786="Rob","Robusta",I786="Exc","Excelsa",I786="Ara","Arabica",I786="Lib","Liberica")</f>
        <v>Liberica</v>
      </c>
      <c r="O786" s="4" t="str" cm="1">
        <f t="array" ref="O786">_xlfn.IFS(J786="M","Medium",J786="L","Light",J786="D","Dark")</f>
        <v>Light</v>
      </c>
      <c r="P786" s="4" t="str">
        <f>_xlfn.XLOOKUP(CoffeeOrderstable[[#This Row],[Customer ID]],customers!$A$1:$A$1001,customers!$I$1:$I$1001,,0)</f>
        <v>No</v>
      </c>
    </row>
    <row r="787" spans="1:16" x14ac:dyDescent="0.3">
      <c r="A787" s="3" t="s">
        <v>4926</v>
      </c>
      <c r="B787" s="5">
        <v>44362</v>
      </c>
      <c r="C787" s="3" t="s">
        <v>4927</v>
      </c>
      <c r="D787" s="4" t="s">
        <v>6168</v>
      </c>
      <c r="E787" s="3">
        <v>1</v>
      </c>
      <c r="F787" s="3" t="str">
        <f>_xlfn.XLOOKUP(C787,customers!$A$1:$A$1001,customers!$B$1:$B$1001,,0)</f>
        <v>Haslett Jodrelle</v>
      </c>
      <c r="G787" s="3" t="str">
        <f>IF(_xlfn.XLOOKUP(C787,customers!$A$1:$A$1001,customers!$C$1:$C$1001,,0)=0,"", _xlfn.XLOOKUP(C787,customers!$A$1:$A$1001,customers!$C$1:$C$1001,,0))</f>
        <v>hjodrellelt@samsung.com</v>
      </c>
      <c r="H787" s="3" t="str">
        <f>_xlfn.XLOOKUP(C787,customers!$A$1:$A$1001,customers!$G$1:$G$1001,,0)</f>
        <v>United States</v>
      </c>
      <c r="I787" s="4" t="str">
        <f>INDEX(products!$A$1:$G$49,MATCH(orders!$D787,products!$A$1:$A$49,0),MATCH(orders!I$1,products!$A$1:$G$1,0))</f>
        <v>Ara</v>
      </c>
      <c r="J787" s="4" t="str">
        <f>INDEX(products!$A$1:$G$49,MATCH(orders!$D787,products!$A$1:$A$49,0),MATCH(orders!J$1,products!$A$1:$G$1,0))</f>
        <v>D</v>
      </c>
      <c r="K787" s="6">
        <f>INDEX(products!$A$1:$G$49,MATCH(orders!$D787,products!$A$1:$A$49,0),MATCH(orders!K$1,products!$A$1:$G$1,0))</f>
        <v>2.5</v>
      </c>
      <c r="L787" s="7">
        <f>INDEX(products!$A$1:$G$49,MATCH(orders!$D787,products!$A$1:$A$49,0),MATCH(orders!L$1,products!$A$1:$G$1,0))</f>
        <v>22.884999999999998</v>
      </c>
      <c r="M787" s="7">
        <f t="shared" si="12"/>
        <v>22.884999999999998</v>
      </c>
      <c r="N787" s="4" t="str" cm="1">
        <f t="array" ref="N787">_xlfn.IFS(I787="Rob","Robusta",I787="Exc","Excelsa",I787="Ara","Arabica",I787="Lib","Liberica")</f>
        <v>Arabica</v>
      </c>
      <c r="O787" s="4" t="str" cm="1">
        <f t="array" ref="O787">_xlfn.IFS(J787="M","Medium",J787="L","Light",J787="D","Dark")</f>
        <v>Dark</v>
      </c>
      <c r="P787" s="4" t="str">
        <f>_xlfn.XLOOKUP(CoffeeOrderstable[[#This Row],[Customer ID]],customers!$A$1:$A$1001,customers!$I$1:$I$1001,,0)</f>
        <v>No</v>
      </c>
    </row>
    <row r="788" spans="1:16" x14ac:dyDescent="0.3">
      <c r="A788" s="3" t="s">
        <v>4932</v>
      </c>
      <c r="B788" s="5">
        <v>43888</v>
      </c>
      <c r="C788" s="3" t="s">
        <v>4933</v>
      </c>
      <c r="D788" s="4" t="s">
        <v>6185</v>
      </c>
      <c r="E788" s="3">
        <v>1</v>
      </c>
      <c r="F788" s="3" t="str">
        <f>_xlfn.XLOOKUP(C788,customers!$A$1:$A$1001,customers!$B$1:$B$1001,,0)</f>
        <v>Cam Jewster</v>
      </c>
      <c r="G788" s="3" t="str">
        <f>IF(_xlfn.XLOOKUP(C788,customers!$A$1:$A$1001,customers!$C$1:$C$1001,,0)=0,"", _xlfn.XLOOKUP(C788,customers!$A$1:$A$1001,customers!$C$1:$C$1001,,0))</f>
        <v>cjewsterlu@moonfruit.com</v>
      </c>
      <c r="H788" s="3" t="str">
        <f>_xlfn.XLOOKUP(C788,customers!$A$1:$A$1001,customers!$G$1:$G$1001,,0)</f>
        <v>United States</v>
      </c>
      <c r="I788" s="4" t="str">
        <f>INDEX(products!$A$1:$G$49,MATCH(orders!$D788,products!$A$1:$A$49,0),MATCH(orders!I$1,products!$A$1:$G$1,0))</f>
        <v>Exc</v>
      </c>
      <c r="J788" s="4" t="str">
        <f>INDEX(products!$A$1:$G$49,MATCH(orders!$D788,products!$A$1:$A$49,0),MATCH(orders!J$1,products!$A$1:$G$1,0))</f>
        <v>D</v>
      </c>
      <c r="K788" s="6">
        <f>INDEX(products!$A$1:$G$49,MATCH(orders!$D788,products!$A$1:$A$49,0),MATCH(orders!K$1,products!$A$1:$G$1,0))</f>
        <v>2.5</v>
      </c>
      <c r="L788" s="7">
        <f>INDEX(products!$A$1:$G$49,MATCH(orders!$D788,products!$A$1:$A$49,0),MATCH(orders!L$1,products!$A$1:$G$1,0))</f>
        <v>27.945</v>
      </c>
      <c r="M788" s="7">
        <f t="shared" si="12"/>
        <v>27.945</v>
      </c>
      <c r="N788" s="4" t="str" cm="1">
        <f t="array" ref="N788">_xlfn.IFS(I788="Rob","Robusta",I788="Exc","Excelsa",I788="Ara","Arabica",I788="Lib","Liberica")</f>
        <v>Excelsa</v>
      </c>
      <c r="O788" s="4" t="str" cm="1">
        <f t="array" ref="O788">_xlfn.IFS(J788="M","Medium",J788="L","Light",J788="D","Dark")</f>
        <v>Dark</v>
      </c>
      <c r="P788" s="4" t="str">
        <f>_xlfn.XLOOKUP(CoffeeOrderstable[[#This Row],[Customer ID]],customers!$A$1:$A$1001,customers!$I$1:$I$1001,,0)</f>
        <v>Yes</v>
      </c>
    </row>
    <row r="789" spans="1:16" x14ac:dyDescent="0.3">
      <c r="A789" s="3" t="s">
        <v>4938</v>
      </c>
      <c r="B789" s="5">
        <v>44305</v>
      </c>
      <c r="C789" s="3" t="s">
        <v>4939</v>
      </c>
      <c r="D789" s="4" t="s">
        <v>6141</v>
      </c>
      <c r="E789" s="3">
        <v>6</v>
      </c>
      <c r="F789" s="3" t="str">
        <f>_xlfn.XLOOKUP(C789,customers!$A$1:$A$1001,customers!$B$1:$B$1001,,0)</f>
        <v>Beryl Osborn</v>
      </c>
      <c r="G789" s="3" t="str">
        <f>IF(_xlfn.XLOOKUP(C789,customers!$A$1:$A$1001,customers!$C$1:$C$1001,,0)=0,"", _xlfn.XLOOKUP(C789,customers!$A$1:$A$1001,customers!$C$1:$C$1001,,0))</f>
        <v/>
      </c>
      <c r="H789" s="3" t="str">
        <f>_xlfn.XLOOKUP(C789,customers!$A$1:$A$1001,customers!$G$1:$G$1001,,0)</f>
        <v>United States</v>
      </c>
      <c r="I789" s="4" t="str">
        <f>INDEX(products!$A$1:$G$49,MATCH(orders!$D789,products!$A$1:$A$49,0),MATCH(orders!I$1,products!$A$1:$G$1,0))</f>
        <v>Exc</v>
      </c>
      <c r="J789" s="4" t="str">
        <f>INDEX(products!$A$1:$G$49,MATCH(orders!$D789,products!$A$1:$A$49,0),MATCH(orders!J$1,products!$A$1:$G$1,0))</f>
        <v>M</v>
      </c>
      <c r="K789" s="6">
        <f>INDEX(products!$A$1:$G$49,MATCH(orders!$D789,products!$A$1:$A$49,0),MATCH(orders!K$1,products!$A$1:$G$1,0))</f>
        <v>1</v>
      </c>
      <c r="L789" s="7">
        <f>INDEX(products!$A$1:$G$49,MATCH(orders!$D789,products!$A$1:$A$49,0),MATCH(orders!L$1,products!$A$1:$G$1,0))</f>
        <v>13.75</v>
      </c>
      <c r="M789" s="7">
        <f t="shared" si="12"/>
        <v>82.5</v>
      </c>
      <c r="N789" s="4" t="str" cm="1">
        <f t="array" ref="N789">_xlfn.IFS(I789="Rob","Robusta",I789="Exc","Excelsa",I789="Ara","Arabica",I789="Lib","Liberica")</f>
        <v>Excelsa</v>
      </c>
      <c r="O789" s="4" t="str" cm="1">
        <f t="array" ref="O789">_xlfn.IFS(J789="M","Medium",J789="L","Light",J789="D","Dark")</f>
        <v>Medium</v>
      </c>
      <c r="P789" s="4" t="str">
        <f>_xlfn.XLOOKUP(CoffeeOrderstable[[#This Row],[Customer ID]],customers!$A$1:$A$1001,customers!$I$1:$I$1001,,0)</f>
        <v>Yes</v>
      </c>
    </row>
    <row r="790" spans="1:16" x14ac:dyDescent="0.3">
      <c r="A790" s="3" t="s">
        <v>4943</v>
      </c>
      <c r="B790" s="5">
        <v>44771</v>
      </c>
      <c r="C790" s="3" t="s">
        <v>4944</v>
      </c>
      <c r="D790" s="4" t="s">
        <v>6151</v>
      </c>
      <c r="E790" s="3">
        <v>2</v>
      </c>
      <c r="F790" s="3" t="str">
        <f>_xlfn.XLOOKUP(C790,customers!$A$1:$A$1001,customers!$B$1:$B$1001,,0)</f>
        <v>Kaela Nottram</v>
      </c>
      <c r="G790" s="3" t="str">
        <f>IF(_xlfn.XLOOKUP(C790,customers!$A$1:$A$1001,customers!$C$1:$C$1001,,0)=0,"", _xlfn.XLOOKUP(C790,customers!$A$1:$A$1001,customers!$C$1:$C$1001,,0))</f>
        <v>knottramlw@odnoklassniki.ru</v>
      </c>
      <c r="H790" s="3" t="str">
        <f>_xlfn.XLOOKUP(C790,customers!$A$1:$A$1001,customers!$G$1:$G$1001,,0)</f>
        <v>Ireland</v>
      </c>
      <c r="I790" s="4" t="str">
        <f>INDEX(products!$A$1:$G$49,MATCH(orders!$D790,products!$A$1:$A$49,0),MATCH(orders!I$1,products!$A$1:$G$1,0))</f>
        <v>Rob</v>
      </c>
      <c r="J790" s="4" t="str">
        <f>INDEX(products!$A$1:$G$49,MATCH(orders!$D790,products!$A$1:$A$49,0),MATCH(orders!J$1,products!$A$1:$G$1,0))</f>
        <v>M</v>
      </c>
      <c r="K790" s="6">
        <f>INDEX(products!$A$1:$G$49,MATCH(orders!$D790,products!$A$1:$A$49,0),MATCH(orders!K$1,products!$A$1:$G$1,0))</f>
        <v>2.5</v>
      </c>
      <c r="L790" s="7">
        <f>INDEX(products!$A$1:$G$49,MATCH(orders!$D790,products!$A$1:$A$49,0),MATCH(orders!L$1,products!$A$1:$G$1,0))</f>
        <v>22.884999999999998</v>
      </c>
      <c r="M790" s="7">
        <f t="shared" si="12"/>
        <v>45.769999999999996</v>
      </c>
      <c r="N790" s="4" t="str" cm="1">
        <f t="array" ref="N790">_xlfn.IFS(I790="Rob","Robusta",I790="Exc","Excelsa",I790="Ara","Arabica",I790="Lib","Liberica")</f>
        <v>Robusta</v>
      </c>
      <c r="O790" s="4" t="str" cm="1">
        <f t="array" ref="O790">_xlfn.IFS(J790="M","Medium",J790="L","Light",J790="D","Dark")</f>
        <v>Medium</v>
      </c>
      <c r="P790" s="4" t="str">
        <f>_xlfn.XLOOKUP(CoffeeOrderstable[[#This Row],[Customer ID]],customers!$A$1:$A$1001,customers!$I$1:$I$1001,,0)</f>
        <v>Yes</v>
      </c>
    </row>
    <row r="791" spans="1:16" x14ac:dyDescent="0.3">
      <c r="A791" s="3" t="s">
        <v>4949</v>
      </c>
      <c r="B791" s="5">
        <v>43485</v>
      </c>
      <c r="C791" s="3" t="s">
        <v>4950</v>
      </c>
      <c r="D791" s="4" t="s">
        <v>6140</v>
      </c>
      <c r="E791" s="3">
        <v>6</v>
      </c>
      <c r="F791" s="3" t="str">
        <f>_xlfn.XLOOKUP(C791,customers!$A$1:$A$1001,customers!$B$1:$B$1001,,0)</f>
        <v>Nobe Buney</v>
      </c>
      <c r="G791" s="3" t="str">
        <f>IF(_xlfn.XLOOKUP(C791,customers!$A$1:$A$1001,customers!$C$1:$C$1001,,0)=0,"", _xlfn.XLOOKUP(C791,customers!$A$1:$A$1001,customers!$C$1:$C$1001,,0))</f>
        <v>nbuneylx@jugem.jp</v>
      </c>
      <c r="H791" s="3" t="str">
        <f>_xlfn.XLOOKUP(C791,customers!$A$1:$A$1001,customers!$G$1:$G$1001,,0)</f>
        <v>United States</v>
      </c>
      <c r="I791" s="4" t="str">
        <f>INDEX(products!$A$1:$G$49,MATCH(orders!$D791,products!$A$1:$A$49,0),MATCH(orders!I$1,products!$A$1:$G$1,0))</f>
        <v>Ara</v>
      </c>
      <c r="J791" s="4" t="str">
        <f>INDEX(products!$A$1:$G$49,MATCH(orders!$D791,products!$A$1:$A$49,0),MATCH(orders!J$1,products!$A$1:$G$1,0))</f>
        <v>L</v>
      </c>
      <c r="K791" s="6">
        <f>INDEX(products!$A$1:$G$49,MATCH(orders!$D791,products!$A$1:$A$49,0),MATCH(orders!K$1,products!$A$1:$G$1,0))</f>
        <v>1</v>
      </c>
      <c r="L791" s="7">
        <f>INDEX(products!$A$1:$G$49,MATCH(orders!$D791,products!$A$1:$A$49,0),MATCH(orders!L$1,products!$A$1:$G$1,0))</f>
        <v>12.95</v>
      </c>
      <c r="M791" s="7">
        <f t="shared" si="12"/>
        <v>77.699999999999989</v>
      </c>
      <c r="N791" s="4" t="str" cm="1">
        <f t="array" ref="N791">_xlfn.IFS(I791="Rob","Robusta",I791="Exc","Excelsa",I791="Ara","Arabica",I791="Lib","Liberica")</f>
        <v>Arabica</v>
      </c>
      <c r="O791" s="4" t="str" cm="1">
        <f t="array" ref="O791">_xlfn.IFS(J791="M","Medium",J791="L","Light",J791="D","Dark")</f>
        <v>Light</v>
      </c>
      <c r="P791" s="4" t="str">
        <f>_xlfn.XLOOKUP(CoffeeOrderstable[[#This Row],[Customer ID]],customers!$A$1:$A$1001,customers!$I$1:$I$1001,,0)</f>
        <v>No</v>
      </c>
    </row>
    <row r="792" spans="1:16" x14ac:dyDescent="0.3">
      <c r="A792" s="3" t="s">
        <v>4955</v>
      </c>
      <c r="B792" s="5">
        <v>44613</v>
      </c>
      <c r="C792" s="3" t="s">
        <v>4956</v>
      </c>
      <c r="D792" s="4" t="s">
        <v>6180</v>
      </c>
      <c r="E792" s="3">
        <v>3</v>
      </c>
      <c r="F792" s="3" t="str">
        <f>_xlfn.XLOOKUP(C792,customers!$A$1:$A$1001,customers!$B$1:$B$1001,,0)</f>
        <v>Silvan McShea</v>
      </c>
      <c r="G792" s="3" t="str">
        <f>IF(_xlfn.XLOOKUP(C792,customers!$A$1:$A$1001,customers!$C$1:$C$1001,,0)=0,"", _xlfn.XLOOKUP(C792,customers!$A$1:$A$1001,customers!$C$1:$C$1001,,0))</f>
        <v>smcshealy@photobucket.com</v>
      </c>
      <c r="H792" s="3" t="str">
        <f>_xlfn.XLOOKUP(C792,customers!$A$1:$A$1001,customers!$G$1:$G$1001,,0)</f>
        <v>United States</v>
      </c>
      <c r="I792" s="4" t="str">
        <f>INDEX(products!$A$1:$G$49,MATCH(orders!$D792,products!$A$1:$A$49,0),MATCH(orders!I$1,products!$A$1:$G$1,0))</f>
        <v>Ara</v>
      </c>
      <c r="J792" s="4" t="str">
        <f>INDEX(products!$A$1:$G$49,MATCH(orders!$D792,products!$A$1:$A$49,0),MATCH(orders!J$1,products!$A$1:$G$1,0))</f>
        <v>L</v>
      </c>
      <c r="K792" s="6">
        <f>INDEX(products!$A$1:$G$49,MATCH(orders!$D792,products!$A$1:$A$49,0),MATCH(orders!K$1,products!$A$1:$G$1,0))</f>
        <v>0.5</v>
      </c>
      <c r="L792" s="7">
        <f>INDEX(products!$A$1:$G$49,MATCH(orders!$D792,products!$A$1:$A$49,0),MATCH(orders!L$1,products!$A$1:$G$1,0))</f>
        <v>7.77</v>
      </c>
      <c r="M792" s="7">
        <f t="shared" si="12"/>
        <v>23.31</v>
      </c>
      <c r="N792" s="4" t="str" cm="1">
        <f t="array" ref="N792">_xlfn.IFS(I792="Rob","Robusta",I792="Exc","Excelsa",I792="Ara","Arabica",I792="Lib","Liberica")</f>
        <v>Arabica</v>
      </c>
      <c r="O792" s="4" t="str" cm="1">
        <f t="array" ref="O792">_xlfn.IFS(J792="M","Medium",J792="L","Light",J792="D","Dark")</f>
        <v>Light</v>
      </c>
      <c r="P792" s="4" t="str">
        <f>_xlfn.XLOOKUP(CoffeeOrderstable[[#This Row],[Customer ID]],customers!$A$1:$A$1001,customers!$I$1:$I$1001,,0)</f>
        <v>No</v>
      </c>
    </row>
    <row r="793" spans="1:16" x14ac:dyDescent="0.3">
      <c r="A793" s="3" t="s">
        <v>4961</v>
      </c>
      <c r="B793" s="5">
        <v>43954</v>
      </c>
      <c r="C793" s="3" t="s">
        <v>4962</v>
      </c>
      <c r="D793" s="4" t="s">
        <v>6145</v>
      </c>
      <c r="E793" s="3">
        <v>5</v>
      </c>
      <c r="F793" s="3" t="str">
        <f>_xlfn.XLOOKUP(C793,customers!$A$1:$A$1001,customers!$B$1:$B$1001,,0)</f>
        <v>Karylin Huddart</v>
      </c>
      <c r="G793" s="3" t="str">
        <f>IF(_xlfn.XLOOKUP(C793,customers!$A$1:$A$1001,customers!$C$1:$C$1001,,0)=0,"", _xlfn.XLOOKUP(C793,customers!$A$1:$A$1001,customers!$C$1:$C$1001,,0))</f>
        <v>khuddartlz@about.com</v>
      </c>
      <c r="H793" s="3" t="str">
        <f>_xlfn.XLOOKUP(C793,customers!$A$1:$A$1001,customers!$G$1:$G$1001,,0)</f>
        <v>United States</v>
      </c>
      <c r="I793" s="4" t="str">
        <f>INDEX(products!$A$1:$G$49,MATCH(orders!$D793,products!$A$1:$A$49,0),MATCH(orders!I$1,products!$A$1:$G$1,0))</f>
        <v>Lib</v>
      </c>
      <c r="J793" s="4" t="str">
        <f>INDEX(products!$A$1:$G$49,MATCH(orders!$D793,products!$A$1:$A$49,0),MATCH(orders!J$1,products!$A$1:$G$1,0))</f>
        <v>L</v>
      </c>
      <c r="K793" s="6">
        <f>INDEX(products!$A$1:$G$49,MATCH(orders!$D793,products!$A$1:$A$49,0),MATCH(orders!K$1,products!$A$1:$G$1,0))</f>
        <v>0.2</v>
      </c>
      <c r="L793" s="7">
        <f>INDEX(products!$A$1:$G$49,MATCH(orders!$D793,products!$A$1:$A$49,0),MATCH(orders!L$1,products!$A$1:$G$1,0))</f>
        <v>4.7549999999999999</v>
      </c>
      <c r="M793" s="7">
        <f t="shared" si="12"/>
        <v>23.774999999999999</v>
      </c>
      <c r="N793" s="4" t="str" cm="1">
        <f t="array" ref="N793">_xlfn.IFS(I793="Rob","Robusta",I793="Exc","Excelsa",I793="Ara","Arabica",I793="Lib","Liberica")</f>
        <v>Liberica</v>
      </c>
      <c r="O793" s="4" t="str" cm="1">
        <f t="array" ref="O793">_xlfn.IFS(J793="M","Medium",J793="L","Light",J793="D","Dark")</f>
        <v>Light</v>
      </c>
      <c r="P793" s="4" t="str">
        <f>_xlfn.XLOOKUP(CoffeeOrderstable[[#This Row],[Customer ID]],customers!$A$1:$A$1001,customers!$I$1:$I$1001,,0)</f>
        <v>Yes</v>
      </c>
    </row>
    <row r="794" spans="1:16" x14ac:dyDescent="0.3">
      <c r="A794" s="3" t="s">
        <v>4967</v>
      </c>
      <c r="B794" s="5">
        <v>43545</v>
      </c>
      <c r="C794" s="3" t="s">
        <v>4968</v>
      </c>
      <c r="D794" s="4" t="s">
        <v>6160</v>
      </c>
      <c r="E794" s="3">
        <v>6</v>
      </c>
      <c r="F794" s="3" t="str">
        <f>_xlfn.XLOOKUP(C794,customers!$A$1:$A$1001,customers!$B$1:$B$1001,,0)</f>
        <v>Jereme Gippes</v>
      </c>
      <c r="G794" s="3" t="str">
        <f>IF(_xlfn.XLOOKUP(C794,customers!$A$1:$A$1001,customers!$C$1:$C$1001,,0)=0,"", _xlfn.XLOOKUP(C794,customers!$A$1:$A$1001,customers!$C$1:$C$1001,,0))</f>
        <v>jgippesm0@cloudflare.com</v>
      </c>
      <c r="H794" s="3" t="str">
        <f>_xlfn.XLOOKUP(C794,customers!$A$1:$A$1001,customers!$G$1:$G$1001,,0)</f>
        <v>United Kingdom</v>
      </c>
      <c r="I794" s="4" t="str">
        <f>INDEX(products!$A$1:$G$49,MATCH(orders!$D794,products!$A$1:$A$49,0),MATCH(orders!I$1,products!$A$1:$G$1,0))</f>
        <v>Lib</v>
      </c>
      <c r="J794" s="4" t="str">
        <f>INDEX(products!$A$1:$G$49,MATCH(orders!$D794,products!$A$1:$A$49,0),MATCH(orders!J$1,products!$A$1:$G$1,0))</f>
        <v>M</v>
      </c>
      <c r="K794" s="6">
        <f>INDEX(products!$A$1:$G$49,MATCH(orders!$D794,products!$A$1:$A$49,0),MATCH(orders!K$1,products!$A$1:$G$1,0))</f>
        <v>0.5</v>
      </c>
      <c r="L794" s="7">
        <f>INDEX(products!$A$1:$G$49,MATCH(orders!$D794,products!$A$1:$A$49,0),MATCH(orders!L$1,products!$A$1:$G$1,0))</f>
        <v>8.73</v>
      </c>
      <c r="M794" s="7">
        <f t="shared" si="12"/>
        <v>52.38</v>
      </c>
      <c r="N794" s="4" t="str" cm="1">
        <f t="array" ref="N794">_xlfn.IFS(I794="Rob","Robusta",I794="Exc","Excelsa",I794="Ara","Arabica",I794="Lib","Liberica")</f>
        <v>Liberica</v>
      </c>
      <c r="O794" s="4" t="str" cm="1">
        <f t="array" ref="O794">_xlfn.IFS(J794="M","Medium",J794="L","Light",J794="D","Dark")</f>
        <v>Medium</v>
      </c>
      <c r="P794" s="4" t="str">
        <f>_xlfn.XLOOKUP(CoffeeOrderstable[[#This Row],[Customer ID]],customers!$A$1:$A$1001,customers!$I$1:$I$1001,,0)</f>
        <v>Yes</v>
      </c>
    </row>
    <row r="795" spans="1:16" x14ac:dyDescent="0.3">
      <c r="A795" s="3" t="s">
        <v>4973</v>
      </c>
      <c r="B795" s="5">
        <v>43629</v>
      </c>
      <c r="C795" s="3" t="s">
        <v>4974</v>
      </c>
      <c r="D795" s="4" t="s">
        <v>6178</v>
      </c>
      <c r="E795" s="3">
        <v>5</v>
      </c>
      <c r="F795" s="3" t="str">
        <f>_xlfn.XLOOKUP(C795,customers!$A$1:$A$1001,customers!$B$1:$B$1001,,0)</f>
        <v>Lukas Whittlesee</v>
      </c>
      <c r="G795" s="3" t="str">
        <f>IF(_xlfn.XLOOKUP(C795,customers!$A$1:$A$1001,customers!$C$1:$C$1001,,0)=0,"", _xlfn.XLOOKUP(C795,customers!$A$1:$A$1001,customers!$C$1:$C$1001,,0))</f>
        <v>lwhittleseem1@e-recht24.de</v>
      </c>
      <c r="H795" s="3" t="str">
        <f>_xlfn.XLOOKUP(C795,customers!$A$1:$A$1001,customers!$G$1:$G$1001,,0)</f>
        <v>United States</v>
      </c>
      <c r="I795" s="4" t="str">
        <f>INDEX(products!$A$1:$G$49,MATCH(orders!$D795,products!$A$1:$A$49,0),MATCH(orders!I$1,products!$A$1:$G$1,0))</f>
        <v>Rob</v>
      </c>
      <c r="J795" s="4" t="str">
        <f>INDEX(products!$A$1:$G$49,MATCH(orders!$D795,products!$A$1:$A$49,0),MATCH(orders!J$1,products!$A$1:$G$1,0))</f>
        <v>L</v>
      </c>
      <c r="K795" s="6">
        <f>INDEX(products!$A$1:$G$49,MATCH(orders!$D795,products!$A$1:$A$49,0),MATCH(orders!K$1,products!$A$1:$G$1,0))</f>
        <v>0.2</v>
      </c>
      <c r="L795" s="7">
        <f>INDEX(products!$A$1:$G$49,MATCH(orders!$D795,products!$A$1:$A$49,0),MATCH(orders!L$1,products!$A$1:$G$1,0))</f>
        <v>3.5849999999999995</v>
      </c>
      <c r="M795" s="7">
        <f t="shared" si="12"/>
        <v>17.924999999999997</v>
      </c>
      <c r="N795" s="4" t="str" cm="1">
        <f t="array" ref="N795">_xlfn.IFS(I795="Rob","Robusta",I795="Exc","Excelsa",I795="Ara","Arabica",I795="Lib","Liberica")</f>
        <v>Robusta</v>
      </c>
      <c r="O795" s="4" t="str" cm="1">
        <f t="array" ref="O795">_xlfn.IFS(J795="M","Medium",J795="L","Light",J795="D","Dark")</f>
        <v>Light</v>
      </c>
      <c r="P795" s="4" t="str">
        <f>_xlfn.XLOOKUP(CoffeeOrderstable[[#This Row],[Customer ID]],customers!$A$1:$A$1001,customers!$I$1:$I$1001,,0)</f>
        <v>No</v>
      </c>
    </row>
    <row r="796" spans="1:16" x14ac:dyDescent="0.3">
      <c r="A796" s="3" t="s">
        <v>4979</v>
      </c>
      <c r="B796" s="5">
        <v>43987</v>
      </c>
      <c r="C796" s="3" t="s">
        <v>4980</v>
      </c>
      <c r="D796" s="4" t="s">
        <v>6182</v>
      </c>
      <c r="E796" s="3">
        <v>5</v>
      </c>
      <c r="F796" s="3" t="str">
        <f>_xlfn.XLOOKUP(C796,customers!$A$1:$A$1001,customers!$B$1:$B$1001,,0)</f>
        <v>Gregorius Trengrove</v>
      </c>
      <c r="G796" s="3" t="str">
        <f>IF(_xlfn.XLOOKUP(C796,customers!$A$1:$A$1001,customers!$C$1:$C$1001,,0)=0,"", _xlfn.XLOOKUP(C796,customers!$A$1:$A$1001,customers!$C$1:$C$1001,,0))</f>
        <v>gtrengrovem2@elpais.com</v>
      </c>
      <c r="H796" s="3" t="str">
        <f>_xlfn.XLOOKUP(C796,customers!$A$1:$A$1001,customers!$G$1:$G$1001,,0)</f>
        <v>United States</v>
      </c>
      <c r="I796" s="4" t="str">
        <f>INDEX(products!$A$1:$G$49,MATCH(orders!$D796,products!$A$1:$A$49,0),MATCH(orders!I$1,products!$A$1:$G$1,0))</f>
        <v>Ara</v>
      </c>
      <c r="J796" s="4" t="str">
        <f>INDEX(products!$A$1:$G$49,MATCH(orders!$D796,products!$A$1:$A$49,0),MATCH(orders!J$1,products!$A$1:$G$1,0))</f>
        <v>L</v>
      </c>
      <c r="K796" s="6">
        <f>INDEX(products!$A$1:$G$49,MATCH(orders!$D796,products!$A$1:$A$49,0),MATCH(orders!K$1,products!$A$1:$G$1,0))</f>
        <v>2.5</v>
      </c>
      <c r="L796" s="7">
        <f>INDEX(products!$A$1:$G$49,MATCH(orders!$D796,products!$A$1:$A$49,0),MATCH(orders!L$1,products!$A$1:$G$1,0))</f>
        <v>29.784999999999997</v>
      </c>
      <c r="M796" s="7">
        <f t="shared" si="12"/>
        <v>148.92499999999998</v>
      </c>
      <c r="N796" s="4" t="str" cm="1">
        <f t="array" ref="N796">_xlfn.IFS(I796="Rob","Robusta",I796="Exc","Excelsa",I796="Ara","Arabica",I796="Lib","Liberica")</f>
        <v>Arabica</v>
      </c>
      <c r="O796" s="4" t="str" cm="1">
        <f t="array" ref="O796">_xlfn.IFS(J796="M","Medium",J796="L","Light",J796="D","Dark")</f>
        <v>Light</v>
      </c>
      <c r="P796" s="4" t="str">
        <f>_xlfn.XLOOKUP(CoffeeOrderstable[[#This Row],[Customer ID]],customers!$A$1:$A$1001,customers!$I$1:$I$1001,,0)</f>
        <v>No</v>
      </c>
    </row>
    <row r="797" spans="1:16" x14ac:dyDescent="0.3">
      <c r="A797" s="3" t="s">
        <v>4985</v>
      </c>
      <c r="B797" s="5">
        <v>43540</v>
      </c>
      <c r="C797" s="3" t="s">
        <v>4986</v>
      </c>
      <c r="D797" s="4" t="s">
        <v>6173</v>
      </c>
      <c r="E797" s="3">
        <v>4</v>
      </c>
      <c r="F797" s="3" t="str">
        <f>_xlfn.XLOOKUP(C797,customers!$A$1:$A$1001,customers!$B$1:$B$1001,,0)</f>
        <v>Wright Caldero</v>
      </c>
      <c r="G797" s="3" t="str">
        <f>IF(_xlfn.XLOOKUP(C797,customers!$A$1:$A$1001,customers!$C$1:$C$1001,,0)=0,"", _xlfn.XLOOKUP(C797,customers!$A$1:$A$1001,customers!$C$1:$C$1001,,0))</f>
        <v>wcalderom3@stumbleupon.com</v>
      </c>
      <c r="H797" s="3" t="str">
        <f>_xlfn.XLOOKUP(C797,customers!$A$1:$A$1001,customers!$G$1:$G$1001,,0)</f>
        <v>United States</v>
      </c>
      <c r="I797" s="4" t="str">
        <f>INDEX(products!$A$1:$G$49,MATCH(orders!$D797,products!$A$1:$A$49,0),MATCH(orders!I$1,products!$A$1:$G$1,0))</f>
        <v>Rob</v>
      </c>
      <c r="J797" s="4" t="str">
        <f>INDEX(products!$A$1:$G$49,MATCH(orders!$D797,products!$A$1:$A$49,0),MATCH(orders!J$1,products!$A$1:$G$1,0))</f>
        <v>L</v>
      </c>
      <c r="K797" s="6">
        <f>INDEX(products!$A$1:$G$49,MATCH(orders!$D797,products!$A$1:$A$49,0),MATCH(orders!K$1,products!$A$1:$G$1,0))</f>
        <v>0.5</v>
      </c>
      <c r="L797" s="7">
        <f>INDEX(products!$A$1:$G$49,MATCH(orders!$D797,products!$A$1:$A$49,0),MATCH(orders!L$1,products!$A$1:$G$1,0))</f>
        <v>7.169999999999999</v>
      </c>
      <c r="M797" s="7">
        <f t="shared" si="12"/>
        <v>28.679999999999996</v>
      </c>
      <c r="N797" s="4" t="str" cm="1">
        <f t="array" ref="N797">_xlfn.IFS(I797="Rob","Robusta",I797="Exc","Excelsa",I797="Ara","Arabica",I797="Lib","Liberica")</f>
        <v>Robusta</v>
      </c>
      <c r="O797" s="4" t="str" cm="1">
        <f t="array" ref="O797">_xlfn.IFS(J797="M","Medium",J797="L","Light",J797="D","Dark")</f>
        <v>Light</v>
      </c>
      <c r="P797" s="4" t="str">
        <f>_xlfn.XLOOKUP(CoffeeOrderstable[[#This Row],[Customer ID]],customers!$A$1:$A$1001,customers!$I$1:$I$1001,,0)</f>
        <v>No</v>
      </c>
    </row>
    <row r="798" spans="1:16" x14ac:dyDescent="0.3">
      <c r="A798" s="3" t="s">
        <v>4991</v>
      </c>
      <c r="B798" s="5">
        <v>44533</v>
      </c>
      <c r="C798" s="3" t="s">
        <v>4992</v>
      </c>
      <c r="D798" s="4" t="s">
        <v>6161</v>
      </c>
      <c r="E798" s="3">
        <v>1</v>
      </c>
      <c r="F798" s="3" t="str">
        <f>_xlfn.XLOOKUP(C798,customers!$A$1:$A$1001,customers!$B$1:$B$1001,,0)</f>
        <v>Merell Zanazzi</v>
      </c>
      <c r="G798" s="3" t="str">
        <f>IF(_xlfn.XLOOKUP(C798,customers!$A$1:$A$1001,customers!$C$1:$C$1001,,0)=0,"", _xlfn.XLOOKUP(C798,customers!$A$1:$A$1001,customers!$C$1:$C$1001,,0))</f>
        <v/>
      </c>
      <c r="H798" s="3" t="str">
        <f>_xlfn.XLOOKUP(C798,customers!$A$1:$A$1001,customers!$G$1:$G$1001,,0)</f>
        <v>United States</v>
      </c>
      <c r="I798" s="4" t="str">
        <f>INDEX(products!$A$1:$G$49,MATCH(orders!$D798,products!$A$1:$A$49,0),MATCH(orders!I$1,products!$A$1:$G$1,0))</f>
        <v>Lib</v>
      </c>
      <c r="J798" s="4" t="str">
        <f>INDEX(products!$A$1:$G$49,MATCH(orders!$D798,products!$A$1:$A$49,0),MATCH(orders!J$1,products!$A$1:$G$1,0))</f>
        <v>L</v>
      </c>
      <c r="K798" s="6">
        <f>INDEX(products!$A$1:$G$49,MATCH(orders!$D798,products!$A$1:$A$49,0),MATCH(orders!K$1,products!$A$1:$G$1,0))</f>
        <v>0.5</v>
      </c>
      <c r="L798" s="7">
        <f>INDEX(products!$A$1:$G$49,MATCH(orders!$D798,products!$A$1:$A$49,0),MATCH(orders!L$1,products!$A$1:$G$1,0))</f>
        <v>9.51</v>
      </c>
      <c r="M798" s="7">
        <f t="shared" si="12"/>
        <v>9.51</v>
      </c>
      <c r="N798" s="4" t="str" cm="1">
        <f t="array" ref="N798">_xlfn.IFS(I798="Rob","Robusta",I798="Exc","Excelsa",I798="Ara","Arabica",I798="Lib","Liberica")</f>
        <v>Liberica</v>
      </c>
      <c r="O798" s="4" t="str" cm="1">
        <f t="array" ref="O798">_xlfn.IFS(J798="M","Medium",J798="L","Light",J798="D","Dark")</f>
        <v>Light</v>
      </c>
      <c r="P798" s="4" t="str">
        <f>_xlfn.XLOOKUP(CoffeeOrderstable[[#This Row],[Customer ID]],customers!$A$1:$A$1001,customers!$I$1:$I$1001,,0)</f>
        <v>No</v>
      </c>
    </row>
    <row r="799" spans="1:16" x14ac:dyDescent="0.3">
      <c r="A799" s="3" t="s">
        <v>4996</v>
      </c>
      <c r="B799" s="5">
        <v>44751</v>
      </c>
      <c r="C799" s="3" t="s">
        <v>4997</v>
      </c>
      <c r="D799" s="4" t="s">
        <v>6180</v>
      </c>
      <c r="E799" s="3">
        <v>4</v>
      </c>
      <c r="F799" s="3" t="str">
        <f>_xlfn.XLOOKUP(C799,customers!$A$1:$A$1001,customers!$B$1:$B$1001,,0)</f>
        <v>Jed Kennicott</v>
      </c>
      <c r="G799" s="3" t="str">
        <f>IF(_xlfn.XLOOKUP(C799,customers!$A$1:$A$1001,customers!$C$1:$C$1001,,0)=0,"", _xlfn.XLOOKUP(C799,customers!$A$1:$A$1001,customers!$C$1:$C$1001,,0))</f>
        <v>jkennicottm5@yahoo.co.jp</v>
      </c>
      <c r="H799" s="3" t="str">
        <f>_xlfn.XLOOKUP(C799,customers!$A$1:$A$1001,customers!$G$1:$G$1001,,0)</f>
        <v>United States</v>
      </c>
      <c r="I799" s="4" t="str">
        <f>INDEX(products!$A$1:$G$49,MATCH(orders!$D799,products!$A$1:$A$49,0),MATCH(orders!I$1,products!$A$1:$G$1,0))</f>
        <v>Ara</v>
      </c>
      <c r="J799" s="4" t="str">
        <f>INDEX(products!$A$1:$G$49,MATCH(orders!$D799,products!$A$1:$A$49,0),MATCH(orders!J$1,products!$A$1:$G$1,0))</f>
        <v>L</v>
      </c>
      <c r="K799" s="6">
        <f>INDEX(products!$A$1:$G$49,MATCH(orders!$D799,products!$A$1:$A$49,0),MATCH(orders!K$1,products!$A$1:$G$1,0))</f>
        <v>0.5</v>
      </c>
      <c r="L799" s="7">
        <f>INDEX(products!$A$1:$G$49,MATCH(orders!$D799,products!$A$1:$A$49,0),MATCH(orders!L$1,products!$A$1:$G$1,0))</f>
        <v>7.77</v>
      </c>
      <c r="M799" s="7">
        <f t="shared" si="12"/>
        <v>31.08</v>
      </c>
      <c r="N799" s="4" t="str" cm="1">
        <f t="array" ref="N799">_xlfn.IFS(I799="Rob","Robusta",I799="Exc","Excelsa",I799="Ara","Arabica",I799="Lib","Liberica")</f>
        <v>Arabica</v>
      </c>
      <c r="O799" s="4" t="str" cm="1">
        <f t="array" ref="O799">_xlfn.IFS(J799="M","Medium",J799="L","Light",J799="D","Dark")</f>
        <v>Light</v>
      </c>
      <c r="P799" s="4" t="str">
        <f>_xlfn.XLOOKUP(CoffeeOrderstable[[#This Row],[Customer ID]],customers!$A$1:$A$1001,customers!$I$1:$I$1001,,0)</f>
        <v>No</v>
      </c>
    </row>
    <row r="800" spans="1:16" x14ac:dyDescent="0.3">
      <c r="A800" s="3" t="s">
        <v>5002</v>
      </c>
      <c r="B800" s="5">
        <v>43950</v>
      </c>
      <c r="C800" s="3" t="s">
        <v>5003</v>
      </c>
      <c r="D800" s="4" t="s">
        <v>6163</v>
      </c>
      <c r="E800" s="3">
        <v>3</v>
      </c>
      <c r="F800" s="3" t="str">
        <f>_xlfn.XLOOKUP(C800,customers!$A$1:$A$1001,customers!$B$1:$B$1001,,0)</f>
        <v>Guenevere Ruggen</v>
      </c>
      <c r="G800" s="3" t="str">
        <f>IF(_xlfn.XLOOKUP(C800,customers!$A$1:$A$1001,customers!$C$1:$C$1001,,0)=0,"", _xlfn.XLOOKUP(C800,customers!$A$1:$A$1001,customers!$C$1:$C$1001,,0))</f>
        <v>gruggenm6@nymag.com</v>
      </c>
      <c r="H800" s="3" t="str">
        <f>_xlfn.XLOOKUP(C800,customers!$A$1:$A$1001,customers!$G$1:$G$1001,,0)</f>
        <v>United States</v>
      </c>
      <c r="I800" s="4" t="str">
        <f>INDEX(products!$A$1:$G$49,MATCH(orders!$D800,products!$A$1:$A$49,0),MATCH(orders!I$1,products!$A$1:$G$1,0))</f>
        <v>Rob</v>
      </c>
      <c r="J800" s="4" t="str">
        <f>INDEX(products!$A$1:$G$49,MATCH(orders!$D800,products!$A$1:$A$49,0),MATCH(orders!J$1,products!$A$1:$G$1,0))</f>
        <v>D</v>
      </c>
      <c r="K800" s="6">
        <f>INDEX(products!$A$1:$G$49,MATCH(orders!$D800,products!$A$1:$A$49,0),MATCH(orders!K$1,products!$A$1:$G$1,0))</f>
        <v>0.2</v>
      </c>
      <c r="L800" s="7">
        <f>INDEX(products!$A$1:$G$49,MATCH(orders!$D800,products!$A$1:$A$49,0),MATCH(orders!L$1,products!$A$1:$G$1,0))</f>
        <v>2.6849999999999996</v>
      </c>
      <c r="M800" s="7">
        <f t="shared" si="12"/>
        <v>8.0549999999999997</v>
      </c>
      <c r="N800" s="4" t="str" cm="1">
        <f t="array" ref="N800">_xlfn.IFS(I800="Rob","Robusta",I800="Exc","Excelsa",I800="Ara","Arabica",I800="Lib","Liberica")</f>
        <v>Robusta</v>
      </c>
      <c r="O800" s="4" t="str" cm="1">
        <f t="array" ref="O800">_xlfn.IFS(J800="M","Medium",J800="L","Light",J800="D","Dark")</f>
        <v>Dark</v>
      </c>
      <c r="P800" s="4" t="str">
        <f>_xlfn.XLOOKUP(CoffeeOrderstable[[#This Row],[Customer ID]],customers!$A$1:$A$1001,customers!$I$1:$I$1001,,0)</f>
        <v>Yes</v>
      </c>
    </row>
    <row r="801" spans="1:16" x14ac:dyDescent="0.3">
      <c r="A801" s="3" t="s">
        <v>5008</v>
      </c>
      <c r="B801" s="5">
        <v>44588</v>
      </c>
      <c r="C801" s="3" t="s">
        <v>5009</v>
      </c>
      <c r="D801" s="4" t="s">
        <v>6183</v>
      </c>
      <c r="E801" s="3">
        <v>3</v>
      </c>
      <c r="F801" s="3" t="str">
        <f>_xlfn.XLOOKUP(C801,customers!$A$1:$A$1001,customers!$B$1:$B$1001,,0)</f>
        <v>Gonzales Cicculi</v>
      </c>
      <c r="G801" s="3" t="str">
        <f>IF(_xlfn.XLOOKUP(C801,customers!$A$1:$A$1001,customers!$C$1:$C$1001,,0)=0,"", _xlfn.XLOOKUP(C801,customers!$A$1:$A$1001,customers!$C$1:$C$1001,,0))</f>
        <v/>
      </c>
      <c r="H801" s="3" t="str">
        <f>_xlfn.XLOOKUP(C801,customers!$A$1:$A$1001,customers!$G$1:$G$1001,,0)</f>
        <v>United States</v>
      </c>
      <c r="I801" s="4" t="str">
        <f>INDEX(products!$A$1:$G$49,MATCH(orders!$D801,products!$A$1:$A$49,0),MATCH(orders!I$1,products!$A$1:$G$1,0))</f>
        <v>Exc</v>
      </c>
      <c r="J801" s="4" t="str">
        <f>INDEX(products!$A$1:$G$49,MATCH(orders!$D801,products!$A$1:$A$49,0),MATCH(orders!J$1,products!$A$1:$G$1,0))</f>
        <v>D</v>
      </c>
      <c r="K801" s="6">
        <f>INDEX(products!$A$1:$G$49,MATCH(orders!$D801,products!$A$1:$A$49,0),MATCH(orders!K$1,products!$A$1:$G$1,0))</f>
        <v>1</v>
      </c>
      <c r="L801" s="7">
        <f>INDEX(products!$A$1:$G$49,MATCH(orders!$D801,products!$A$1:$A$49,0),MATCH(orders!L$1,products!$A$1:$G$1,0))</f>
        <v>12.15</v>
      </c>
      <c r="M801" s="7">
        <f t="shared" si="12"/>
        <v>36.450000000000003</v>
      </c>
      <c r="N801" s="4" t="str" cm="1">
        <f t="array" ref="N801">_xlfn.IFS(I801="Rob","Robusta",I801="Exc","Excelsa",I801="Ara","Arabica",I801="Lib","Liberica")</f>
        <v>Excelsa</v>
      </c>
      <c r="O801" s="4" t="str" cm="1">
        <f t="array" ref="O801">_xlfn.IFS(J801="M","Medium",J801="L","Light",J801="D","Dark")</f>
        <v>Dark</v>
      </c>
      <c r="P801" s="4" t="str">
        <f>_xlfn.XLOOKUP(CoffeeOrderstable[[#This Row],[Customer ID]],customers!$A$1:$A$1001,customers!$I$1:$I$1001,,0)</f>
        <v>Yes</v>
      </c>
    </row>
    <row r="802" spans="1:16" x14ac:dyDescent="0.3">
      <c r="A802" s="3" t="s">
        <v>5012</v>
      </c>
      <c r="B802" s="5">
        <v>44240</v>
      </c>
      <c r="C802" s="3" t="s">
        <v>5013</v>
      </c>
      <c r="D802" s="4" t="s">
        <v>6163</v>
      </c>
      <c r="E802" s="3">
        <v>6</v>
      </c>
      <c r="F802" s="3" t="str">
        <f>_xlfn.XLOOKUP(C802,customers!$A$1:$A$1001,customers!$B$1:$B$1001,,0)</f>
        <v>Man Fright</v>
      </c>
      <c r="G802" s="3" t="str">
        <f>IF(_xlfn.XLOOKUP(C802,customers!$A$1:$A$1001,customers!$C$1:$C$1001,,0)=0,"", _xlfn.XLOOKUP(C802,customers!$A$1:$A$1001,customers!$C$1:$C$1001,,0))</f>
        <v>mfrightm8@harvard.edu</v>
      </c>
      <c r="H802" s="3" t="str">
        <f>_xlfn.XLOOKUP(C802,customers!$A$1:$A$1001,customers!$G$1:$G$1001,,0)</f>
        <v>Ireland</v>
      </c>
      <c r="I802" s="4" t="str">
        <f>INDEX(products!$A$1:$G$49,MATCH(orders!$D802,products!$A$1:$A$49,0),MATCH(orders!I$1,products!$A$1:$G$1,0))</f>
        <v>Rob</v>
      </c>
      <c r="J802" s="4" t="str">
        <f>INDEX(products!$A$1:$G$49,MATCH(orders!$D802,products!$A$1:$A$49,0),MATCH(orders!J$1,products!$A$1:$G$1,0))</f>
        <v>D</v>
      </c>
      <c r="K802" s="6">
        <f>INDEX(products!$A$1:$G$49,MATCH(orders!$D802,products!$A$1:$A$49,0),MATCH(orders!K$1,products!$A$1:$G$1,0))</f>
        <v>0.2</v>
      </c>
      <c r="L802" s="7">
        <f>INDEX(products!$A$1:$G$49,MATCH(orders!$D802,products!$A$1:$A$49,0),MATCH(orders!L$1,products!$A$1:$G$1,0))</f>
        <v>2.6849999999999996</v>
      </c>
      <c r="M802" s="7">
        <f t="shared" si="12"/>
        <v>16.11</v>
      </c>
      <c r="N802" s="4" t="str" cm="1">
        <f t="array" ref="N802">_xlfn.IFS(I802="Rob","Robusta",I802="Exc","Excelsa",I802="Ara","Arabica",I802="Lib","Liberica")</f>
        <v>Robusta</v>
      </c>
      <c r="O802" s="4" t="str" cm="1">
        <f t="array" ref="O802">_xlfn.IFS(J802="M","Medium",J802="L","Light",J802="D","Dark")</f>
        <v>Dark</v>
      </c>
      <c r="P802" s="4" t="str">
        <f>_xlfn.XLOOKUP(CoffeeOrderstable[[#This Row],[Customer ID]],customers!$A$1:$A$1001,customers!$I$1:$I$1001,,0)</f>
        <v>No</v>
      </c>
    </row>
    <row r="803" spans="1:16" x14ac:dyDescent="0.3">
      <c r="A803" s="3" t="s">
        <v>5018</v>
      </c>
      <c r="B803" s="5">
        <v>44025</v>
      </c>
      <c r="C803" s="3" t="s">
        <v>5019</v>
      </c>
      <c r="D803" s="4" t="s">
        <v>6149</v>
      </c>
      <c r="E803" s="3">
        <v>2</v>
      </c>
      <c r="F803" s="3" t="str">
        <f>_xlfn.XLOOKUP(C803,customers!$A$1:$A$1001,customers!$B$1:$B$1001,,0)</f>
        <v>Boyce Tarte</v>
      </c>
      <c r="G803" s="3" t="str">
        <f>IF(_xlfn.XLOOKUP(C803,customers!$A$1:$A$1001,customers!$C$1:$C$1001,,0)=0,"", _xlfn.XLOOKUP(C803,customers!$A$1:$A$1001,customers!$C$1:$C$1001,,0))</f>
        <v>btartem9@aol.com</v>
      </c>
      <c r="H803" s="3" t="str">
        <f>_xlfn.XLOOKUP(C803,customers!$A$1:$A$1001,customers!$G$1:$G$1001,,0)</f>
        <v>United States</v>
      </c>
      <c r="I803" s="4" t="str">
        <f>INDEX(products!$A$1:$G$49,MATCH(orders!$D803,products!$A$1:$A$49,0),MATCH(orders!I$1,products!$A$1:$G$1,0))</f>
        <v>Rob</v>
      </c>
      <c r="J803" s="4" t="str">
        <f>INDEX(products!$A$1:$G$49,MATCH(orders!$D803,products!$A$1:$A$49,0),MATCH(orders!J$1,products!$A$1:$G$1,0))</f>
        <v>D</v>
      </c>
      <c r="K803" s="6">
        <f>INDEX(products!$A$1:$G$49,MATCH(orders!$D803,products!$A$1:$A$49,0),MATCH(orders!K$1,products!$A$1:$G$1,0))</f>
        <v>2.5</v>
      </c>
      <c r="L803" s="7">
        <f>INDEX(products!$A$1:$G$49,MATCH(orders!$D803,products!$A$1:$A$49,0),MATCH(orders!L$1,products!$A$1:$G$1,0))</f>
        <v>20.584999999999997</v>
      </c>
      <c r="M803" s="7">
        <f t="shared" si="12"/>
        <v>41.169999999999995</v>
      </c>
      <c r="N803" s="4" t="str" cm="1">
        <f t="array" ref="N803">_xlfn.IFS(I803="Rob","Robusta",I803="Exc","Excelsa",I803="Ara","Arabica",I803="Lib","Liberica")</f>
        <v>Robusta</v>
      </c>
      <c r="O803" s="4" t="str" cm="1">
        <f t="array" ref="O803">_xlfn.IFS(J803="M","Medium",J803="L","Light",J803="D","Dark")</f>
        <v>Dark</v>
      </c>
      <c r="P803" s="4" t="str">
        <f>_xlfn.XLOOKUP(CoffeeOrderstable[[#This Row],[Customer ID]],customers!$A$1:$A$1001,customers!$I$1:$I$1001,,0)</f>
        <v>Yes</v>
      </c>
    </row>
    <row r="804" spans="1:16" x14ac:dyDescent="0.3">
      <c r="A804" s="3" t="s">
        <v>5024</v>
      </c>
      <c r="B804" s="5">
        <v>43902</v>
      </c>
      <c r="C804" s="3" t="s">
        <v>5025</v>
      </c>
      <c r="D804" s="4" t="s">
        <v>6163</v>
      </c>
      <c r="E804" s="3">
        <v>4</v>
      </c>
      <c r="F804" s="3" t="str">
        <f>_xlfn.XLOOKUP(C804,customers!$A$1:$A$1001,customers!$B$1:$B$1001,,0)</f>
        <v>Caddric Krzysztofiak</v>
      </c>
      <c r="G804" s="3" t="str">
        <f>IF(_xlfn.XLOOKUP(C804,customers!$A$1:$A$1001,customers!$C$1:$C$1001,,0)=0,"", _xlfn.XLOOKUP(C804,customers!$A$1:$A$1001,customers!$C$1:$C$1001,,0))</f>
        <v>ckrzysztofiakma@skyrock.com</v>
      </c>
      <c r="H804" s="3" t="str">
        <f>_xlfn.XLOOKUP(C804,customers!$A$1:$A$1001,customers!$G$1:$G$1001,,0)</f>
        <v>United States</v>
      </c>
      <c r="I804" s="4" t="str">
        <f>INDEX(products!$A$1:$G$49,MATCH(orders!$D804,products!$A$1:$A$49,0),MATCH(orders!I$1,products!$A$1:$G$1,0))</f>
        <v>Rob</v>
      </c>
      <c r="J804" s="4" t="str">
        <f>INDEX(products!$A$1:$G$49,MATCH(orders!$D804,products!$A$1:$A$49,0),MATCH(orders!J$1,products!$A$1:$G$1,0))</f>
        <v>D</v>
      </c>
      <c r="K804" s="6">
        <f>INDEX(products!$A$1:$G$49,MATCH(orders!$D804,products!$A$1:$A$49,0),MATCH(orders!K$1,products!$A$1:$G$1,0))</f>
        <v>0.2</v>
      </c>
      <c r="L804" s="7">
        <f>INDEX(products!$A$1:$G$49,MATCH(orders!$D804,products!$A$1:$A$49,0),MATCH(orders!L$1,products!$A$1:$G$1,0))</f>
        <v>2.6849999999999996</v>
      </c>
      <c r="M804" s="7">
        <f t="shared" si="12"/>
        <v>10.739999999999998</v>
      </c>
      <c r="N804" s="4" t="str" cm="1">
        <f t="array" ref="N804">_xlfn.IFS(I804="Rob","Robusta",I804="Exc","Excelsa",I804="Ara","Arabica",I804="Lib","Liberica")</f>
        <v>Robusta</v>
      </c>
      <c r="O804" s="4" t="str" cm="1">
        <f t="array" ref="O804">_xlfn.IFS(J804="M","Medium",J804="L","Light",J804="D","Dark")</f>
        <v>Dark</v>
      </c>
      <c r="P804" s="4" t="str">
        <f>_xlfn.XLOOKUP(CoffeeOrderstable[[#This Row],[Customer ID]],customers!$A$1:$A$1001,customers!$I$1:$I$1001,,0)</f>
        <v>No</v>
      </c>
    </row>
    <row r="805" spans="1:16" x14ac:dyDescent="0.3">
      <c r="A805" s="3" t="s">
        <v>5030</v>
      </c>
      <c r="B805" s="5">
        <v>43955</v>
      </c>
      <c r="C805" s="3" t="s">
        <v>5031</v>
      </c>
      <c r="D805" s="4" t="s">
        <v>6166</v>
      </c>
      <c r="E805" s="3">
        <v>4</v>
      </c>
      <c r="F805" s="3" t="str">
        <f>_xlfn.XLOOKUP(C805,customers!$A$1:$A$1001,customers!$B$1:$B$1001,,0)</f>
        <v>Darn Penquet</v>
      </c>
      <c r="G805" s="3" t="str">
        <f>IF(_xlfn.XLOOKUP(C805,customers!$A$1:$A$1001,customers!$C$1:$C$1001,,0)=0,"", _xlfn.XLOOKUP(C805,customers!$A$1:$A$1001,customers!$C$1:$C$1001,,0))</f>
        <v>dpenquetmb@diigo.com</v>
      </c>
      <c r="H805" s="3" t="str">
        <f>_xlfn.XLOOKUP(C805,customers!$A$1:$A$1001,customers!$G$1:$G$1001,,0)</f>
        <v>United States</v>
      </c>
      <c r="I805" s="4" t="str">
        <f>INDEX(products!$A$1:$G$49,MATCH(orders!$D805,products!$A$1:$A$49,0),MATCH(orders!I$1,products!$A$1:$G$1,0))</f>
        <v>Exc</v>
      </c>
      <c r="J805" s="4" t="str">
        <f>INDEX(products!$A$1:$G$49,MATCH(orders!$D805,products!$A$1:$A$49,0),MATCH(orders!J$1,products!$A$1:$G$1,0))</f>
        <v>M</v>
      </c>
      <c r="K805" s="6">
        <f>INDEX(products!$A$1:$G$49,MATCH(orders!$D805,products!$A$1:$A$49,0),MATCH(orders!K$1,products!$A$1:$G$1,0))</f>
        <v>2.5</v>
      </c>
      <c r="L805" s="7">
        <f>INDEX(products!$A$1:$G$49,MATCH(orders!$D805,products!$A$1:$A$49,0),MATCH(orders!L$1,products!$A$1:$G$1,0))</f>
        <v>31.624999999999996</v>
      </c>
      <c r="M805" s="7">
        <f t="shared" si="12"/>
        <v>126.49999999999999</v>
      </c>
      <c r="N805" s="4" t="str" cm="1">
        <f t="array" ref="N805">_xlfn.IFS(I805="Rob","Robusta",I805="Exc","Excelsa",I805="Ara","Arabica",I805="Lib","Liberica")</f>
        <v>Excelsa</v>
      </c>
      <c r="O805" s="4" t="str" cm="1">
        <f t="array" ref="O805">_xlfn.IFS(J805="M","Medium",J805="L","Light",J805="D","Dark")</f>
        <v>Medium</v>
      </c>
      <c r="P805" s="4" t="str">
        <f>_xlfn.XLOOKUP(CoffeeOrderstable[[#This Row],[Customer ID]],customers!$A$1:$A$1001,customers!$I$1:$I$1001,,0)</f>
        <v>No</v>
      </c>
    </row>
    <row r="806" spans="1:16" x14ac:dyDescent="0.3">
      <c r="A806" s="3" t="s">
        <v>5035</v>
      </c>
      <c r="B806" s="5">
        <v>44289</v>
      </c>
      <c r="C806" s="3" t="s">
        <v>5036</v>
      </c>
      <c r="D806" s="4" t="s">
        <v>6179</v>
      </c>
      <c r="E806" s="3">
        <v>2</v>
      </c>
      <c r="F806" s="3" t="str">
        <f>_xlfn.XLOOKUP(C806,customers!$A$1:$A$1001,customers!$B$1:$B$1001,,0)</f>
        <v>Jammie Cloke</v>
      </c>
      <c r="G806" s="3" t="str">
        <f>IF(_xlfn.XLOOKUP(C806,customers!$A$1:$A$1001,customers!$C$1:$C$1001,,0)=0,"", _xlfn.XLOOKUP(C806,customers!$A$1:$A$1001,customers!$C$1:$C$1001,,0))</f>
        <v/>
      </c>
      <c r="H806" s="3" t="str">
        <f>_xlfn.XLOOKUP(C806,customers!$A$1:$A$1001,customers!$G$1:$G$1001,,0)</f>
        <v>United Kingdom</v>
      </c>
      <c r="I806" s="4" t="str">
        <f>INDEX(products!$A$1:$G$49,MATCH(orders!$D806,products!$A$1:$A$49,0),MATCH(orders!I$1,products!$A$1:$G$1,0))</f>
        <v>Rob</v>
      </c>
      <c r="J806" s="4" t="str">
        <f>INDEX(products!$A$1:$G$49,MATCH(orders!$D806,products!$A$1:$A$49,0),MATCH(orders!J$1,products!$A$1:$G$1,0))</f>
        <v>L</v>
      </c>
      <c r="K806" s="6">
        <f>INDEX(products!$A$1:$G$49,MATCH(orders!$D806,products!$A$1:$A$49,0),MATCH(orders!K$1,products!$A$1:$G$1,0))</f>
        <v>1</v>
      </c>
      <c r="L806" s="7">
        <f>INDEX(products!$A$1:$G$49,MATCH(orders!$D806,products!$A$1:$A$49,0),MATCH(orders!L$1,products!$A$1:$G$1,0))</f>
        <v>11.95</v>
      </c>
      <c r="M806" s="7">
        <f t="shared" si="12"/>
        <v>23.9</v>
      </c>
      <c r="N806" s="4" t="str" cm="1">
        <f t="array" ref="N806">_xlfn.IFS(I806="Rob","Robusta",I806="Exc","Excelsa",I806="Ara","Arabica",I806="Lib","Liberica")</f>
        <v>Robusta</v>
      </c>
      <c r="O806" s="4" t="str" cm="1">
        <f t="array" ref="O806">_xlfn.IFS(J806="M","Medium",J806="L","Light",J806="D","Dark")</f>
        <v>Light</v>
      </c>
      <c r="P806" s="4" t="str">
        <f>_xlfn.XLOOKUP(CoffeeOrderstable[[#This Row],[Customer ID]],customers!$A$1:$A$1001,customers!$I$1:$I$1001,,0)</f>
        <v>No</v>
      </c>
    </row>
    <row r="807" spans="1:16" x14ac:dyDescent="0.3">
      <c r="A807" s="3" t="s">
        <v>5040</v>
      </c>
      <c r="B807" s="5">
        <v>44713</v>
      </c>
      <c r="C807" s="3" t="s">
        <v>5041</v>
      </c>
      <c r="D807" s="4" t="s">
        <v>6146</v>
      </c>
      <c r="E807" s="3">
        <v>1</v>
      </c>
      <c r="F807" s="3" t="str">
        <f>_xlfn.XLOOKUP(C807,customers!$A$1:$A$1001,customers!$B$1:$B$1001,,0)</f>
        <v>Chester Clowton</v>
      </c>
      <c r="G807" s="3" t="str">
        <f>IF(_xlfn.XLOOKUP(C807,customers!$A$1:$A$1001,customers!$C$1:$C$1001,,0)=0,"", _xlfn.XLOOKUP(C807,customers!$A$1:$A$1001,customers!$C$1:$C$1001,,0))</f>
        <v/>
      </c>
      <c r="H807" s="3" t="str">
        <f>_xlfn.XLOOKUP(C807,customers!$A$1:$A$1001,customers!$G$1:$G$1001,,0)</f>
        <v>United States</v>
      </c>
      <c r="I807" s="4" t="str">
        <f>INDEX(products!$A$1:$G$49,MATCH(orders!$D807,products!$A$1:$A$49,0),MATCH(orders!I$1,products!$A$1:$G$1,0))</f>
        <v>Rob</v>
      </c>
      <c r="J807" s="4" t="str">
        <f>INDEX(products!$A$1:$G$49,MATCH(orders!$D807,products!$A$1:$A$49,0),MATCH(orders!J$1,products!$A$1:$G$1,0))</f>
        <v>M</v>
      </c>
      <c r="K807" s="6">
        <f>INDEX(products!$A$1:$G$49,MATCH(orders!$D807,products!$A$1:$A$49,0),MATCH(orders!K$1,products!$A$1:$G$1,0))</f>
        <v>0.5</v>
      </c>
      <c r="L807" s="7">
        <f>INDEX(products!$A$1:$G$49,MATCH(orders!$D807,products!$A$1:$A$49,0),MATCH(orders!L$1,products!$A$1:$G$1,0))</f>
        <v>5.97</v>
      </c>
      <c r="M807" s="7">
        <f t="shared" si="12"/>
        <v>5.97</v>
      </c>
      <c r="N807" s="4" t="str" cm="1">
        <f t="array" ref="N807">_xlfn.IFS(I807="Rob","Robusta",I807="Exc","Excelsa",I807="Ara","Arabica",I807="Lib","Liberica")</f>
        <v>Robusta</v>
      </c>
      <c r="O807" s="4" t="str" cm="1">
        <f t="array" ref="O807">_xlfn.IFS(J807="M","Medium",J807="L","Light",J807="D","Dark")</f>
        <v>Medium</v>
      </c>
      <c r="P807" s="4" t="str">
        <f>_xlfn.XLOOKUP(CoffeeOrderstable[[#This Row],[Customer ID]],customers!$A$1:$A$1001,customers!$I$1:$I$1001,,0)</f>
        <v>No</v>
      </c>
    </row>
    <row r="808" spans="1:16" x14ac:dyDescent="0.3">
      <c r="A808" s="3" t="s">
        <v>5046</v>
      </c>
      <c r="B808" s="5">
        <v>44241</v>
      </c>
      <c r="C808" s="3" t="s">
        <v>5047</v>
      </c>
      <c r="D808" s="4" t="s">
        <v>6150</v>
      </c>
      <c r="E808" s="3">
        <v>2</v>
      </c>
      <c r="F808" s="3" t="str">
        <f>_xlfn.XLOOKUP(C808,customers!$A$1:$A$1001,customers!$B$1:$B$1001,,0)</f>
        <v>Kathleen Diable</v>
      </c>
      <c r="G808" s="3" t="str">
        <f>IF(_xlfn.XLOOKUP(C808,customers!$A$1:$A$1001,customers!$C$1:$C$1001,,0)=0,"", _xlfn.XLOOKUP(C808,customers!$A$1:$A$1001,customers!$C$1:$C$1001,,0))</f>
        <v/>
      </c>
      <c r="H808" s="3" t="str">
        <f>_xlfn.XLOOKUP(C808,customers!$A$1:$A$1001,customers!$G$1:$G$1001,,0)</f>
        <v>United Kingdom</v>
      </c>
      <c r="I808" s="4" t="str">
        <f>INDEX(products!$A$1:$G$49,MATCH(orders!$D808,products!$A$1:$A$49,0),MATCH(orders!I$1,products!$A$1:$G$1,0))</f>
        <v>Lib</v>
      </c>
      <c r="J808" s="4" t="str">
        <f>INDEX(products!$A$1:$G$49,MATCH(orders!$D808,products!$A$1:$A$49,0),MATCH(orders!J$1,products!$A$1:$G$1,0))</f>
        <v>D</v>
      </c>
      <c r="K808" s="6">
        <f>INDEX(products!$A$1:$G$49,MATCH(orders!$D808,products!$A$1:$A$49,0),MATCH(orders!K$1,products!$A$1:$G$1,0))</f>
        <v>0.2</v>
      </c>
      <c r="L808" s="7">
        <f>INDEX(products!$A$1:$G$49,MATCH(orders!$D808,products!$A$1:$A$49,0),MATCH(orders!L$1,products!$A$1:$G$1,0))</f>
        <v>3.8849999999999998</v>
      </c>
      <c r="M808" s="7">
        <f t="shared" si="12"/>
        <v>7.77</v>
      </c>
      <c r="N808" s="4" t="str" cm="1">
        <f t="array" ref="N808">_xlfn.IFS(I808="Rob","Robusta",I808="Exc","Excelsa",I808="Ara","Arabica",I808="Lib","Liberica")</f>
        <v>Liberica</v>
      </c>
      <c r="O808" s="4" t="str" cm="1">
        <f t="array" ref="O808">_xlfn.IFS(J808="M","Medium",J808="L","Light",J808="D","Dark")</f>
        <v>Dark</v>
      </c>
      <c r="P808" s="4" t="str">
        <f>_xlfn.XLOOKUP(CoffeeOrderstable[[#This Row],[Customer ID]],customers!$A$1:$A$1001,customers!$I$1:$I$1001,,0)</f>
        <v>Yes</v>
      </c>
    </row>
    <row r="809" spans="1:16" x14ac:dyDescent="0.3">
      <c r="A809" s="3" t="s">
        <v>5050</v>
      </c>
      <c r="B809" s="5">
        <v>44543</v>
      </c>
      <c r="C809" s="3" t="s">
        <v>5051</v>
      </c>
      <c r="D809" s="4" t="s">
        <v>6169</v>
      </c>
      <c r="E809" s="3">
        <v>3</v>
      </c>
      <c r="F809" s="3" t="str">
        <f>_xlfn.XLOOKUP(C809,customers!$A$1:$A$1001,customers!$B$1:$B$1001,,0)</f>
        <v>Koren Ferretti</v>
      </c>
      <c r="G809" s="3" t="str">
        <f>IF(_xlfn.XLOOKUP(C809,customers!$A$1:$A$1001,customers!$C$1:$C$1001,,0)=0,"", _xlfn.XLOOKUP(C809,customers!$A$1:$A$1001,customers!$C$1:$C$1001,,0))</f>
        <v>kferrettimf@huffingtonpost.com</v>
      </c>
      <c r="H809" s="3" t="str">
        <f>_xlfn.XLOOKUP(C809,customers!$A$1:$A$1001,customers!$G$1:$G$1001,,0)</f>
        <v>Ireland</v>
      </c>
      <c r="I809" s="4" t="str">
        <f>INDEX(products!$A$1:$G$49,MATCH(orders!$D809,products!$A$1:$A$49,0),MATCH(orders!I$1,products!$A$1:$G$1,0))</f>
        <v>Lib</v>
      </c>
      <c r="J809" s="4" t="str">
        <f>INDEX(products!$A$1:$G$49,MATCH(orders!$D809,products!$A$1:$A$49,0),MATCH(orders!J$1,products!$A$1:$G$1,0))</f>
        <v>D</v>
      </c>
      <c r="K809" s="6">
        <f>INDEX(products!$A$1:$G$49,MATCH(orders!$D809,products!$A$1:$A$49,0),MATCH(orders!K$1,products!$A$1:$G$1,0))</f>
        <v>0.5</v>
      </c>
      <c r="L809" s="7">
        <f>INDEX(products!$A$1:$G$49,MATCH(orders!$D809,products!$A$1:$A$49,0),MATCH(orders!L$1,products!$A$1:$G$1,0))</f>
        <v>7.77</v>
      </c>
      <c r="M809" s="7">
        <f t="shared" si="12"/>
        <v>23.31</v>
      </c>
      <c r="N809" s="4" t="str" cm="1">
        <f t="array" ref="N809">_xlfn.IFS(I809="Rob","Robusta",I809="Exc","Excelsa",I809="Ara","Arabica",I809="Lib","Liberica")</f>
        <v>Liberica</v>
      </c>
      <c r="O809" s="4" t="str" cm="1">
        <f t="array" ref="O809">_xlfn.IFS(J809="M","Medium",J809="L","Light",J809="D","Dark")</f>
        <v>Dark</v>
      </c>
      <c r="P809" s="4" t="str">
        <f>_xlfn.XLOOKUP(CoffeeOrderstable[[#This Row],[Customer ID]],customers!$A$1:$A$1001,customers!$I$1:$I$1001,,0)</f>
        <v>No</v>
      </c>
    </row>
    <row r="810" spans="1:16" x14ac:dyDescent="0.3">
      <c r="A810" s="3" t="s">
        <v>5056</v>
      </c>
      <c r="B810" s="5">
        <v>43868</v>
      </c>
      <c r="C810" s="3" t="s">
        <v>5113</v>
      </c>
      <c r="D810" s="4" t="s">
        <v>6142</v>
      </c>
      <c r="E810" s="3">
        <v>5</v>
      </c>
      <c r="F810" s="3" t="str">
        <f>_xlfn.XLOOKUP(C810,customers!$A$1:$A$1001,customers!$B$1:$B$1001,,0)</f>
        <v>Allis Wilmore</v>
      </c>
      <c r="G810" s="3" t="str">
        <f>IF(_xlfn.XLOOKUP(C810,customers!$A$1:$A$1001,customers!$C$1:$C$1001,,0)=0,"", _xlfn.XLOOKUP(C810,customers!$A$1:$A$1001,customers!$C$1:$C$1001,,0))</f>
        <v/>
      </c>
      <c r="H810" s="3" t="str">
        <f>_xlfn.XLOOKUP(C810,customers!$A$1:$A$1001,customers!$G$1:$G$1001,,0)</f>
        <v>United States</v>
      </c>
      <c r="I810" s="4" t="str">
        <f>INDEX(products!$A$1:$G$49,MATCH(orders!$D810,products!$A$1:$A$49,0),MATCH(orders!I$1,products!$A$1:$G$1,0))</f>
        <v>Rob</v>
      </c>
      <c r="J810" s="4" t="str">
        <f>INDEX(products!$A$1:$G$49,MATCH(orders!$D810,products!$A$1:$A$49,0),MATCH(orders!J$1,products!$A$1:$G$1,0))</f>
        <v>L</v>
      </c>
      <c r="K810" s="6">
        <f>INDEX(products!$A$1:$G$49,MATCH(orders!$D810,products!$A$1:$A$49,0),MATCH(orders!K$1,products!$A$1:$G$1,0))</f>
        <v>2.5</v>
      </c>
      <c r="L810" s="7">
        <f>INDEX(products!$A$1:$G$49,MATCH(orders!$D810,products!$A$1:$A$49,0),MATCH(orders!L$1,products!$A$1:$G$1,0))</f>
        <v>27.484999999999996</v>
      </c>
      <c r="M810" s="7">
        <f t="shared" si="12"/>
        <v>137.42499999999998</v>
      </c>
      <c r="N810" s="4" t="str" cm="1">
        <f t="array" ref="N810">_xlfn.IFS(I810="Rob","Robusta",I810="Exc","Excelsa",I810="Ara","Arabica",I810="Lib","Liberica")</f>
        <v>Robusta</v>
      </c>
      <c r="O810" s="4" t="str" cm="1">
        <f t="array" ref="O810">_xlfn.IFS(J810="M","Medium",J810="L","Light",J810="D","Dark")</f>
        <v>Light</v>
      </c>
      <c r="P810" s="4" t="str">
        <f>_xlfn.XLOOKUP(CoffeeOrderstable[[#This Row],[Customer ID]],customers!$A$1:$A$1001,customers!$I$1:$I$1001,,0)</f>
        <v>No</v>
      </c>
    </row>
    <row r="811" spans="1:16" x14ac:dyDescent="0.3">
      <c r="A811" s="3" t="s">
        <v>5062</v>
      </c>
      <c r="B811" s="5">
        <v>44235</v>
      </c>
      <c r="C811" s="3" t="s">
        <v>5063</v>
      </c>
      <c r="D811" s="4" t="s">
        <v>6163</v>
      </c>
      <c r="E811" s="3">
        <v>3</v>
      </c>
      <c r="F811" s="3" t="str">
        <f>_xlfn.XLOOKUP(C811,customers!$A$1:$A$1001,customers!$B$1:$B$1001,,0)</f>
        <v>Chaddie Bennie</v>
      </c>
      <c r="G811" s="3" t="str">
        <f>IF(_xlfn.XLOOKUP(C811,customers!$A$1:$A$1001,customers!$C$1:$C$1001,,0)=0,"", _xlfn.XLOOKUP(C811,customers!$A$1:$A$1001,customers!$C$1:$C$1001,,0))</f>
        <v/>
      </c>
      <c r="H811" s="3" t="str">
        <f>_xlfn.XLOOKUP(C811,customers!$A$1:$A$1001,customers!$G$1:$G$1001,,0)</f>
        <v>United States</v>
      </c>
      <c r="I811" s="4" t="str">
        <f>INDEX(products!$A$1:$G$49,MATCH(orders!$D811,products!$A$1:$A$49,0),MATCH(orders!I$1,products!$A$1:$G$1,0))</f>
        <v>Rob</v>
      </c>
      <c r="J811" s="4" t="str">
        <f>INDEX(products!$A$1:$G$49,MATCH(orders!$D811,products!$A$1:$A$49,0),MATCH(orders!J$1,products!$A$1:$G$1,0))</f>
        <v>D</v>
      </c>
      <c r="K811" s="6">
        <f>INDEX(products!$A$1:$G$49,MATCH(orders!$D811,products!$A$1:$A$49,0),MATCH(orders!K$1,products!$A$1:$G$1,0))</f>
        <v>0.2</v>
      </c>
      <c r="L811" s="7">
        <f>INDEX(products!$A$1:$G$49,MATCH(orders!$D811,products!$A$1:$A$49,0),MATCH(orders!L$1,products!$A$1:$G$1,0))</f>
        <v>2.6849999999999996</v>
      </c>
      <c r="M811" s="7">
        <f t="shared" si="12"/>
        <v>8.0549999999999997</v>
      </c>
      <c r="N811" s="4" t="str" cm="1">
        <f t="array" ref="N811">_xlfn.IFS(I811="Rob","Robusta",I811="Exc","Excelsa",I811="Ara","Arabica",I811="Lib","Liberica")</f>
        <v>Robusta</v>
      </c>
      <c r="O811" s="4" t="str" cm="1">
        <f t="array" ref="O811">_xlfn.IFS(J811="M","Medium",J811="L","Light",J811="D","Dark")</f>
        <v>Dark</v>
      </c>
      <c r="P811" s="4" t="str">
        <f>_xlfn.XLOOKUP(CoffeeOrderstable[[#This Row],[Customer ID]],customers!$A$1:$A$1001,customers!$I$1:$I$1001,,0)</f>
        <v>Yes</v>
      </c>
    </row>
    <row r="812" spans="1:16" x14ac:dyDescent="0.3">
      <c r="A812" s="3" t="s">
        <v>5067</v>
      </c>
      <c r="B812" s="5">
        <v>44054</v>
      </c>
      <c r="C812" s="3" t="s">
        <v>5068</v>
      </c>
      <c r="D812" s="4" t="s">
        <v>6161</v>
      </c>
      <c r="E812" s="3">
        <v>3</v>
      </c>
      <c r="F812" s="3" t="str">
        <f>_xlfn.XLOOKUP(C812,customers!$A$1:$A$1001,customers!$B$1:$B$1001,,0)</f>
        <v>Alberta Balsdone</v>
      </c>
      <c r="G812" s="3" t="str">
        <f>IF(_xlfn.XLOOKUP(C812,customers!$A$1:$A$1001,customers!$C$1:$C$1001,,0)=0,"", _xlfn.XLOOKUP(C812,customers!$A$1:$A$1001,customers!$C$1:$C$1001,,0))</f>
        <v>abalsdonemi@toplist.cz</v>
      </c>
      <c r="H812" s="3" t="str">
        <f>_xlfn.XLOOKUP(C812,customers!$A$1:$A$1001,customers!$G$1:$G$1001,,0)</f>
        <v>United States</v>
      </c>
      <c r="I812" s="4" t="str">
        <f>INDEX(products!$A$1:$G$49,MATCH(orders!$D812,products!$A$1:$A$49,0),MATCH(orders!I$1,products!$A$1:$G$1,0))</f>
        <v>Lib</v>
      </c>
      <c r="J812" s="4" t="str">
        <f>INDEX(products!$A$1:$G$49,MATCH(orders!$D812,products!$A$1:$A$49,0),MATCH(orders!J$1,products!$A$1:$G$1,0))</f>
        <v>L</v>
      </c>
      <c r="K812" s="6">
        <f>INDEX(products!$A$1:$G$49,MATCH(orders!$D812,products!$A$1:$A$49,0),MATCH(orders!K$1,products!$A$1:$G$1,0))</f>
        <v>0.5</v>
      </c>
      <c r="L812" s="7">
        <f>INDEX(products!$A$1:$G$49,MATCH(orders!$D812,products!$A$1:$A$49,0),MATCH(orders!L$1,products!$A$1:$G$1,0))</f>
        <v>9.51</v>
      </c>
      <c r="M812" s="7">
        <f t="shared" si="12"/>
        <v>28.53</v>
      </c>
      <c r="N812" s="4" t="str" cm="1">
        <f t="array" ref="N812">_xlfn.IFS(I812="Rob","Robusta",I812="Exc","Excelsa",I812="Ara","Arabica",I812="Lib","Liberica")</f>
        <v>Liberica</v>
      </c>
      <c r="O812" s="4" t="str" cm="1">
        <f t="array" ref="O812">_xlfn.IFS(J812="M","Medium",J812="L","Light",J812="D","Dark")</f>
        <v>Light</v>
      </c>
      <c r="P812" s="4" t="str">
        <f>_xlfn.XLOOKUP(CoffeeOrderstable[[#This Row],[Customer ID]],customers!$A$1:$A$1001,customers!$I$1:$I$1001,,0)</f>
        <v>No</v>
      </c>
    </row>
    <row r="813" spans="1:16" x14ac:dyDescent="0.3">
      <c r="A813" s="3" t="s">
        <v>5073</v>
      </c>
      <c r="B813" s="5">
        <v>44114</v>
      </c>
      <c r="C813" s="3" t="s">
        <v>5074</v>
      </c>
      <c r="D813" s="4" t="s">
        <v>6155</v>
      </c>
      <c r="E813" s="3">
        <v>6</v>
      </c>
      <c r="F813" s="3" t="str">
        <f>_xlfn.XLOOKUP(C813,customers!$A$1:$A$1001,customers!$B$1:$B$1001,,0)</f>
        <v>Brice Romera</v>
      </c>
      <c r="G813" s="3" t="str">
        <f>IF(_xlfn.XLOOKUP(C813,customers!$A$1:$A$1001,customers!$C$1:$C$1001,,0)=0,"", _xlfn.XLOOKUP(C813,customers!$A$1:$A$1001,customers!$C$1:$C$1001,,0))</f>
        <v>bromeramj@list-manage.com</v>
      </c>
      <c r="H813" s="3" t="str">
        <f>_xlfn.XLOOKUP(C813,customers!$A$1:$A$1001,customers!$G$1:$G$1001,,0)</f>
        <v>Ireland</v>
      </c>
      <c r="I813" s="4" t="str">
        <f>INDEX(products!$A$1:$G$49,MATCH(orders!$D813,products!$A$1:$A$49,0),MATCH(orders!I$1,products!$A$1:$G$1,0))</f>
        <v>Ara</v>
      </c>
      <c r="J813" s="4" t="str">
        <f>INDEX(products!$A$1:$G$49,MATCH(orders!$D813,products!$A$1:$A$49,0),MATCH(orders!J$1,products!$A$1:$G$1,0))</f>
        <v>M</v>
      </c>
      <c r="K813" s="6">
        <f>INDEX(products!$A$1:$G$49,MATCH(orders!$D813,products!$A$1:$A$49,0),MATCH(orders!K$1,products!$A$1:$G$1,0))</f>
        <v>1</v>
      </c>
      <c r="L813" s="7">
        <f>INDEX(products!$A$1:$G$49,MATCH(orders!$D813,products!$A$1:$A$49,0),MATCH(orders!L$1,products!$A$1:$G$1,0))</f>
        <v>11.25</v>
      </c>
      <c r="M813" s="7">
        <f t="shared" si="12"/>
        <v>67.5</v>
      </c>
      <c r="N813" s="4" t="str" cm="1">
        <f t="array" ref="N813">_xlfn.IFS(I813="Rob","Robusta",I813="Exc","Excelsa",I813="Ara","Arabica",I813="Lib","Liberica")</f>
        <v>Arabica</v>
      </c>
      <c r="O813" s="4" t="str" cm="1">
        <f t="array" ref="O813">_xlfn.IFS(J813="M","Medium",J813="L","Light",J813="D","Dark")</f>
        <v>Medium</v>
      </c>
      <c r="P813" s="4" t="str">
        <f>_xlfn.XLOOKUP(CoffeeOrderstable[[#This Row],[Customer ID]],customers!$A$1:$A$1001,customers!$I$1:$I$1001,,0)</f>
        <v>Yes</v>
      </c>
    </row>
    <row r="814" spans="1:16" x14ac:dyDescent="0.3">
      <c r="A814" s="3" t="s">
        <v>5073</v>
      </c>
      <c r="B814" s="5">
        <v>44114</v>
      </c>
      <c r="C814" s="3" t="s">
        <v>5074</v>
      </c>
      <c r="D814" s="4" t="s">
        <v>6165</v>
      </c>
      <c r="E814" s="3">
        <v>6</v>
      </c>
      <c r="F814" s="3" t="str">
        <f>_xlfn.XLOOKUP(C814,customers!$A$1:$A$1001,customers!$B$1:$B$1001,,0)</f>
        <v>Brice Romera</v>
      </c>
      <c r="G814" s="3" t="str">
        <f>IF(_xlfn.XLOOKUP(C814,customers!$A$1:$A$1001,customers!$C$1:$C$1001,,0)=0,"", _xlfn.XLOOKUP(C814,customers!$A$1:$A$1001,customers!$C$1:$C$1001,,0))</f>
        <v>bromeramj@list-manage.com</v>
      </c>
      <c r="H814" s="3" t="str">
        <f>_xlfn.XLOOKUP(C814,customers!$A$1:$A$1001,customers!$G$1:$G$1001,,0)</f>
        <v>Ireland</v>
      </c>
      <c r="I814" s="4" t="str">
        <f>INDEX(products!$A$1:$G$49,MATCH(orders!$D814,products!$A$1:$A$49,0),MATCH(orders!I$1,products!$A$1:$G$1,0))</f>
        <v>Lib</v>
      </c>
      <c r="J814" s="4" t="str">
        <f>INDEX(products!$A$1:$G$49,MATCH(orders!$D814,products!$A$1:$A$49,0),MATCH(orders!J$1,products!$A$1:$G$1,0))</f>
        <v>D</v>
      </c>
      <c r="K814" s="6">
        <f>INDEX(products!$A$1:$G$49,MATCH(orders!$D814,products!$A$1:$A$49,0),MATCH(orders!K$1,products!$A$1:$G$1,0))</f>
        <v>2.5</v>
      </c>
      <c r="L814" s="7">
        <f>INDEX(products!$A$1:$G$49,MATCH(orders!$D814,products!$A$1:$A$49,0),MATCH(orders!L$1,products!$A$1:$G$1,0))</f>
        <v>29.784999999999997</v>
      </c>
      <c r="M814" s="7">
        <f t="shared" si="12"/>
        <v>178.70999999999998</v>
      </c>
      <c r="N814" s="4" t="str" cm="1">
        <f t="array" ref="N814">_xlfn.IFS(I814="Rob","Robusta",I814="Exc","Excelsa",I814="Ara","Arabica",I814="Lib","Liberica")</f>
        <v>Liberica</v>
      </c>
      <c r="O814" s="4" t="str" cm="1">
        <f t="array" ref="O814">_xlfn.IFS(J814="M","Medium",J814="L","Light",J814="D","Dark")</f>
        <v>Dark</v>
      </c>
      <c r="P814" s="4" t="str">
        <f>_xlfn.XLOOKUP(CoffeeOrderstable[[#This Row],[Customer ID]],customers!$A$1:$A$1001,customers!$I$1:$I$1001,,0)</f>
        <v>Yes</v>
      </c>
    </row>
    <row r="815" spans="1:16" x14ac:dyDescent="0.3">
      <c r="A815" s="3" t="s">
        <v>5084</v>
      </c>
      <c r="B815" s="5">
        <v>44173</v>
      </c>
      <c r="C815" s="3" t="s">
        <v>5085</v>
      </c>
      <c r="D815" s="4" t="s">
        <v>6166</v>
      </c>
      <c r="E815" s="3">
        <v>1</v>
      </c>
      <c r="F815" s="3" t="str">
        <f>_xlfn.XLOOKUP(C815,customers!$A$1:$A$1001,customers!$B$1:$B$1001,,0)</f>
        <v>Conchita Bryde</v>
      </c>
      <c r="G815" s="3" t="str">
        <f>IF(_xlfn.XLOOKUP(C815,customers!$A$1:$A$1001,customers!$C$1:$C$1001,,0)=0,"", _xlfn.XLOOKUP(C815,customers!$A$1:$A$1001,customers!$C$1:$C$1001,,0))</f>
        <v>cbrydeml@tuttocitta.it</v>
      </c>
      <c r="H815" s="3" t="str">
        <f>_xlfn.XLOOKUP(C815,customers!$A$1:$A$1001,customers!$G$1:$G$1001,,0)</f>
        <v>United States</v>
      </c>
      <c r="I815" s="4" t="str">
        <f>INDEX(products!$A$1:$G$49,MATCH(orders!$D815,products!$A$1:$A$49,0),MATCH(orders!I$1,products!$A$1:$G$1,0))</f>
        <v>Exc</v>
      </c>
      <c r="J815" s="4" t="str">
        <f>INDEX(products!$A$1:$G$49,MATCH(orders!$D815,products!$A$1:$A$49,0),MATCH(orders!J$1,products!$A$1:$G$1,0))</f>
        <v>M</v>
      </c>
      <c r="K815" s="6">
        <f>INDEX(products!$A$1:$G$49,MATCH(orders!$D815,products!$A$1:$A$49,0),MATCH(orders!K$1,products!$A$1:$G$1,0))</f>
        <v>2.5</v>
      </c>
      <c r="L815" s="7">
        <f>INDEX(products!$A$1:$G$49,MATCH(orders!$D815,products!$A$1:$A$49,0),MATCH(orders!L$1,products!$A$1:$G$1,0))</f>
        <v>31.624999999999996</v>
      </c>
      <c r="M815" s="7">
        <f t="shared" si="12"/>
        <v>31.624999999999996</v>
      </c>
      <c r="N815" s="4" t="str" cm="1">
        <f t="array" ref="N815">_xlfn.IFS(I815="Rob","Robusta",I815="Exc","Excelsa",I815="Ara","Arabica",I815="Lib","Liberica")</f>
        <v>Excelsa</v>
      </c>
      <c r="O815" s="4" t="str" cm="1">
        <f t="array" ref="O815">_xlfn.IFS(J815="M","Medium",J815="L","Light",J815="D","Dark")</f>
        <v>Medium</v>
      </c>
      <c r="P815" s="4" t="str">
        <f>_xlfn.XLOOKUP(CoffeeOrderstable[[#This Row],[Customer ID]],customers!$A$1:$A$1001,customers!$I$1:$I$1001,,0)</f>
        <v>Yes</v>
      </c>
    </row>
    <row r="816" spans="1:16" x14ac:dyDescent="0.3">
      <c r="A816" s="3" t="s">
        <v>5090</v>
      </c>
      <c r="B816" s="5">
        <v>43573</v>
      </c>
      <c r="C816" s="3" t="s">
        <v>5091</v>
      </c>
      <c r="D816" s="4" t="s">
        <v>6184</v>
      </c>
      <c r="E816" s="3">
        <v>2</v>
      </c>
      <c r="F816" s="3" t="str">
        <f>_xlfn.XLOOKUP(C816,customers!$A$1:$A$1001,customers!$B$1:$B$1001,,0)</f>
        <v>Silvanus Enefer</v>
      </c>
      <c r="G816" s="3" t="str">
        <f>IF(_xlfn.XLOOKUP(C816,customers!$A$1:$A$1001,customers!$C$1:$C$1001,,0)=0,"", _xlfn.XLOOKUP(C816,customers!$A$1:$A$1001,customers!$C$1:$C$1001,,0))</f>
        <v>senefermm@blog.com</v>
      </c>
      <c r="H816" s="3" t="str">
        <f>_xlfn.XLOOKUP(C816,customers!$A$1:$A$1001,customers!$G$1:$G$1001,,0)</f>
        <v>United States</v>
      </c>
      <c r="I816" s="4" t="str">
        <f>INDEX(products!$A$1:$G$49,MATCH(orders!$D816,products!$A$1:$A$49,0),MATCH(orders!I$1,products!$A$1:$G$1,0))</f>
        <v>Exc</v>
      </c>
      <c r="J816" s="4" t="str">
        <f>INDEX(products!$A$1:$G$49,MATCH(orders!$D816,products!$A$1:$A$49,0),MATCH(orders!J$1,products!$A$1:$G$1,0))</f>
        <v>L</v>
      </c>
      <c r="K816" s="6">
        <f>INDEX(products!$A$1:$G$49,MATCH(orders!$D816,products!$A$1:$A$49,0),MATCH(orders!K$1,products!$A$1:$G$1,0))</f>
        <v>0.2</v>
      </c>
      <c r="L816" s="7">
        <f>INDEX(products!$A$1:$G$49,MATCH(orders!$D816,products!$A$1:$A$49,0),MATCH(orders!L$1,products!$A$1:$G$1,0))</f>
        <v>4.4550000000000001</v>
      </c>
      <c r="M816" s="7">
        <f t="shared" si="12"/>
        <v>8.91</v>
      </c>
      <c r="N816" s="4" t="str" cm="1">
        <f t="array" ref="N816">_xlfn.IFS(I816="Rob","Robusta",I816="Exc","Excelsa",I816="Ara","Arabica",I816="Lib","Liberica")</f>
        <v>Excelsa</v>
      </c>
      <c r="O816" s="4" t="str" cm="1">
        <f t="array" ref="O816">_xlfn.IFS(J816="M","Medium",J816="L","Light",J816="D","Dark")</f>
        <v>Light</v>
      </c>
      <c r="P816" s="4" t="str">
        <f>_xlfn.XLOOKUP(CoffeeOrderstable[[#This Row],[Customer ID]],customers!$A$1:$A$1001,customers!$I$1:$I$1001,,0)</f>
        <v>No</v>
      </c>
    </row>
    <row r="817" spans="1:16" x14ac:dyDescent="0.3">
      <c r="A817" s="3" t="s">
        <v>5096</v>
      </c>
      <c r="B817" s="5">
        <v>44200</v>
      </c>
      <c r="C817" s="3" t="s">
        <v>5097</v>
      </c>
      <c r="D817" s="4" t="s">
        <v>6146</v>
      </c>
      <c r="E817" s="3">
        <v>6</v>
      </c>
      <c r="F817" s="3" t="str">
        <f>_xlfn.XLOOKUP(C817,customers!$A$1:$A$1001,customers!$B$1:$B$1001,,0)</f>
        <v>Lenci Haggerstone</v>
      </c>
      <c r="G817" s="3" t="str">
        <f>IF(_xlfn.XLOOKUP(C817,customers!$A$1:$A$1001,customers!$C$1:$C$1001,,0)=0,"", _xlfn.XLOOKUP(C817,customers!$A$1:$A$1001,customers!$C$1:$C$1001,,0))</f>
        <v>lhaggerstonemn@independent.co.uk</v>
      </c>
      <c r="H817" s="3" t="str">
        <f>_xlfn.XLOOKUP(C817,customers!$A$1:$A$1001,customers!$G$1:$G$1001,,0)</f>
        <v>United States</v>
      </c>
      <c r="I817" s="4" t="str">
        <f>INDEX(products!$A$1:$G$49,MATCH(orders!$D817,products!$A$1:$A$49,0),MATCH(orders!I$1,products!$A$1:$G$1,0))</f>
        <v>Rob</v>
      </c>
      <c r="J817" s="4" t="str">
        <f>INDEX(products!$A$1:$G$49,MATCH(orders!$D817,products!$A$1:$A$49,0),MATCH(orders!J$1,products!$A$1:$G$1,0))</f>
        <v>M</v>
      </c>
      <c r="K817" s="6">
        <f>INDEX(products!$A$1:$G$49,MATCH(orders!$D817,products!$A$1:$A$49,0),MATCH(orders!K$1,products!$A$1:$G$1,0))</f>
        <v>0.5</v>
      </c>
      <c r="L817" s="7">
        <f>INDEX(products!$A$1:$G$49,MATCH(orders!$D817,products!$A$1:$A$49,0),MATCH(orders!L$1,products!$A$1:$G$1,0))</f>
        <v>5.97</v>
      </c>
      <c r="M817" s="7">
        <f t="shared" si="12"/>
        <v>35.82</v>
      </c>
      <c r="N817" s="4" t="str" cm="1">
        <f t="array" ref="N817">_xlfn.IFS(I817="Rob","Robusta",I817="Exc","Excelsa",I817="Ara","Arabica",I817="Lib","Liberica")</f>
        <v>Robusta</v>
      </c>
      <c r="O817" s="4" t="str" cm="1">
        <f t="array" ref="O817">_xlfn.IFS(J817="M","Medium",J817="L","Light",J817="D","Dark")</f>
        <v>Medium</v>
      </c>
      <c r="P817" s="4" t="str">
        <f>_xlfn.XLOOKUP(CoffeeOrderstable[[#This Row],[Customer ID]],customers!$A$1:$A$1001,customers!$I$1:$I$1001,,0)</f>
        <v>No</v>
      </c>
    </row>
    <row r="818" spans="1:16" x14ac:dyDescent="0.3">
      <c r="A818" s="3" t="s">
        <v>5102</v>
      </c>
      <c r="B818" s="5">
        <v>43534</v>
      </c>
      <c r="C818" s="3" t="s">
        <v>5103</v>
      </c>
      <c r="D818" s="4" t="s">
        <v>6161</v>
      </c>
      <c r="E818" s="3">
        <v>4</v>
      </c>
      <c r="F818" s="3" t="str">
        <f>_xlfn.XLOOKUP(C818,customers!$A$1:$A$1001,customers!$B$1:$B$1001,,0)</f>
        <v>Marvin Gundry</v>
      </c>
      <c r="G818" s="3" t="str">
        <f>IF(_xlfn.XLOOKUP(C818,customers!$A$1:$A$1001,customers!$C$1:$C$1001,,0)=0,"", _xlfn.XLOOKUP(C818,customers!$A$1:$A$1001,customers!$C$1:$C$1001,,0))</f>
        <v>mgundrymo@omniture.com</v>
      </c>
      <c r="H818" s="3" t="str">
        <f>_xlfn.XLOOKUP(C818,customers!$A$1:$A$1001,customers!$G$1:$G$1001,,0)</f>
        <v>Ireland</v>
      </c>
      <c r="I818" s="4" t="str">
        <f>INDEX(products!$A$1:$G$49,MATCH(orders!$D818,products!$A$1:$A$49,0),MATCH(orders!I$1,products!$A$1:$G$1,0))</f>
        <v>Lib</v>
      </c>
      <c r="J818" s="4" t="str">
        <f>INDEX(products!$A$1:$G$49,MATCH(orders!$D818,products!$A$1:$A$49,0),MATCH(orders!J$1,products!$A$1:$G$1,0))</f>
        <v>L</v>
      </c>
      <c r="K818" s="6">
        <f>INDEX(products!$A$1:$G$49,MATCH(orders!$D818,products!$A$1:$A$49,0),MATCH(orders!K$1,products!$A$1:$G$1,0))</f>
        <v>0.5</v>
      </c>
      <c r="L818" s="7">
        <f>INDEX(products!$A$1:$G$49,MATCH(orders!$D818,products!$A$1:$A$49,0),MATCH(orders!L$1,products!$A$1:$G$1,0))</f>
        <v>9.51</v>
      </c>
      <c r="M818" s="7">
        <f t="shared" si="12"/>
        <v>38.04</v>
      </c>
      <c r="N818" s="4" t="str" cm="1">
        <f t="array" ref="N818">_xlfn.IFS(I818="Rob","Robusta",I818="Exc","Excelsa",I818="Ara","Arabica",I818="Lib","Liberica")</f>
        <v>Liberica</v>
      </c>
      <c r="O818" s="4" t="str" cm="1">
        <f t="array" ref="O818">_xlfn.IFS(J818="M","Medium",J818="L","Light",J818="D","Dark")</f>
        <v>Light</v>
      </c>
      <c r="P818" s="4" t="str">
        <f>_xlfn.XLOOKUP(CoffeeOrderstable[[#This Row],[Customer ID]],customers!$A$1:$A$1001,customers!$I$1:$I$1001,,0)</f>
        <v>No</v>
      </c>
    </row>
    <row r="819" spans="1:16" x14ac:dyDescent="0.3">
      <c r="A819" s="3" t="s">
        <v>5107</v>
      </c>
      <c r="B819" s="5">
        <v>43798</v>
      </c>
      <c r="C819" s="3" t="s">
        <v>5108</v>
      </c>
      <c r="D819" s="4" t="s">
        <v>6169</v>
      </c>
      <c r="E819" s="3">
        <v>2</v>
      </c>
      <c r="F819" s="3" t="str">
        <f>_xlfn.XLOOKUP(C819,customers!$A$1:$A$1001,customers!$B$1:$B$1001,,0)</f>
        <v>Bayard Wellan</v>
      </c>
      <c r="G819" s="3" t="str">
        <f>IF(_xlfn.XLOOKUP(C819,customers!$A$1:$A$1001,customers!$C$1:$C$1001,,0)=0,"", _xlfn.XLOOKUP(C819,customers!$A$1:$A$1001,customers!$C$1:$C$1001,,0))</f>
        <v>bwellanmp@cafepress.com</v>
      </c>
      <c r="H819" s="3" t="str">
        <f>_xlfn.XLOOKUP(C819,customers!$A$1:$A$1001,customers!$G$1:$G$1001,,0)</f>
        <v>United States</v>
      </c>
      <c r="I819" s="4" t="str">
        <f>INDEX(products!$A$1:$G$49,MATCH(orders!$D819,products!$A$1:$A$49,0),MATCH(orders!I$1,products!$A$1:$G$1,0))</f>
        <v>Lib</v>
      </c>
      <c r="J819" s="4" t="str">
        <f>INDEX(products!$A$1:$G$49,MATCH(orders!$D819,products!$A$1:$A$49,0),MATCH(orders!J$1,products!$A$1:$G$1,0))</f>
        <v>D</v>
      </c>
      <c r="K819" s="6">
        <f>INDEX(products!$A$1:$G$49,MATCH(orders!$D819,products!$A$1:$A$49,0),MATCH(orders!K$1,products!$A$1:$G$1,0))</f>
        <v>0.5</v>
      </c>
      <c r="L819" s="7">
        <f>INDEX(products!$A$1:$G$49,MATCH(orders!$D819,products!$A$1:$A$49,0),MATCH(orders!L$1,products!$A$1:$G$1,0))</f>
        <v>7.77</v>
      </c>
      <c r="M819" s="7">
        <f t="shared" si="12"/>
        <v>15.54</v>
      </c>
      <c r="N819" s="4" t="str" cm="1">
        <f t="array" ref="N819">_xlfn.IFS(I819="Rob","Robusta",I819="Exc","Excelsa",I819="Ara","Arabica",I819="Lib","Liberica")</f>
        <v>Liberica</v>
      </c>
      <c r="O819" s="4" t="str" cm="1">
        <f t="array" ref="O819">_xlfn.IFS(J819="M","Medium",J819="L","Light",J819="D","Dark")</f>
        <v>Dark</v>
      </c>
      <c r="P819" s="4" t="str">
        <f>_xlfn.XLOOKUP(CoffeeOrderstable[[#This Row],[Customer ID]],customers!$A$1:$A$1001,customers!$I$1:$I$1001,,0)</f>
        <v>No</v>
      </c>
    </row>
    <row r="820" spans="1:16" x14ac:dyDescent="0.3">
      <c r="A820" s="3" t="s">
        <v>5112</v>
      </c>
      <c r="B820" s="5">
        <v>44761</v>
      </c>
      <c r="C820" s="3" t="s">
        <v>5113</v>
      </c>
      <c r="D820" s="4" t="s">
        <v>6170</v>
      </c>
      <c r="E820" s="3">
        <v>5</v>
      </c>
      <c r="F820" s="3" t="str">
        <f>_xlfn.XLOOKUP(C820,customers!$A$1:$A$1001,customers!$B$1:$B$1001,,0)</f>
        <v>Allis Wilmore</v>
      </c>
      <c r="G820" s="3" t="str">
        <f>IF(_xlfn.XLOOKUP(C820,customers!$A$1:$A$1001,customers!$C$1:$C$1001,,0)=0,"", _xlfn.XLOOKUP(C820,customers!$A$1:$A$1001,customers!$C$1:$C$1001,,0))</f>
        <v/>
      </c>
      <c r="H820" s="3" t="str">
        <f>_xlfn.XLOOKUP(C820,customers!$A$1:$A$1001,customers!$G$1:$G$1001,,0)</f>
        <v>United States</v>
      </c>
      <c r="I820" s="4" t="str">
        <f>INDEX(products!$A$1:$G$49,MATCH(orders!$D820,products!$A$1:$A$49,0),MATCH(orders!I$1,products!$A$1:$G$1,0))</f>
        <v>Lib</v>
      </c>
      <c r="J820" s="4" t="str">
        <f>INDEX(products!$A$1:$G$49,MATCH(orders!$D820,products!$A$1:$A$49,0),MATCH(orders!J$1,products!$A$1:$G$1,0))</f>
        <v>L</v>
      </c>
      <c r="K820" s="6">
        <f>INDEX(products!$A$1:$G$49,MATCH(orders!$D820,products!$A$1:$A$49,0),MATCH(orders!K$1,products!$A$1:$G$1,0))</f>
        <v>1</v>
      </c>
      <c r="L820" s="7">
        <f>INDEX(products!$A$1:$G$49,MATCH(orders!$D820,products!$A$1:$A$49,0),MATCH(orders!L$1,products!$A$1:$G$1,0))</f>
        <v>15.85</v>
      </c>
      <c r="M820" s="7">
        <f t="shared" si="12"/>
        <v>79.25</v>
      </c>
      <c r="N820" s="4" t="str" cm="1">
        <f t="array" ref="N820">_xlfn.IFS(I820="Rob","Robusta",I820="Exc","Excelsa",I820="Ara","Arabica",I820="Lib","Liberica")</f>
        <v>Liberica</v>
      </c>
      <c r="O820" s="4" t="str" cm="1">
        <f t="array" ref="O820">_xlfn.IFS(J820="M","Medium",J820="L","Light",J820="D","Dark")</f>
        <v>Light</v>
      </c>
      <c r="P820" s="4" t="str">
        <f>_xlfn.XLOOKUP(CoffeeOrderstable[[#This Row],[Customer ID]],customers!$A$1:$A$1001,customers!$I$1:$I$1001,,0)</f>
        <v>No</v>
      </c>
    </row>
    <row r="821" spans="1:16" x14ac:dyDescent="0.3">
      <c r="A821" s="3" t="s">
        <v>5117</v>
      </c>
      <c r="B821" s="5">
        <v>44008</v>
      </c>
      <c r="C821" s="3" t="s">
        <v>5118</v>
      </c>
      <c r="D821" s="4" t="s">
        <v>6145</v>
      </c>
      <c r="E821" s="3">
        <v>1</v>
      </c>
      <c r="F821" s="3" t="str">
        <f>_xlfn.XLOOKUP(C821,customers!$A$1:$A$1001,customers!$B$1:$B$1001,,0)</f>
        <v>Caddric Atcheson</v>
      </c>
      <c r="G821" s="3" t="str">
        <f>IF(_xlfn.XLOOKUP(C821,customers!$A$1:$A$1001,customers!$C$1:$C$1001,,0)=0,"", _xlfn.XLOOKUP(C821,customers!$A$1:$A$1001,customers!$C$1:$C$1001,,0))</f>
        <v>catchesonmr@xinhuanet.com</v>
      </c>
      <c r="H821" s="3" t="str">
        <f>_xlfn.XLOOKUP(C821,customers!$A$1:$A$1001,customers!$G$1:$G$1001,,0)</f>
        <v>United States</v>
      </c>
      <c r="I821" s="4" t="str">
        <f>INDEX(products!$A$1:$G$49,MATCH(orders!$D821,products!$A$1:$A$49,0),MATCH(orders!I$1,products!$A$1:$G$1,0))</f>
        <v>Lib</v>
      </c>
      <c r="J821" s="4" t="str">
        <f>INDEX(products!$A$1:$G$49,MATCH(orders!$D821,products!$A$1:$A$49,0),MATCH(orders!J$1,products!$A$1:$G$1,0))</f>
        <v>L</v>
      </c>
      <c r="K821" s="6">
        <f>INDEX(products!$A$1:$G$49,MATCH(orders!$D821,products!$A$1:$A$49,0),MATCH(orders!K$1,products!$A$1:$G$1,0))</f>
        <v>0.2</v>
      </c>
      <c r="L821" s="7">
        <f>INDEX(products!$A$1:$G$49,MATCH(orders!$D821,products!$A$1:$A$49,0),MATCH(orders!L$1,products!$A$1:$G$1,0))</f>
        <v>4.7549999999999999</v>
      </c>
      <c r="M821" s="7">
        <f t="shared" si="12"/>
        <v>4.7549999999999999</v>
      </c>
      <c r="N821" s="4" t="str" cm="1">
        <f t="array" ref="N821">_xlfn.IFS(I821="Rob","Robusta",I821="Exc","Excelsa",I821="Ara","Arabica",I821="Lib","Liberica")</f>
        <v>Liberica</v>
      </c>
      <c r="O821" s="4" t="str" cm="1">
        <f t="array" ref="O821">_xlfn.IFS(J821="M","Medium",J821="L","Light",J821="D","Dark")</f>
        <v>Light</v>
      </c>
      <c r="P821" s="4" t="str">
        <f>_xlfn.XLOOKUP(CoffeeOrderstable[[#This Row],[Customer ID]],customers!$A$1:$A$1001,customers!$I$1:$I$1001,,0)</f>
        <v>Yes</v>
      </c>
    </row>
    <row r="822" spans="1:16" x14ac:dyDescent="0.3">
      <c r="A822" s="3" t="s">
        <v>5123</v>
      </c>
      <c r="B822" s="5">
        <v>43510</v>
      </c>
      <c r="C822" s="3" t="s">
        <v>5124</v>
      </c>
      <c r="D822" s="4" t="s">
        <v>6141</v>
      </c>
      <c r="E822" s="3">
        <v>4</v>
      </c>
      <c r="F822" s="3" t="str">
        <f>_xlfn.XLOOKUP(C822,customers!$A$1:$A$1001,customers!$B$1:$B$1001,,0)</f>
        <v>Eustace Stenton</v>
      </c>
      <c r="G822" s="3" t="str">
        <f>IF(_xlfn.XLOOKUP(C822,customers!$A$1:$A$1001,customers!$C$1:$C$1001,,0)=0,"", _xlfn.XLOOKUP(C822,customers!$A$1:$A$1001,customers!$C$1:$C$1001,,0))</f>
        <v>estentonms@google.it</v>
      </c>
      <c r="H822" s="3" t="str">
        <f>_xlfn.XLOOKUP(C822,customers!$A$1:$A$1001,customers!$G$1:$G$1001,,0)</f>
        <v>United States</v>
      </c>
      <c r="I822" s="4" t="str">
        <f>INDEX(products!$A$1:$G$49,MATCH(orders!$D822,products!$A$1:$A$49,0),MATCH(orders!I$1,products!$A$1:$G$1,0))</f>
        <v>Exc</v>
      </c>
      <c r="J822" s="4" t="str">
        <f>INDEX(products!$A$1:$G$49,MATCH(orders!$D822,products!$A$1:$A$49,0),MATCH(orders!J$1,products!$A$1:$G$1,0))</f>
        <v>M</v>
      </c>
      <c r="K822" s="6">
        <f>INDEX(products!$A$1:$G$49,MATCH(orders!$D822,products!$A$1:$A$49,0),MATCH(orders!K$1,products!$A$1:$G$1,0))</f>
        <v>1</v>
      </c>
      <c r="L822" s="7">
        <f>INDEX(products!$A$1:$G$49,MATCH(orders!$D822,products!$A$1:$A$49,0),MATCH(orders!L$1,products!$A$1:$G$1,0))</f>
        <v>13.75</v>
      </c>
      <c r="M822" s="7">
        <f t="shared" si="12"/>
        <v>55</v>
      </c>
      <c r="N822" s="4" t="str" cm="1">
        <f t="array" ref="N822">_xlfn.IFS(I822="Rob","Robusta",I822="Exc","Excelsa",I822="Ara","Arabica",I822="Lib","Liberica")</f>
        <v>Excelsa</v>
      </c>
      <c r="O822" s="4" t="str" cm="1">
        <f t="array" ref="O822">_xlfn.IFS(J822="M","Medium",J822="L","Light",J822="D","Dark")</f>
        <v>Medium</v>
      </c>
      <c r="P822" s="4" t="str">
        <f>_xlfn.XLOOKUP(CoffeeOrderstable[[#This Row],[Customer ID]],customers!$A$1:$A$1001,customers!$I$1:$I$1001,,0)</f>
        <v>Yes</v>
      </c>
    </row>
    <row r="823" spans="1:16" x14ac:dyDescent="0.3">
      <c r="A823" s="3" t="s">
        <v>5129</v>
      </c>
      <c r="B823" s="5">
        <v>44144</v>
      </c>
      <c r="C823" s="3" t="s">
        <v>5130</v>
      </c>
      <c r="D823" s="4" t="s">
        <v>6172</v>
      </c>
      <c r="E823" s="3">
        <v>5</v>
      </c>
      <c r="F823" s="3" t="str">
        <f>_xlfn.XLOOKUP(C823,customers!$A$1:$A$1001,customers!$B$1:$B$1001,,0)</f>
        <v>Ericka Tripp</v>
      </c>
      <c r="G823" s="3" t="str">
        <f>IF(_xlfn.XLOOKUP(C823,customers!$A$1:$A$1001,customers!$C$1:$C$1001,,0)=0,"", _xlfn.XLOOKUP(C823,customers!$A$1:$A$1001,customers!$C$1:$C$1001,,0))</f>
        <v>etrippmt@wp.com</v>
      </c>
      <c r="H823" s="3" t="str">
        <f>_xlfn.XLOOKUP(C823,customers!$A$1:$A$1001,customers!$G$1:$G$1001,,0)</f>
        <v>United States</v>
      </c>
      <c r="I823" s="4" t="str">
        <f>INDEX(products!$A$1:$G$49,MATCH(orders!$D823,products!$A$1:$A$49,0),MATCH(orders!I$1,products!$A$1:$G$1,0))</f>
        <v>Rob</v>
      </c>
      <c r="J823" s="4" t="str">
        <f>INDEX(products!$A$1:$G$49,MATCH(orders!$D823,products!$A$1:$A$49,0),MATCH(orders!J$1,products!$A$1:$G$1,0))</f>
        <v>D</v>
      </c>
      <c r="K823" s="6">
        <f>INDEX(products!$A$1:$G$49,MATCH(orders!$D823,products!$A$1:$A$49,0),MATCH(orders!K$1,products!$A$1:$G$1,0))</f>
        <v>0.5</v>
      </c>
      <c r="L823" s="7">
        <f>INDEX(products!$A$1:$G$49,MATCH(orders!$D823,products!$A$1:$A$49,0),MATCH(orders!L$1,products!$A$1:$G$1,0))</f>
        <v>5.3699999999999992</v>
      </c>
      <c r="M823" s="7">
        <f t="shared" si="12"/>
        <v>26.849999999999994</v>
      </c>
      <c r="N823" s="4" t="str" cm="1">
        <f t="array" ref="N823">_xlfn.IFS(I823="Rob","Robusta",I823="Exc","Excelsa",I823="Ara","Arabica",I823="Lib","Liberica")</f>
        <v>Robusta</v>
      </c>
      <c r="O823" s="4" t="str" cm="1">
        <f t="array" ref="O823">_xlfn.IFS(J823="M","Medium",J823="L","Light",J823="D","Dark")</f>
        <v>Dark</v>
      </c>
      <c r="P823" s="4" t="str">
        <f>_xlfn.XLOOKUP(CoffeeOrderstable[[#This Row],[Customer ID]],customers!$A$1:$A$1001,customers!$I$1:$I$1001,,0)</f>
        <v>No</v>
      </c>
    </row>
    <row r="824" spans="1:16" x14ac:dyDescent="0.3">
      <c r="A824" s="3" t="s">
        <v>5135</v>
      </c>
      <c r="B824" s="5">
        <v>43585</v>
      </c>
      <c r="C824" s="3" t="s">
        <v>5136</v>
      </c>
      <c r="D824" s="4" t="s">
        <v>6148</v>
      </c>
      <c r="E824" s="3">
        <v>4</v>
      </c>
      <c r="F824" s="3" t="str">
        <f>_xlfn.XLOOKUP(C824,customers!$A$1:$A$1001,customers!$B$1:$B$1001,,0)</f>
        <v>Lyndsey MacManus</v>
      </c>
      <c r="G824" s="3" t="str">
        <f>IF(_xlfn.XLOOKUP(C824,customers!$A$1:$A$1001,customers!$C$1:$C$1001,,0)=0,"", _xlfn.XLOOKUP(C824,customers!$A$1:$A$1001,customers!$C$1:$C$1001,,0))</f>
        <v>lmacmanusmu@imdb.com</v>
      </c>
      <c r="H824" s="3" t="str">
        <f>_xlfn.XLOOKUP(C824,customers!$A$1:$A$1001,customers!$G$1:$G$1001,,0)</f>
        <v>United States</v>
      </c>
      <c r="I824" s="4" t="str">
        <f>INDEX(products!$A$1:$G$49,MATCH(orders!$D824,products!$A$1:$A$49,0),MATCH(orders!I$1,products!$A$1:$G$1,0))</f>
        <v>Exc</v>
      </c>
      <c r="J824" s="4" t="str">
        <f>INDEX(products!$A$1:$G$49,MATCH(orders!$D824,products!$A$1:$A$49,0),MATCH(orders!J$1,products!$A$1:$G$1,0))</f>
        <v>L</v>
      </c>
      <c r="K824" s="6">
        <f>INDEX(products!$A$1:$G$49,MATCH(orders!$D824,products!$A$1:$A$49,0),MATCH(orders!K$1,products!$A$1:$G$1,0))</f>
        <v>2.5</v>
      </c>
      <c r="L824" s="7">
        <f>INDEX(products!$A$1:$G$49,MATCH(orders!$D824,products!$A$1:$A$49,0),MATCH(orders!L$1,products!$A$1:$G$1,0))</f>
        <v>34.154999999999994</v>
      </c>
      <c r="M824" s="7">
        <f t="shared" si="12"/>
        <v>136.61999999999998</v>
      </c>
      <c r="N824" s="4" t="str" cm="1">
        <f t="array" ref="N824">_xlfn.IFS(I824="Rob","Robusta",I824="Exc","Excelsa",I824="Ara","Arabica",I824="Lib","Liberica")</f>
        <v>Excelsa</v>
      </c>
      <c r="O824" s="4" t="str" cm="1">
        <f t="array" ref="O824">_xlfn.IFS(J824="M","Medium",J824="L","Light",J824="D","Dark")</f>
        <v>Light</v>
      </c>
      <c r="P824" s="4" t="str">
        <f>_xlfn.XLOOKUP(CoffeeOrderstable[[#This Row],[Customer ID]],customers!$A$1:$A$1001,customers!$I$1:$I$1001,,0)</f>
        <v>No</v>
      </c>
    </row>
    <row r="825" spans="1:16" x14ac:dyDescent="0.3">
      <c r="A825" s="3" t="s">
        <v>5141</v>
      </c>
      <c r="B825" s="5">
        <v>44134</v>
      </c>
      <c r="C825" s="3" t="s">
        <v>5142</v>
      </c>
      <c r="D825" s="4" t="s">
        <v>6170</v>
      </c>
      <c r="E825" s="3">
        <v>3</v>
      </c>
      <c r="F825" s="3" t="str">
        <f>_xlfn.XLOOKUP(C825,customers!$A$1:$A$1001,customers!$B$1:$B$1001,,0)</f>
        <v>Tess Benediktovich</v>
      </c>
      <c r="G825" s="3" t="str">
        <f>IF(_xlfn.XLOOKUP(C825,customers!$A$1:$A$1001,customers!$C$1:$C$1001,,0)=0,"", _xlfn.XLOOKUP(C825,customers!$A$1:$A$1001,customers!$C$1:$C$1001,,0))</f>
        <v>tbenediktovichmv@ebay.com</v>
      </c>
      <c r="H825" s="3" t="str">
        <f>_xlfn.XLOOKUP(C825,customers!$A$1:$A$1001,customers!$G$1:$G$1001,,0)</f>
        <v>United States</v>
      </c>
      <c r="I825" s="4" t="str">
        <f>INDEX(products!$A$1:$G$49,MATCH(orders!$D825,products!$A$1:$A$49,0),MATCH(orders!I$1,products!$A$1:$G$1,0))</f>
        <v>Lib</v>
      </c>
      <c r="J825" s="4" t="str">
        <f>INDEX(products!$A$1:$G$49,MATCH(orders!$D825,products!$A$1:$A$49,0),MATCH(orders!J$1,products!$A$1:$G$1,0))</f>
        <v>L</v>
      </c>
      <c r="K825" s="6">
        <f>INDEX(products!$A$1:$G$49,MATCH(orders!$D825,products!$A$1:$A$49,0),MATCH(orders!K$1,products!$A$1:$G$1,0))</f>
        <v>1</v>
      </c>
      <c r="L825" s="7">
        <f>INDEX(products!$A$1:$G$49,MATCH(orders!$D825,products!$A$1:$A$49,0),MATCH(orders!L$1,products!$A$1:$G$1,0))</f>
        <v>15.85</v>
      </c>
      <c r="M825" s="7">
        <f t="shared" si="12"/>
        <v>47.55</v>
      </c>
      <c r="N825" s="4" t="str" cm="1">
        <f t="array" ref="N825">_xlfn.IFS(I825="Rob","Robusta",I825="Exc","Excelsa",I825="Ara","Arabica",I825="Lib","Liberica")</f>
        <v>Liberica</v>
      </c>
      <c r="O825" s="4" t="str" cm="1">
        <f t="array" ref="O825">_xlfn.IFS(J825="M","Medium",J825="L","Light",J825="D","Dark")</f>
        <v>Light</v>
      </c>
      <c r="P825" s="4" t="str">
        <f>_xlfn.XLOOKUP(CoffeeOrderstable[[#This Row],[Customer ID]],customers!$A$1:$A$1001,customers!$I$1:$I$1001,,0)</f>
        <v>Yes</v>
      </c>
    </row>
    <row r="826" spans="1:16" x14ac:dyDescent="0.3">
      <c r="A826" s="3" t="s">
        <v>5147</v>
      </c>
      <c r="B826" s="5">
        <v>43781</v>
      </c>
      <c r="C826" s="3" t="s">
        <v>5148</v>
      </c>
      <c r="D826" s="4" t="s">
        <v>6152</v>
      </c>
      <c r="E826" s="3">
        <v>5</v>
      </c>
      <c r="F826" s="3" t="str">
        <f>_xlfn.XLOOKUP(C826,customers!$A$1:$A$1001,customers!$B$1:$B$1001,,0)</f>
        <v>Correy Bourner</v>
      </c>
      <c r="G826" s="3" t="str">
        <f>IF(_xlfn.XLOOKUP(C826,customers!$A$1:$A$1001,customers!$C$1:$C$1001,,0)=0,"", _xlfn.XLOOKUP(C826,customers!$A$1:$A$1001,customers!$C$1:$C$1001,,0))</f>
        <v>cbournermw@chronoengine.com</v>
      </c>
      <c r="H826" s="3" t="str">
        <f>_xlfn.XLOOKUP(C826,customers!$A$1:$A$1001,customers!$G$1:$G$1001,,0)</f>
        <v>United States</v>
      </c>
      <c r="I826" s="4" t="str">
        <f>INDEX(products!$A$1:$G$49,MATCH(orders!$D826,products!$A$1:$A$49,0),MATCH(orders!I$1,products!$A$1:$G$1,0))</f>
        <v>Ara</v>
      </c>
      <c r="J826" s="4" t="str">
        <f>INDEX(products!$A$1:$G$49,MATCH(orders!$D826,products!$A$1:$A$49,0),MATCH(orders!J$1,products!$A$1:$G$1,0))</f>
        <v>M</v>
      </c>
      <c r="K826" s="6">
        <f>INDEX(products!$A$1:$G$49,MATCH(orders!$D826,products!$A$1:$A$49,0),MATCH(orders!K$1,products!$A$1:$G$1,0))</f>
        <v>0.2</v>
      </c>
      <c r="L826" s="7">
        <f>INDEX(products!$A$1:$G$49,MATCH(orders!$D826,products!$A$1:$A$49,0),MATCH(orders!L$1,products!$A$1:$G$1,0))</f>
        <v>3.375</v>
      </c>
      <c r="M826" s="7">
        <f t="shared" si="12"/>
        <v>16.875</v>
      </c>
      <c r="N826" s="4" t="str" cm="1">
        <f t="array" ref="N826">_xlfn.IFS(I826="Rob","Robusta",I826="Exc","Excelsa",I826="Ara","Arabica",I826="Lib","Liberica")</f>
        <v>Arabica</v>
      </c>
      <c r="O826" s="4" t="str" cm="1">
        <f t="array" ref="O826">_xlfn.IFS(J826="M","Medium",J826="L","Light",J826="D","Dark")</f>
        <v>Medium</v>
      </c>
      <c r="P826" s="4" t="str">
        <f>_xlfn.XLOOKUP(CoffeeOrderstable[[#This Row],[Customer ID]],customers!$A$1:$A$1001,customers!$I$1:$I$1001,,0)</f>
        <v>Yes</v>
      </c>
    </row>
    <row r="827" spans="1:16" x14ac:dyDescent="0.3">
      <c r="A827" s="3" t="s">
        <v>5152</v>
      </c>
      <c r="B827" s="5">
        <v>44603</v>
      </c>
      <c r="C827" s="3" t="s">
        <v>5188</v>
      </c>
      <c r="D827" s="4" t="s">
        <v>6147</v>
      </c>
      <c r="E827" s="3">
        <v>3</v>
      </c>
      <c r="F827" s="3" t="str">
        <f>_xlfn.XLOOKUP(C827,customers!$A$1:$A$1001,customers!$B$1:$B$1001,,0)</f>
        <v>Odelia Skerme</v>
      </c>
      <c r="G827" s="3" t="str">
        <f>IF(_xlfn.XLOOKUP(C827,customers!$A$1:$A$1001,customers!$C$1:$C$1001,,0)=0,"", _xlfn.XLOOKUP(C827,customers!$A$1:$A$1001,customers!$C$1:$C$1001,,0))</f>
        <v>oskermen3@hatena.ne.jp</v>
      </c>
      <c r="H827" s="3" t="str">
        <f>_xlfn.XLOOKUP(C827,customers!$A$1:$A$1001,customers!$G$1:$G$1001,,0)</f>
        <v>United States</v>
      </c>
      <c r="I827" s="4" t="str">
        <f>INDEX(products!$A$1:$G$49,MATCH(orders!$D827,products!$A$1:$A$49,0),MATCH(orders!I$1,products!$A$1:$G$1,0))</f>
        <v>Ara</v>
      </c>
      <c r="J827" s="4" t="str">
        <f>INDEX(products!$A$1:$G$49,MATCH(orders!$D827,products!$A$1:$A$49,0),MATCH(orders!J$1,products!$A$1:$G$1,0))</f>
        <v>D</v>
      </c>
      <c r="K827" s="6">
        <f>INDEX(products!$A$1:$G$49,MATCH(orders!$D827,products!$A$1:$A$49,0),MATCH(orders!K$1,products!$A$1:$G$1,0))</f>
        <v>1</v>
      </c>
      <c r="L827" s="7">
        <f>INDEX(products!$A$1:$G$49,MATCH(orders!$D827,products!$A$1:$A$49,0),MATCH(orders!L$1,products!$A$1:$G$1,0))</f>
        <v>9.9499999999999993</v>
      </c>
      <c r="M827" s="7">
        <f t="shared" si="12"/>
        <v>29.849999999999998</v>
      </c>
      <c r="N827" s="4" t="str" cm="1">
        <f t="array" ref="N827">_xlfn.IFS(I827="Rob","Robusta",I827="Exc","Excelsa",I827="Ara","Arabica",I827="Lib","Liberica")</f>
        <v>Arabica</v>
      </c>
      <c r="O827" s="4" t="str" cm="1">
        <f t="array" ref="O827">_xlfn.IFS(J827="M","Medium",J827="L","Light",J827="D","Dark")</f>
        <v>Dark</v>
      </c>
      <c r="P827" s="4" t="str">
        <f>_xlfn.XLOOKUP(CoffeeOrderstable[[#This Row],[Customer ID]],customers!$A$1:$A$1001,customers!$I$1:$I$1001,,0)</f>
        <v>Yes</v>
      </c>
    </row>
    <row r="828" spans="1:16" x14ac:dyDescent="0.3">
      <c r="A828" s="3" t="s">
        <v>5158</v>
      </c>
      <c r="B828" s="5">
        <v>44283</v>
      </c>
      <c r="C828" s="3" t="s">
        <v>5159</v>
      </c>
      <c r="D828" s="4" t="s">
        <v>6139</v>
      </c>
      <c r="E828" s="3">
        <v>5</v>
      </c>
      <c r="F828" s="3" t="str">
        <f>_xlfn.XLOOKUP(C828,customers!$A$1:$A$1001,customers!$B$1:$B$1001,,0)</f>
        <v>Kandy Heddan</v>
      </c>
      <c r="G828" s="3" t="str">
        <f>IF(_xlfn.XLOOKUP(C828,customers!$A$1:$A$1001,customers!$C$1:$C$1001,,0)=0,"", _xlfn.XLOOKUP(C828,customers!$A$1:$A$1001,customers!$C$1:$C$1001,,0))</f>
        <v>kheddanmy@icq.com</v>
      </c>
      <c r="H828" s="3" t="str">
        <f>_xlfn.XLOOKUP(C828,customers!$A$1:$A$1001,customers!$G$1:$G$1001,,0)</f>
        <v>United States</v>
      </c>
      <c r="I828" s="4" t="str">
        <f>INDEX(products!$A$1:$G$49,MATCH(orders!$D828,products!$A$1:$A$49,0),MATCH(orders!I$1,products!$A$1:$G$1,0))</f>
        <v>Exc</v>
      </c>
      <c r="J828" s="4" t="str">
        <f>INDEX(products!$A$1:$G$49,MATCH(orders!$D828,products!$A$1:$A$49,0),MATCH(orders!J$1,products!$A$1:$G$1,0))</f>
        <v>M</v>
      </c>
      <c r="K828" s="6">
        <f>INDEX(products!$A$1:$G$49,MATCH(orders!$D828,products!$A$1:$A$49,0),MATCH(orders!K$1,products!$A$1:$G$1,0))</f>
        <v>0.5</v>
      </c>
      <c r="L828" s="7">
        <f>INDEX(products!$A$1:$G$49,MATCH(orders!$D828,products!$A$1:$A$49,0),MATCH(orders!L$1,products!$A$1:$G$1,0))</f>
        <v>8.25</v>
      </c>
      <c r="M828" s="7">
        <f t="shared" si="12"/>
        <v>41.25</v>
      </c>
      <c r="N828" s="4" t="str" cm="1">
        <f t="array" ref="N828">_xlfn.IFS(I828="Rob","Robusta",I828="Exc","Excelsa",I828="Ara","Arabica",I828="Lib","Liberica")</f>
        <v>Excelsa</v>
      </c>
      <c r="O828" s="4" t="str" cm="1">
        <f t="array" ref="O828">_xlfn.IFS(J828="M","Medium",J828="L","Light",J828="D","Dark")</f>
        <v>Medium</v>
      </c>
      <c r="P828" s="4" t="str">
        <f>_xlfn.XLOOKUP(CoffeeOrderstable[[#This Row],[Customer ID]],customers!$A$1:$A$1001,customers!$I$1:$I$1001,,0)</f>
        <v>Yes</v>
      </c>
    </row>
    <row r="829" spans="1:16" x14ac:dyDescent="0.3">
      <c r="A829" s="3" t="s">
        <v>5164</v>
      </c>
      <c r="B829" s="5">
        <v>44540</v>
      </c>
      <c r="C829" s="3" t="s">
        <v>5165</v>
      </c>
      <c r="D829" s="4" t="s">
        <v>6156</v>
      </c>
      <c r="E829" s="3">
        <v>5</v>
      </c>
      <c r="F829" s="3" t="str">
        <f>_xlfn.XLOOKUP(C829,customers!$A$1:$A$1001,customers!$B$1:$B$1001,,0)</f>
        <v>Ibby Charters</v>
      </c>
      <c r="G829" s="3" t="str">
        <f>IF(_xlfn.XLOOKUP(C829,customers!$A$1:$A$1001,customers!$C$1:$C$1001,,0)=0,"", _xlfn.XLOOKUP(C829,customers!$A$1:$A$1001,customers!$C$1:$C$1001,,0))</f>
        <v>ichartersmz@abc.net.au</v>
      </c>
      <c r="H829" s="3" t="str">
        <f>_xlfn.XLOOKUP(C829,customers!$A$1:$A$1001,customers!$G$1:$G$1001,,0)</f>
        <v>United States</v>
      </c>
      <c r="I829" s="4" t="str">
        <f>INDEX(products!$A$1:$G$49,MATCH(orders!$D829,products!$A$1:$A$49,0),MATCH(orders!I$1,products!$A$1:$G$1,0))</f>
        <v>Exc</v>
      </c>
      <c r="J829" s="4" t="str">
        <f>INDEX(products!$A$1:$G$49,MATCH(orders!$D829,products!$A$1:$A$49,0),MATCH(orders!J$1,products!$A$1:$G$1,0))</f>
        <v>M</v>
      </c>
      <c r="K829" s="6">
        <f>INDEX(products!$A$1:$G$49,MATCH(orders!$D829,products!$A$1:$A$49,0),MATCH(orders!K$1,products!$A$1:$G$1,0))</f>
        <v>0.2</v>
      </c>
      <c r="L829" s="7">
        <f>INDEX(products!$A$1:$G$49,MATCH(orders!$D829,products!$A$1:$A$49,0),MATCH(orders!L$1,products!$A$1:$G$1,0))</f>
        <v>4.125</v>
      </c>
      <c r="M829" s="7">
        <f t="shared" si="12"/>
        <v>20.625</v>
      </c>
      <c r="N829" s="4" t="str" cm="1">
        <f t="array" ref="N829">_xlfn.IFS(I829="Rob","Robusta",I829="Exc","Excelsa",I829="Ara","Arabica",I829="Lib","Liberica")</f>
        <v>Excelsa</v>
      </c>
      <c r="O829" s="4" t="str" cm="1">
        <f t="array" ref="O829">_xlfn.IFS(J829="M","Medium",J829="L","Light",J829="D","Dark")</f>
        <v>Medium</v>
      </c>
      <c r="P829" s="4" t="str">
        <f>_xlfn.XLOOKUP(CoffeeOrderstable[[#This Row],[Customer ID]],customers!$A$1:$A$1001,customers!$I$1:$I$1001,,0)</f>
        <v>No</v>
      </c>
    </row>
    <row r="830" spans="1:16" x14ac:dyDescent="0.3">
      <c r="A830" s="3" t="s">
        <v>5170</v>
      </c>
      <c r="B830" s="5">
        <v>44505</v>
      </c>
      <c r="C830" s="3" t="s">
        <v>5171</v>
      </c>
      <c r="D830" s="4" t="s">
        <v>6168</v>
      </c>
      <c r="E830" s="3">
        <v>6</v>
      </c>
      <c r="F830" s="3" t="str">
        <f>_xlfn.XLOOKUP(C830,customers!$A$1:$A$1001,customers!$B$1:$B$1001,,0)</f>
        <v>Adora Roubert</v>
      </c>
      <c r="G830" s="3" t="str">
        <f>IF(_xlfn.XLOOKUP(C830,customers!$A$1:$A$1001,customers!$C$1:$C$1001,,0)=0,"", _xlfn.XLOOKUP(C830,customers!$A$1:$A$1001,customers!$C$1:$C$1001,,0))</f>
        <v>aroubertn0@tmall.com</v>
      </c>
      <c r="H830" s="3" t="str">
        <f>_xlfn.XLOOKUP(C830,customers!$A$1:$A$1001,customers!$G$1:$G$1001,,0)</f>
        <v>United States</v>
      </c>
      <c r="I830" s="4" t="str">
        <f>INDEX(products!$A$1:$G$49,MATCH(orders!$D830,products!$A$1:$A$49,0),MATCH(orders!I$1,products!$A$1:$G$1,0))</f>
        <v>Ara</v>
      </c>
      <c r="J830" s="4" t="str">
        <f>INDEX(products!$A$1:$G$49,MATCH(orders!$D830,products!$A$1:$A$49,0),MATCH(orders!J$1,products!$A$1:$G$1,0))</f>
        <v>D</v>
      </c>
      <c r="K830" s="6">
        <f>INDEX(products!$A$1:$G$49,MATCH(orders!$D830,products!$A$1:$A$49,0),MATCH(orders!K$1,products!$A$1:$G$1,0))</f>
        <v>2.5</v>
      </c>
      <c r="L830" s="7">
        <f>INDEX(products!$A$1:$G$49,MATCH(orders!$D830,products!$A$1:$A$49,0),MATCH(orders!L$1,products!$A$1:$G$1,0))</f>
        <v>22.884999999999998</v>
      </c>
      <c r="M830" s="7">
        <f t="shared" si="12"/>
        <v>137.31</v>
      </c>
      <c r="N830" s="4" t="str" cm="1">
        <f t="array" ref="N830">_xlfn.IFS(I830="Rob","Robusta",I830="Exc","Excelsa",I830="Ara","Arabica",I830="Lib","Liberica")</f>
        <v>Arabica</v>
      </c>
      <c r="O830" s="4" t="str" cm="1">
        <f t="array" ref="O830">_xlfn.IFS(J830="M","Medium",J830="L","Light",J830="D","Dark")</f>
        <v>Dark</v>
      </c>
      <c r="P830" s="4" t="str">
        <f>_xlfn.XLOOKUP(CoffeeOrderstable[[#This Row],[Customer ID]],customers!$A$1:$A$1001,customers!$I$1:$I$1001,,0)</f>
        <v>Yes</v>
      </c>
    </row>
    <row r="831" spans="1:16" x14ac:dyDescent="0.3">
      <c r="A831" s="3" t="s">
        <v>5176</v>
      </c>
      <c r="B831" s="5">
        <v>43890</v>
      </c>
      <c r="C831" s="3" t="s">
        <v>5177</v>
      </c>
      <c r="D831" s="4" t="s">
        <v>6154</v>
      </c>
      <c r="E831" s="3">
        <v>1</v>
      </c>
      <c r="F831" s="3" t="str">
        <f>_xlfn.XLOOKUP(C831,customers!$A$1:$A$1001,customers!$B$1:$B$1001,,0)</f>
        <v>Hillel Mairs</v>
      </c>
      <c r="G831" s="3" t="str">
        <f>IF(_xlfn.XLOOKUP(C831,customers!$A$1:$A$1001,customers!$C$1:$C$1001,,0)=0,"", _xlfn.XLOOKUP(C831,customers!$A$1:$A$1001,customers!$C$1:$C$1001,,0))</f>
        <v>hmairsn1@so-net.ne.jp</v>
      </c>
      <c r="H831" s="3" t="str">
        <f>_xlfn.XLOOKUP(C831,customers!$A$1:$A$1001,customers!$G$1:$G$1001,,0)</f>
        <v>United States</v>
      </c>
      <c r="I831" s="4" t="str">
        <f>INDEX(products!$A$1:$G$49,MATCH(orders!$D831,products!$A$1:$A$49,0),MATCH(orders!I$1,products!$A$1:$G$1,0))</f>
        <v>Ara</v>
      </c>
      <c r="J831" s="4" t="str">
        <f>INDEX(products!$A$1:$G$49,MATCH(orders!$D831,products!$A$1:$A$49,0),MATCH(orders!J$1,products!$A$1:$G$1,0))</f>
        <v>D</v>
      </c>
      <c r="K831" s="6">
        <f>INDEX(products!$A$1:$G$49,MATCH(orders!$D831,products!$A$1:$A$49,0),MATCH(orders!K$1,products!$A$1:$G$1,0))</f>
        <v>0.2</v>
      </c>
      <c r="L831" s="7">
        <f>INDEX(products!$A$1:$G$49,MATCH(orders!$D831,products!$A$1:$A$49,0),MATCH(orders!L$1,products!$A$1:$G$1,0))</f>
        <v>2.9849999999999999</v>
      </c>
      <c r="M831" s="7">
        <f t="shared" si="12"/>
        <v>2.9849999999999999</v>
      </c>
      <c r="N831" s="4" t="str" cm="1">
        <f t="array" ref="N831">_xlfn.IFS(I831="Rob","Robusta",I831="Exc","Excelsa",I831="Ara","Arabica",I831="Lib","Liberica")</f>
        <v>Arabica</v>
      </c>
      <c r="O831" s="4" t="str" cm="1">
        <f t="array" ref="O831">_xlfn.IFS(J831="M","Medium",J831="L","Light",J831="D","Dark")</f>
        <v>Dark</v>
      </c>
      <c r="P831" s="4" t="str">
        <f>_xlfn.XLOOKUP(CoffeeOrderstable[[#This Row],[Customer ID]],customers!$A$1:$A$1001,customers!$I$1:$I$1001,,0)</f>
        <v>No</v>
      </c>
    </row>
    <row r="832" spans="1:16" x14ac:dyDescent="0.3">
      <c r="A832" s="3" t="s">
        <v>5182</v>
      </c>
      <c r="B832" s="5">
        <v>44414</v>
      </c>
      <c r="C832" s="3" t="s">
        <v>5183</v>
      </c>
      <c r="D832" s="4" t="s">
        <v>6141</v>
      </c>
      <c r="E832" s="3">
        <v>2</v>
      </c>
      <c r="F832" s="3" t="str">
        <f>_xlfn.XLOOKUP(C832,customers!$A$1:$A$1001,customers!$B$1:$B$1001,,0)</f>
        <v>Helaina Rainforth</v>
      </c>
      <c r="G832" s="3" t="str">
        <f>IF(_xlfn.XLOOKUP(C832,customers!$A$1:$A$1001,customers!$C$1:$C$1001,,0)=0,"", _xlfn.XLOOKUP(C832,customers!$A$1:$A$1001,customers!$C$1:$C$1001,,0))</f>
        <v>hrainforthn2@blog.com</v>
      </c>
      <c r="H832" s="3" t="str">
        <f>_xlfn.XLOOKUP(C832,customers!$A$1:$A$1001,customers!$G$1:$G$1001,,0)</f>
        <v>United States</v>
      </c>
      <c r="I832" s="4" t="str">
        <f>INDEX(products!$A$1:$G$49,MATCH(orders!$D832,products!$A$1:$A$49,0),MATCH(orders!I$1,products!$A$1:$G$1,0))</f>
        <v>Exc</v>
      </c>
      <c r="J832" s="4" t="str">
        <f>INDEX(products!$A$1:$G$49,MATCH(orders!$D832,products!$A$1:$A$49,0),MATCH(orders!J$1,products!$A$1:$G$1,0))</f>
        <v>M</v>
      </c>
      <c r="K832" s="6">
        <f>INDEX(products!$A$1:$G$49,MATCH(orders!$D832,products!$A$1:$A$49,0),MATCH(orders!K$1,products!$A$1:$G$1,0))</f>
        <v>1</v>
      </c>
      <c r="L832" s="7">
        <f>INDEX(products!$A$1:$G$49,MATCH(orders!$D832,products!$A$1:$A$49,0),MATCH(orders!L$1,products!$A$1:$G$1,0))</f>
        <v>13.75</v>
      </c>
      <c r="M832" s="7">
        <f t="shared" si="12"/>
        <v>27.5</v>
      </c>
      <c r="N832" s="4" t="str" cm="1">
        <f t="array" ref="N832">_xlfn.IFS(I832="Rob","Robusta",I832="Exc","Excelsa",I832="Ara","Arabica",I832="Lib","Liberica")</f>
        <v>Excelsa</v>
      </c>
      <c r="O832" s="4" t="str" cm="1">
        <f t="array" ref="O832">_xlfn.IFS(J832="M","Medium",J832="L","Light",J832="D","Dark")</f>
        <v>Medium</v>
      </c>
      <c r="P832" s="4" t="str">
        <f>_xlfn.XLOOKUP(CoffeeOrderstable[[#This Row],[Customer ID]],customers!$A$1:$A$1001,customers!$I$1:$I$1001,,0)</f>
        <v>No</v>
      </c>
    </row>
    <row r="833" spans="1:16" x14ac:dyDescent="0.3">
      <c r="A833" s="3" t="s">
        <v>5182</v>
      </c>
      <c r="B833" s="5">
        <v>44414</v>
      </c>
      <c r="C833" s="3" t="s">
        <v>5183</v>
      </c>
      <c r="D833" s="4" t="s">
        <v>6154</v>
      </c>
      <c r="E833" s="3">
        <v>2</v>
      </c>
      <c r="F833" s="3" t="str">
        <f>_xlfn.XLOOKUP(C833,customers!$A$1:$A$1001,customers!$B$1:$B$1001,,0)</f>
        <v>Helaina Rainforth</v>
      </c>
      <c r="G833" s="3" t="str">
        <f>IF(_xlfn.XLOOKUP(C833,customers!$A$1:$A$1001,customers!$C$1:$C$1001,,0)=0,"", _xlfn.XLOOKUP(C833,customers!$A$1:$A$1001,customers!$C$1:$C$1001,,0))</f>
        <v>hrainforthn2@blog.com</v>
      </c>
      <c r="H833" s="3" t="str">
        <f>_xlfn.XLOOKUP(C833,customers!$A$1:$A$1001,customers!$G$1:$G$1001,,0)</f>
        <v>United States</v>
      </c>
      <c r="I833" s="4" t="str">
        <f>INDEX(products!$A$1:$G$49,MATCH(orders!$D833,products!$A$1:$A$49,0),MATCH(orders!I$1,products!$A$1:$G$1,0))</f>
        <v>Ara</v>
      </c>
      <c r="J833" s="4" t="str">
        <f>INDEX(products!$A$1:$G$49,MATCH(orders!$D833,products!$A$1:$A$49,0),MATCH(orders!J$1,products!$A$1:$G$1,0))</f>
        <v>D</v>
      </c>
      <c r="K833" s="6">
        <f>INDEX(products!$A$1:$G$49,MATCH(orders!$D833,products!$A$1:$A$49,0),MATCH(orders!K$1,products!$A$1:$G$1,0))</f>
        <v>0.2</v>
      </c>
      <c r="L833" s="7">
        <f>INDEX(products!$A$1:$G$49,MATCH(orders!$D833,products!$A$1:$A$49,0),MATCH(orders!L$1,products!$A$1:$G$1,0))</f>
        <v>2.9849999999999999</v>
      </c>
      <c r="M833" s="7">
        <f t="shared" si="12"/>
        <v>5.97</v>
      </c>
      <c r="N833" s="4" t="str" cm="1">
        <f t="array" ref="N833">_xlfn.IFS(I833="Rob","Robusta",I833="Exc","Excelsa",I833="Ara","Arabica",I833="Lib","Liberica")</f>
        <v>Arabica</v>
      </c>
      <c r="O833" s="4" t="str" cm="1">
        <f t="array" ref="O833">_xlfn.IFS(J833="M","Medium",J833="L","Light",J833="D","Dark")</f>
        <v>Dark</v>
      </c>
      <c r="P833" s="4" t="str">
        <f>_xlfn.XLOOKUP(CoffeeOrderstable[[#This Row],[Customer ID]],customers!$A$1:$A$1001,customers!$I$1:$I$1001,,0)</f>
        <v>No</v>
      </c>
    </row>
    <row r="834" spans="1:16" x14ac:dyDescent="0.3">
      <c r="A834" s="3" t="s">
        <v>5193</v>
      </c>
      <c r="B834" s="5">
        <v>44274</v>
      </c>
      <c r="C834" s="3" t="s">
        <v>5194</v>
      </c>
      <c r="D834" s="4" t="s">
        <v>6138</v>
      </c>
      <c r="E834" s="3">
        <v>6</v>
      </c>
      <c r="F834" s="3" t="str">
        <f>_xlfn.XLOOKUP(C834,customers!$A$1:$A$1001,customers!$B$1:$B$1001,,0)</f>
        <v>Isac Jesper</v>
      </c>
      <c r="G834" s="3" t="str">
        <f>IF(_xlfn.XLOOKUP(C834,customers!$A$1:$A$1001,customers!$C$1:$C$1001,,0)=0,"", _xlfn.XLOOKUP(C834,customers!$A$1:$A$1001,customers!$C$1:$C$1001,,0))</f>
        <v>ijespern4@theglobeandmail.com</v>
      </c>
      <c r="H834" s="3" t="str">
        <f>_xlfn.XLOOKUP(C834,customers!$A$1:$A$1001,customers!$G$1:$G$1001,,0)</f>
        <v>United States</v>
      </c>
      <c r="I834" s="4" t="str">
        <f>INDEX(products!$A$1:$G$49,MATCH(orders!$D834,products!$A$1:$A$49,0),MATCH(orders!I$1,products!$A$1:$G$1,0))</f>
        <v>Rob</v>
      </c>
      <c r="J834" s="4" t="str">
        <f>INDEX(products!$A$1:$G$49,MATCH(orders!$D834,products!$A$1:$A$49,0),MATCH(orders!J$1,products!$A$1:$G$1,0))</f>
        <v>M</v>
      </c>
      <c r="K834" s="6">
        <f>INDEX(products!$A$1:$G$49,MATCH(orders!$D834,products!$A$1:$A$49,0),MATCH(orders!K$1,products!$A$1:$G$1,0))</f>
        <v>1</v>
      </c>
      <c r="L834" s="7">
        <f>INDEX(products!$A$1:$G$49,MATCH(orders!$D834,products!$A$1:$A$49,0),MATCH(orders!L$1,products!$A$1:$G$1,0))</f>
        <v>9.9499999999999993</v>
      </c>
      <c r="M834" s="7">
        <f t="shared" si="12"/>
        <v>59.699999999999996</v>
      </c>
      <c r="N834" s="4" t="str" cm="1">
        <f t="array" ref="N834">_xlfn.IFS(I834="Rob","Robusta",I834="Exc","Excelsa",I834="Ara","Arabica",I834="Lib","Liberica")</f>
        <v>Robusta</v>
      </c>
      <c r="O834" s="4" t="str" cm="1">
        <f t="array" ref="O834">_xlfn.IFS(J834="M","Medium",J834="L","Light",J834="D","Dark")</f>
        <v>Medium</v>
      </c>
      <c r="P834" s="4" t="str">
        <f>_xlfn.XLOOKUP(CoffeeOrderstable[[#This Row],[Customer ID]],customers!$A$1:$A$1001,customers!$I$1:$I$1001,,0)</f>
        <v>No</v>
      </c>
    </row>
    <row r="835" spans="1:16" x14ac:dyDescent="0.3">
      <c r="A835" s="3" t="s">
        <v>5199</v>
      </c>
      <c r="B835" s="5">
        <v>44302</v>
      </c>
      <c r="C835" s="3" t="s">
        <v>5200</v>
      </c>
      <c r="D835" s="4" t="s">
        <v>6149</v>
      </c>
      <c r="E835" s="3">
        <v>4</v>
      </c>
      <c r="F835" s="3" t="str">
        <f>_xlfn.XLOOKUP(C835,customers!$A$1:$A$1001,customers!$B$1:$B$1001,,0)</f>
        <v>Lenette Dwerryhouse</v>
      </c>
      <c r="G835" s="3" t="str">
        <f>IF(_xlfn.XLOOKUP(C835,customers!$A$1:$A$1001,customers!$C$1:$C$1001,,0)=0,"", _xlfn.XLOOKUP(C835,customers!$A$1:$A$1001,customers!$C$1:$C$1001,,0))</f>
        <v>ldwerryhousen5@gravatar.com</v>
      </c>
      <c r="H835" s="3" t="str">
        <f>_xlfn.XLOOKUP(C835,customers!$A$1:$A$1001,customers!$G$1:$G$1001,,0)</f>
        <v>United States</v>
      </c>
      <c r="I835" s="4" t="str">
        <f>INDEX(products!$A$1:$G$49,MATCH(orders!$D835,products!$A$1:$A$49,0),MATCH(orders!I$1,products!$A$1:$G$1,0))</f>
        <v>Rob</v>
      </c>
      <c r="J835" s="4" t="str">
        <f>INDEX(products!$A$1:$G$49,MATCH(orders!$D835,products!$A$1:$A$49,0),MATCH(orders!J$1,products!$A$1:$G$1,0))</f>
        <v>D</v>
      </c>
      <c r="K835" s="6">
        <f>INDEX(products!$A$1:$G$49,MATCH(orders!$D835,products!$A$1:$A$49,0),MATCH(orders!K$1,products!$A$1:$G$1,0))</f>
        <v>2.5</v>
      </c>
      <c r="L835" s="7">
        <f>INDEX(products!$A$1:$G$49,MATCH(orders!$D835,products!$A$1:$A$49,0),MATCH(orders!L$1,products!$A$1:$G$1,0))</f>
        <v>20.584999999999997</v>
      </c>
      <c r="M835" s="7">
        <f t="shared" ref="M835:M898" si="13">L835*E835</f>
        <v>82.339999999999989</v>
      </c>
      <c r="N835" s="4" t="str" cm="1">
        <f t="array" ref="N835">_xlfn.IFS(I835="Rob","Robusta",I835="Exc","Excelsa",I835="Ara","Arabica",I835="Lib","Liberica")</f>
        <v>Robusta</v>
      </c>
      <c r="O835" s="4" t="str" cm="1">
        <f t="array" ref="O835">_xlfn.IFS(J835="M","Medium",J835="L","Light",J835="D","Dark")</f>
        <v>Dark</v>
      </c>
      <c r="P835" s="4" t="str">
        <f>_xlfn.XLOOKUP(CoffeeOrderstable[[#This Row],[Customer ID]],customers!$A$1:$A$1001,customers!$I$1:$I$1001,,0)</f>
        <v>Yes</v>
      </c>
    </row>
    <row r="836" spans="1:16" x14ac:dyDescent="0.3">
      <c r="A836" s="3" t="s">
        <v>5205</v>
      </c>
      <c r="B836" s="5">
        <v>44141</v>
      </c>
      <c r="C836" s="3" t="s">
        <v>5206</v>
      </c>
      <c r="D836" s="4" t="s">
        <v>6168</v>
      </c>
      <c r="E836" s="3">
        <v>1</v>
      </c>
      <c r="F836" s="3" t="str">
        <f>_xlfn.XLOOKUP(C836,customers!$A$1:$A$1001,customers!$B$1:$B$1001,,0)</f>
        <v>Nadeen Broomer</v>
      </c>
      <c r="G836" s="3" t="str">
        <f>IF(_xlfn.XLOOKUP(C836,customers!$A$1:$A$1001,customers!$C$1:$C$1001,,0)=0,"", _xlfn.XLOOKUP(C836,customers!$A$1:$A$1001,customers!$C$1:$C$1001,,0))</f>
        <v>nbroomern6@examiner.com</v>
      </c>
      <c r="H836" s="3" t="str">
        <f>_xlfn.XLOOKUP(C836,customers!$A$1:$A$1001,customers!$G$1:$G$1001,,0)</f>
        <v>United States</v>
      </c>
      <c r="I836" s="4" t="str">
        <f>INDEX(products!$A$1:$G$49,MATCH(orders!$D836,products!$A$1:$A$49,0),MATCH(orders!I$1,products!$A$1:$G$1,0))</f>
        <v>Ara</v>
      </c>
      <c r="J836" s="4" t="str">
        <f>INDEX(products!$A$1:$G$49,MATCH(orders!$D836,products!$A$1:$A$49,0),MATCH(orders!J$1,products!$A$1:$G$1,0))</f>
        <v>D</v>
      </c>
      <c r="K836" s="6">
        <f>INDEX(products!$A$1:$G$49,MATCH(orders!$D836,products!$A$1:$A$49,0),MATCH(orders!K$1,products!$A$1:$G$1,0))</f>
        <v>2.5</v>
      </c>
      <c r="L836" s="7">
        <f>INDEX(products!$A$1:$G$49,MATCH(orders!$D836,products!$A$1:$A$49,0),MATCH(orders!L$1,products!$A$1:$G$1,0))</f>
        <v>22.884999999999998</v>
      </c>
      <c r="M836" s="7">
        <f t="shared" si="13"/>
        <v>22.884999999999998</v>
      </c>
      <c r="N836" s="4" t="str" cm="1">
        <f t="array" ref="N836">_xlfn.IFS(I836="Rob","Robusta",I836="Exc","Excelsa",I836="Ara","Arabica",I836="Lib","Liberica")</f>
        <v>Arabica</v>
      </c>
      <c r="O836" s="4" t="str" cm="1">
        <f t="array" ref="O836">_xlfn.IFS(J836="M","Medium",J836="L","Light",J836="D","Dark")</f>
        <v>Dark</v>
      </c>
      <c r="P836" s="4" t="str">
        <f>_xlfn.XLOOKUP(CoffeeOrderstable[[#This Row],[Customer ID]],customers!$A$1:$A$1001,customers!$I$1:$I$1001,,0)</f>
        <v>No</v>
      </c>
    </row>
    <row r="837" spans="1:16" x14ac:dyDescent="0.3">
      <c r="A837" s="3" t="s">
        <v>5211</v>
      </c>
      <c r="B837" s="5">
        <v>44270</v>
      </c>
      <c r="C837" s="3" t="s">
        <v>5212</v>
      </c>
      <c r="D837" s="4" t="s">
        <v>6176</v>
      </c>
      <c r="E837" s="3">
        <v>1</v>
      </c>
      <c r="F837" s="3" t="str">
        <f>_xlfn.XLOOKUP(C837,customers!$A$1:$A$1001,customers!$B$1:$B$1001,,0)</f>
        <v>Konstantine Thoumasson</v>
      </c>
      <c r="G837" s="3" t="str">
        <f>IF(_xlfn.XLOOKUP(C837,customers!$A$1:$A$1001,customers!$C$1:$C$1001,,0)=0,"", _xlfn.XLOOKUP(C837,customers!$A$1:$A$1001,customers!$C$1:$C$1001,,0))</f>
        <v>kthoumassonn7@bloglovin.com</v>
      </c>
      <c r="H837" s="3" t="str">
        <f>_xlfn.XLOOKUP(C837,customers!$A$1:$A$1001,customers!$G$1:$G$1001,,0)</f>
        <v>United States</v>
      </c>
      <c r="I837" s="4" t="str">
        <f>INDEX(products!$A$1:$G$49,MATCH(orders!$D837,products!$A$1:$A$49,0),MATCH(orders!I$1,products!$A$1:$G$1,0))</f>
        <v>Exc</v>
      </c>
      <c r="J837" s="4" t="str">
        <f>INDEX(products!$A$1:$G$49,MATCH(orders!$D837,products!$A$1:$A$49,0),MATCH(orders!J$1,products!$A$1:$G$1,0))</f>
        <v>L</v>
      </c>
      <c r="K837" s="6">
        <f>INDEX(products!$A$1:$G$49,MATCH(orders!$D837,products!$A$1:$A$49,0),MATCH(orders!K$1,products!$A$1:$G$1,0))</f>
        <v>0.5</v>
      </c>
      <c r="L837" s="7">
        <f>INDEX(products!$A$1:$G$49,MATCH(orders!$D837,products!$A$1:$A$49,0),MATCH(orders!L$1,products!$A$1:$G$1,0))</f>
        <v>8.91</v>
      </c>
      <c r="M837" s="7">
        <f t="shared" si="13"/>
        <v>8.91</v>
      </c>
      <c r="N837" s="4" t="str" cm="1">
        <f t="array" ref="N837">_xlfn.IFS(I837="Rob","Robusta",I837="Exc","Excelsa",I837="Ara","Arabica",I837="Lib","Liberica")</f>
        <v>Excelsa</v>
      </c>
      <c r="O837" s="4" t="str" cm="1">
        <f t="array" ref="O837">_xlfn.IFS(J837="M","Medium",J837="L","Light",J837="D","Dark")</f>
        <v>Light</v>
      </c>
      <c r="P837" s="4" t="str">
        <f>_xlfn.XLOOKUP(CoffeeOrderstable[[#This Row],[Customer ID]],customers!$A$1:$A$1001,customers!$I$1:$I$1001,,0)</f>
        <v>Yes</v>
      </c>
    </row>
    <row r="838" spans="1:16" x14ac:dyDescent="0.3">
      <c r="A838" s="3" t="s">
        <v>5216</v>
      </c>
      <c r="B838" s="5">
        <v>44486</v>
      </c>
      <c r="C838" s="3" t="s">
        <v>5217</v>
      </c>
      <c r="D838" s="4" t="s">
        <v>6154</v>
      </c>
      <c r="E838" s="3">
        <v>4</v>
      </c>
      <c r="F838" s="3" t="str">
        <f>_xlfn.XLOOKUP(C838,customers!$A$1:$A$1001,customers!$B$1:$B$1001,,0)</f>
        <v>Frans Habbergham</v>
      </c>
      <c r="G838" s="3" t="str">
        <f>IF(_xlfn.XLOOKUP(C838,customers!$A$1:$A$1001,customers!$C$1:$C$1001,,0)=0,"", _xlfn.XLOOKUP(C838,customers!$A$1:$A$1001,customers!$C$1:$C$1001,,0))</f>
        <v>fhabberghamn8@discovery.com</v>
      </c>
      <c r="H838" s="3" t="str">
        <f>_xlfn.XLOOKUP(C838,customers!$A$1:$A$1001,customers!$G$1:$G$1001,,0)</f>
        <v>United States</v>
      </c>
      <c r="I838" s="4" t="str">
        <f>INDEX(products!$A$1:$G$49,MATCH(orders!$D838,products!$A$1:$A$49,0),MATCH(orders!I$1,products!$A$1:$G$1,0))</f>
        <v>Ara</v>
      </c>
      <c r="J838" s="4" t="str">
        <f>INDEX(products!$A$1:$G$49,MATCH(orders!$D838,products!$A$1:$A$49,0),MATCH(orders!J$1,products!$A$1:$G$1,0))</f>
        <v>D</v>
      </c>
      <c r="K838" s="6">
        <f>INDEX(products!$A$1:$G$49,MATCH(orders!$D838,products!$A$1:$A$49,0),MATCH(orders!K$1,products!$A$1:$G$1,0))</f>
        <v>0.2</v>
      </c>
      <c r="L838" s="7">
        <f>INDEX(products!$A$1:$G$49,MATCH(orders!$D838,products!$A$1:$A$49,0),MATCH(orders!L$1,products!$A$1:$G$1,0))</f>
        <v>2.9849999999999999</v>
      </c>
      <c r="M838" s="7">
        <f t="shared" si="13"/>
        <v>11.94</v>
      </c>
      <c r="N838" s="4" t="str" cm="1">
        <f t="array" ref="N838">_xlfn.IFS(I838="Rob","Robusta",I838="Exc","Excelsa",I838="Ara","Arabica",I838="Lib","Liberica")</f>
        <v>Arabica</v>
      </c>
      <c r="O838" s="4" t="str" cm="1">
        <f t="array" ref="O838">_xlfn.IFS(J838="M","Medium",J838="L","Light",J838="D","Dark")</f>
        <v>Dark</v>
      </c>
      <c r="P838" s="4" t="str">
        <f>_xlfn.XLOOKUP(CoffeeOrderstable[[#This Row],[Customer ID]],customers!$A$1:$A$1001,customers!$I$1:$I$1001,,0)</f>
        <v>No</v>
      </c>
    </row>
    <row r="839" spans="1:16" x14ac:dyDescent="0.3">
      <c r="A839" s="3" t="s">
        <v>5222</v>
      </c>
      <c r="B839" s="5">
        <v>43715</v>
      </c>
      <c r="C839" s="3" t="s">
        <v>5113</v>
      </c>
      <c r="D839" s="4" t="s">
        <v>6181</v>
      </c>
      <c r="E839" s="3">
        <v>3</v>
      </c>
      <c r="F839" s="3" t="str">
        <f>_xlfn.XLOOKUP(C839,customers!$A$1:$A$1001,customers!$B$1:$B$1001,,0)</f>
        <v>Allis Wilmore</v>
      </c>
      <c r="G839" s="3" t="str">
        <f>IF(_xlfn.XLOOKUP(C839,customers!$A$1:$A$1001,customers!$C$1:$C$1001,,0)=0,"", _xlfn.XLOOKUP(C839,customers!$A$1:$A$1001,customers!$C$1:$C$1001,,0))</f>
        <v/>
      </c>
      <c r="H839" s="3" t="str">
        <f>_xlfn.XLOOKUP(C839,customers!$A$1:$A$1001,customers!$G$1:$G$1001,,0)</f>
        <v>United States</v>
      </c>
      <c r="I839" s="4" t="str">
        <f>INDEX(products!$A$1:$G$49,MATCH(orders!$D839,products!$A$1:$A$49,0),MATCH(orders!I$1,products!$A$1:$G$1,0))</f>
        <v>Lib</v>
      </c>
      <c r="J839" s="4" t="str">
        <f>INDEX(products!$A$1:$G$49,MATCH(orders!$D839,products!$A$1:$A$49,0),MATCH(orders!J$1,products!$A$1:$G$1,0))</f>
        <v>M</v>
      </c>
      <c r="K839" s="6">
        <f>INDEX(products!$A$1:$G$49,MATCH(orders!$D839,products!$A$1:$A$49,0),MATCH(orders!K$1,products!$A$1:$G$1,0))</f>
        <v>2.5</v>
      </c>
      <c r="L839" s="7">
        <f>INDEX(products!$A$1:$G$49,MATCH(orders!$D839,products!$A$1:$A$49,0),MATCH(orders!L$1,products!$A$1:$G$1,0))</f>
        <v>33.464999999999996</v>
      </c>
      <c r="M839" s="7">
        <f t="shared" si="13"/>
        <v>100.39499999999998</v>
      </c>
      <c r="N839" s="4" t="str" cm="1">
        <f t="array" ref="N839">_xlfn.IFS(I839="Rob","Robusta",I839="Exc","Excelsa",I839="Ara","Arabica",I839="Lib","Liberica")</f>
        <v>Liberica</v>
      </c>
      <c r="O839" s="4" t="str" cm="1">
        <f t="array" ref="O839">_xlfn.IFS(J839="M","Medium",J839="L","Light",J839="D","Dark")</f>
        <v>Medium</v>
      </c>
      <c r="P839" s="4" t="str">
        <f>_xlfn.XLOOKUP(CoffeeOrderstable[[#This Row],[Customer ID]],customers!$A$1:$A$1001,customers!$I$1:$I$1001,,0)</f>
        <v>No</v>
      </c>
    </row>
    <row r="840" spans="1:16" x14ac:dyDescent="0.3">
      <c r="A840" s="3" t="s">
        <v>5228</v>
      </c>
      <c r="B840" s="5">
        <v>44755</v>
      </c>
      <c r="C840" s="3" t="s">
        <v>5229</v>
      </c>
      <c r="D840" s="4" t="s">
        <v>6168</v>
      </c>
      <c r="E840" s="3">
        <v>5</v>
      </c>
      <c r="F840" s="3" t="str">
        <f>_xlfn.XLOOKUP(C840,customers!$A$1:$A$1001,customers!$B$1:$B$1001,,0)</f>
        <v>Romain Avrashin</v>
      </c>
      <c r="G840" s="3" t="str">
        <f>IF(_xlfn.XLOOKUP(C840,customers!$A$1:$A$1001,customers!$C$1:$C$1001,,0)=0,"", _xlfn.XLOOKUP(C840,customers!$A$1:$A$1001,customers!$C$1:$C$1001,,0))</f>
        <v>ravrashinna@tamu.edu</v>
      </c>
      <c r="H840" s="3" t="str">
        <f>_xlfn.XLOOKUP(C840,customers!$A$1:$A$1001,customers!$G$1:$G$1001,,0)</f>
        <v>United States</v>
      </c>
      <c r="I840" s="4" t="str">
        <f>INDEX(products!$A$1:$G$49,MATCH(orders!$D840,products!$A$1:$A$49,0),MATCH(orders!I$1,products!$A$1:$G$1,0))</f>
        <v>Ara</v>
      </c>
      <c r="J840" s="4" t="str">
        <f>INDEX(products!$A$1:$G$49,MATCH(orders!$D840,products!$A$1:$A$49,0),MATCH(orders!J$1,products!$A$1:$G$1,0))</f>
        <v>D</v>
      </c>
      <c r="K840" s="6">
        <f>INDEX(products!$A$1:$G$49,MATCH(orders!$D840,products!$A$1:$A$49,0),MATCH(orders!K$1,products!$A$1:$G$1,0))</f>
        <v>2.5</v>
      </c>
      <c r="L840" s="7">
        <f>INDEX(products!$A$1:$G$49,MATCH(orders!$D840,products!$A$1:$A$49,0),MATCH(orders!L$1,products!$A$1:$G$1,0))</f>
        <v>22.884999999999998</v>
      </c>
      <c r="M840" s="7">
        <f t="shared" si="13"/>
        <v>114.42499999999998</v>
      </c>
      <c r="N840" s="4" t="str" cm="1">
        <f t="array" ref="N840">_xlfn.IFS(I840="Rob","Robusta",I840="Exc","Excelsa",I840="Ara","Arabica",I840="Lib","Liberica")</f>
        <v>Arabica</v>
      </c>
      <c r="O840" s="4" t="str" cm="1">
        <f t="array" ref="O840">_xlfn.IFS(J840="M","Medium",J840="L","Light",J840="D","Dark")</f>
        <v>Dark</v>
      </c>
      <c r="P840" s="4" t="str">
        <f>_xlfn.XLOOKUP(CoffeeOrderstable[[#This Row],[Customer ID]],customers!$A$1:$A$1001,customers!$I$1:$I$1001,,0)</f>
        <v>No</v>
      </c>
    </row>
    <row r="841" spans="1:16" x14ac:dyDescent="0.3">
      <c r="A841" s="3" t="s">
        <v>5234</v>
      </c>
      <c r="B841" s="5">
        <v>44521</v>
      </c>
      <c r="C841" s="3" t="s">
        <v>5235</v>
      </c>
      <c r="D841" s="4" t="s">
        <v>6139</v>
      </c>
      <c r="E841" s="3">
        <v>5</v>
      </c>
      <c r="F841" s="3" t="str">
        <f>_xlfn.XLOOKUP(C841,customers!$A$1:$A$1001,customers!$B$1:$B$1001,,0)</f>
        <v>Miran Doidge</v>
      </c>
      <c r="G841" s="3" t="str">
        <f>IF(_xlfn.XLOOKUP(C841,customers!$A$1:$A$1001,customers!$C$1:$C$1001,,0)=0,"", _xlfn.XLOOKUP(C841,customers!$A$1:$A$1001,customers!$C$1:$C$1001,,0))</f>
        <v>mdoidgenb@etsy.com</v>
      </c>
      <c r="H841" s="3" t="str">
        <f>_xlfn.XLOOKUP(C841,customers!$A$1:$A$1001,customers!$G$1:$G$1001,,0)</f>
        <v>United States</v>
      </c>
      <c r="I841" s="4" t="str">
        <f>INDEX(products!$A$1:$G$49,MATCH(orders!$D841,products!$A$1:$A$49,0),MATCH(orders!I$1,products!$A$1:$G$1,0))</f>
        <v>Exc</v>
      </c>
      <c r="J841" s="4" t="str">
        <f>INDEX(products!$A$1:$G$49,MATCH(orders!$D841,products!$A$1:$A$49,0),MATCH(orders!J$1,products!$A$1:$G$1,0))</f>
        <v>M</v>
      </c>
      <c r="K841" s="6">
        <f>INDEX(products!$A$1:$G$49,MATCH(orders!$D841,products!$A$1:$A$49,0),MATCH(orders!K$1,products!$A$1:$G$1,0))</f>
        <v>0.5</v>
      </c>
      <c r="L841" s="7">
        <f>INDEX(products!$A$1:$G$49,MATCH(orders!$D841,products!$A$1:$A$49,0),MATCH(orders!L$1,products!$A$1:$G$1,0))</f>
        <v>8.25</v>
      </c>
      <c r="M841" s="7">
        <f t="shared" si="13"/>
        <v>41.25</v>
      </c>
      <c r="N841" s="4" t="str" cm="1">
        <f t="array" ref="N841">_xlfn.IFS(I841="Rob","Robusta",I841="Exc","Excelsa",I841="Ara","Arabica",I841="Lib","Liberica")</f>
        <v>Excelsa</v>
      </c>
      <c r="O841" s="4" t="str" cm="1">
        <f t="array" ref="O841">_xlfn.IFS(J841="M","Medium",J841="L","Light",J841="D","Dark")</f>
        <v>Medium</v>
      </c>
      <c r="P841" s="4" t="str">
        <f>_xlfn.XLOOKUP(CoffeeOrderstable[[#This Row],[Customer ID]],customers!$A$1:$A$1001,customers!$I$1:$I$1001,,0)</f>
        <v>No</v>
      </c>
    </row>
    <row r="842" spans="1:16" x14ac:dyDescent="0.3">
      <c r="A842" s="3" t="s">
        <v>5240</v>
      </c>
      <c r="B842" s="5">
        <v>44574</v>
      </c>
      <c r="C842" s="3" t="s">
        <v>5241</v>
      </c>
      <c r="D842" s="4" t="s">
        <v>6173</v>
      </c>
      <c r="E842" s="3">
        <v>4</v>
      </c>
      <c r="F842" s="3" t="str">
        <f>_xlfn.XLOOKUP(C842,customers!$A$1:$A$1001,customers!$B$1:$B$1001,,0)</f>
        <v>Janeva Edinboro</v>
      </c>
      <c r="G842" s="3" t="str">
        <f>IF(_xlfn.XLOOKUP(C842,customers!$A$1:$A$1001,customers!$C$1:$C$1001,,0)=0,"", _xlfn.XLOOKUP(C842,customers!$A$1:$A$1001,customers!$C$1:$C$1001,,0))</f>
        <v>jedinboronc@reverbnation.com</v>
      </c>
      <c r="H842" s="3" t="str">
        <f>_xlfn.XLOOKUP(C842,customers!$A$1:$A$1001,customers!$G$1:$G$1001,,0)</f>
        <v>United States</v>
      </c>
      <c r="I842" s="4" t="str">
        <f>INDEX(products!$A$1:$G$49,MATCH(orders!$D842,products!$A$1:$A$49,0),MATCH(orders!I$1,products!$A$1:$G$1,0))</f>
        <v>Rob</v>
      </c>
      <c r="J842" s="4" t="str">
        <f>INDEX(products!$A$1:$G$49,MATCH(orders!$D842,products!$A$1:$A$49,0),MATCH(orders!J$1,products!$A$1:$G$1,0))</f>
        <v>L</v>
      </c>
      <c r="K842" s="6">
        <f>INDEX(products!$A$1:$G$49,MATCH(orders!$D842,products!$A$1:$A$49,0),MATCH(orders!K$1,products!$A$1:$G$1,0))</f>
        <v>0.5</v>
      </c>
      <c r="L842" s="7">
        <f>INDEX(products!$A$1:$G$49,MATCH(orders!$D842,products!$A$1:$A$49,0),MATCH(orders!L$1,products!$A$1:$G$1,0))</f>
        <v>7.169999999999999</v>
      </c>
      <c r="M842" s="7">
        <f t="shared" si="13"/>
        <v>28.679999999999996</v>
      </c>
      <c r="N842" s="4" t="str" cm="1">
        <f t="array" ref="N842">_xlfn.IFS(I842="Rob","Robusta",I842="Exc","Excelsa",I842="Ara","Arabica",I842="Lib","Liberica")</f>
        <v>Robusta</v>
      </c>
      <c r="O842" s="4" t="str" cm="1">
        <f t="array" ref="O842">_xlfn.IFS(J842="M","Medium",J842="L","Light",J842="D","Dark")</f>
        <v>Light</v>
      </c>
      <c r="P842" s="4" t="str">
        <f>_xlfn.XLOOKUP(CoffeeOrderstable[[#This Row],[Customer ID]],customers!$A$1:$A$1001,customers!$I$1:$I$1001,,0)</f>
        <v>Yes</v>
      </c>
    </row>
    <row r="843" spans="1:16" x14ac:dyDescent="0.3">
      <c r="A843" s="3" t="s">
        <v>5246</v>
      </c>
      <c r="B843" s="5">
        <v>44755</v>
      </c>
      <c r="C843" s="3" t="s">
        <v>5247</v>
      </c>
      <c r="D843" s="4" t="s">
        <v>6159</v>
      </c>
      <c r="E843" s="3">
        <v>1</v>
      </c>
      <c r="F843" s="3" t="str">
        <f>_xlfn.XLOOKUP(C843,customers!$A$1:$A$1001,customers!$B$1:$B$1001,,0)</f>
        <v>Trumaine Tewelson</v>
      </c>
      <c r="G843" s="3" t="str">
        <f>IF(_xlfn.XLOOKUP(C843,customers!$A$1:$A$1001,customers!$C$1:$C$1001,,0)=0,"", _xlfn.XLOOKUP(C843,customers!$A$1:$A$1001,customers!$C$1:$C$1001,,0))</f>
        <v>ttewelsonnd@cdbaby.com</v>
      </c>
      <c r="H843" s="3" t="str">
        <f>_xlfn.XLOOKUP(C843,customers!$A$1:$A$1001,customers!$G$1:$G$1001,,0)</f>
        <v>United States</v>
      </c>
      <c r="I843" s="4" t="str">
        <f>INDEX(products!$A$1:$G$49,MATCH(orders!$D843,products!$A$1:$A$49,0),MATCH(orders!I$1,products!$A$1:$G$1,0))</f>
        <v>Lib</v>
      </c>
      <c r="J843" s="4" t="str">
        <f>INDEX(products!$A$1:$G$49,MATCH(orders!$D843,products!$A$1:$A$49,0),MATCH(orders!J$1,products!$A$1:$G$1,0))</f>
        <v>M</v>
      </c>
      <c r="K843" s="6">
        <f>INDEX(products!$A$1:$G$49,MATCH(orders!$D843,products!$A$1:$A$49,0),MATCH(orders!K$1,products!$A$1:$G$1,0))</f>
        <v>0.2</v>
      </c>
      <c r="L843" s="7">
        <f>INDEX(products!$A$1:$G$49,MATCH(orders!$D843,products!$A$1:$A$49,0),MATCH(orders!L$1,products!$A$1:$G$1,0))</f>
        <v>4.3650000000000002</v>
      </c>
      <c r="M843" s="7">
        <f t="shared" si="13"/>
        <v>4.3650000000000002</v>
      </c>
      <c r="N843" s="4" t="str" cm="1">
        <f t="array" ref="N843">_xlfn.IFS(I843="Rob","Robusta",I843="Exc","Excelsa",I843="Ara","Arabica",I843="Lib","Liberica")</f>
        <v>Liberica</v>
      </c>
      <c r="O843" s="4" t="str" cm="1">
        <f t="array" ref="O843">_xlfn.IFS(J843="M","Medium",J843="L","Light",J843="D","Dark")</f>
        <v>Medium</v>
      </c>
      <c r="P843" s="4" t="str">
        <f>_xlfn.XLOOKUP(CoffeeOrderstable[[#This Row],[Customer ID]],customers!$A$1:$A$1001,customers!$I$1:$I$1001,,0)</f>
        <v>No</v>
      </c>
    </row>
    <row r="844" spans="1:16" x14ac:dyDescent="0.3">
      <c r="A844" s="3" t="s">
        <v>5251</v>
      </c>
      <c r="B844" s="5">
        <v>44502</v>
      </c>
      <c r="C844" s="3" t="s">
        <v>5188</v>
      </c>
      <c r="D844" s="4" t="s">
        <v>6156</v>
      </c>
      <c r="E844" s="3">
        <v>2</v>
      </c>
      <c r="F844" s="3" t="str">
        <f>_xlfn.XLOOKUP(C844,customers!$A$1:$A$1001,customers!$B$1:$B$1001,,0)</f>
        <v>Odelia Skerme</v>
      </c>
      <c r="G844" s="3" t="str">
        <f>IF(_xlfn.XLOOKUP(C844,customers!$A$1:$A$1001,customers!$C$1:$C$1001,,0)=0,"", _xlfn.XLOOKUP(C844,customers!$A$1:$A$1001,customers!$C$1:$C$1001,,0))</f>
        <v>oskermen3@hatena.ne.jp</v>
      </c>
      <c r="H844" s="3" t="str">
        <f>_xlfn.XLOOKUP(C844,customers!$A$1:$A$1001,customers!$G$1:$G$1001,,0)</f>
        <v>United States</v>
      </c>
      <c r="I844" s="4" t="str">
        <f>INDEX(products!$A$1:$G$49,MATCH(orders!$D844,products!$A$1:$A$49,0),MATCH(orders!I$1,products!$A$1:$G$1,0))</f>
        <v>Exc</v>
      </c>
      <c r="J844" s="4" t="str">
        <f>INDEX(products!$A$1:$G$49,MATCH(orders!$D844,products!$A$1:$A$49,0),MATCH(orders!J$1,products!$A$1:$G$1,0))</f>
        <v>M</v>
      </c>
      <c r="K844" s="6">
        <f>INDEX(products!$A$1:$G$49,MATCH(orders!$D844,products!$A$1:$A$49,0),MATCH(orders!K$1,products!$A$1:$G$1,0))</f>
        <v>0.2</v>
      </c>
      <c r="L844" s="7">
        <f>INDEX(products!$A$1:$G$49,MATCH(orders!$D844,products!$A$1:$A$49,0),MATCH(orders!L$1,products!$A$1:$G$1,0))</f>
        <v>4.125</v>
      </c>
      <c r="M844" s="7">
        <f t="shared" si="13"/>
        <v>8.25</v>
      </c>
      <c r="N844" s="4" t="str" cm="1">
        <f t="array" ref="N844">_xlfn.IFS(I844="Rob","Robusta",I844="Exc","Excelsa",I844="Ara","Arabica",I844="Lib","Liberica")</f>
        <v>Excelsa</v>
      </c>
      <c r="O844" s="4" t="str" cm="1">
        <f t="array" ref="O844">_xlfn.IFS(J844="M","Medium",J844="L","Light",J844="D","Dark")</f>
        <v>Medium</v>
      </c>
      <c r="P844" s="4" t="str">
        <f>_xlfn.XLOOKUP(CoffeeOrderstable[[#This Row],[Customer ID]],customers!$A$1:$A$1001,customers!$I$1:$I$1001,,0)</f>
        <v>Yes</v>
      </c>
    </row>
    <row r="845" spans="1:16" x14ac:dyDescent="0.3">
      <c r="A845" s="3" t="s">
        <v>5256</v>
      </c>
      <c r="B845" s="5">
        <v>44387</v>
      </c>
      <c r="C845" s="3" t="s">
        <v>5257</v>
      </c>
      <c r="D845" s="4" t="s">
        <v>6156</v>
      </c>
      <c r="E845" s="3">
        <v>2</v>
      </c>
      <c r="F845" s="3" t="str">
        <f>_xlfn.XLOOKUP(C845,customers!$A$1:$A$1001,customers!$B$1:$B$1001,,0)</f>
        <v>De Drewitt</v>
      </c>
      <c r="G845" s="3" t="str">
        <f>IF(_xlfn.XLOOKUP(C845,customers!$A$1:$A$1001,customers!$C$1:$C$1001,,0)=0,"", _xlfn.XLOOKUP(C845,customers!$A$1:$A$1001,customers!$C$1:$C$1001,,0))</f>
        <v>ddrewittnf@mapquest.com</v>
      </c>
      <c r="H845" s="3" t="str">
        <f>_xlfn.XLOOKUP(C845,customers!$A$1:$A$1001,customers!$G$1:$G$1001,,0)</f>
        <v>United States</v>
      </c>
      <c r="I845" s="4" t="str">
        <f>INDEX(products!$A$1:$G$49,MATCH(orders!$D845,products!$A$1:$A$49,0),MATCH(orders!I$1,products!$A$1:$G$1,0))</f>
        <v>Exc</v>
      </c>
      <c r="J845" s="4" t="str">
        <f>INDEX(products!$A$1:$G$49,MATCH(orders!$D845,products!$A$1:$A$49,0),MATCH(orders!J$1,products!$A$1:$G$1,0))</f>
        <v>M</v>
      </c>
      <c r="K845" s="6">
        <f>INDEX(products!$A$1:$G$49,MATCH(orders!$D845,products!$A$1:$A$49,0),MATCH(orders!K$1,products!$A$1:$G$1,0))</f>
        <v>0.2</v>
      </c>
      <c r="L845" s="7">
        <f>INDEX(products!$A$1:$G$49,MATCH(orders!$D845,products!$A$1:$A$49,0),MATCH(orders!L$1,products!$A$1:$G$1,0))</f>
        <v>4.125</v>
      </c>
      <c r="M845" s="7">
        <f t="shared" si="13"/>
        <v>8.25</v>
      </c>
      <c r="N845" s="4" t="str" cm="1">
        <f t="array" ref="N845">_xlfn.IFS(I845="Rob","Robusta",I845="Exc","Excelsa",I845="Ara","Arabica",I845="Lib","Liberica")</f>
        <v>Excelsa</v>
      </c>
      <c r="O845" s="4" t="str" cm="1">
        <f t="array" ref="O845">_xlfn.IFS(J845="M","Medium",J845="L","Light",J845="D","Dark")</f>
        <v>Medium</v>
      </c>
      <c r="P845" s="4" t="str">
        <f>_xlfn.XLOOKUP(CoffeeOrderstable[[#This Row],[Customer ID]],customers!$A$1:$A$1001,customers!$I$1:$I$1001,,0)</f>
        <v>Yes</v>
      </c>
    </row>
    <row r="846" spans="1:16" x14ac:dyDescent="0.3">
      <c r="A846" s="3" t="s">
        <v>5262</v>
      </c>
      <c r="B846" s="5">
        <v>44476</v>
      </c>
      <c r="C846" s="3" t="s">
        <v>5263</v>
      </c>
      <c r="D846" s="4" t="s">
        <v>6158</v>
      </c>
      <c r="E846" s="3">
        <v>6</v>
      </c>
      <c r="F846" s="3" t="str">
        <f>_xlfn.XLOOKUP(C846,customers!$A$1:$A$1001,customers!$B$1:$B$1001,,0)</f>
        <v>Adelheid Gladhill</v>
      </c>
      <c r="G846" s="3" t="str">
        <f>IF(_xlfn.XLOOKUP(C846,customers!$A$1:$A$1001,customers!$C$1:$C$1001,,0)=0,"", _xlfn.XLOOKUP(C846,customers!$A$1:$A$1001,customers!$C$1:$C$1001,,0))</f>
        <v>agladhillng@stanford.edu</v>
      </c>
      <c r="H846" s="3" t="str">
        <f>_xlfn.XLOOKUP(C846,customers!$A$1:$A$1001,customers!$G$1:$G$1001,,0)</f>
        <v>United States</v>
      </c>
      <c r="I846" s="4" t="str">
        <f>INDEX(products!$A$1:$G$49,MATCH(orders!$D846,products!$A$1:$A$49,0),MATCH(orders!I$1,products!$A$1:$G$1,0))</f>
        <v>Ara</v>
      </c>
      <c r="J846" s="4" t="str">
        <f>INDEX(products!$A$1:$G$49,MATCH(orders!$D846,products!$A$1:$A$49,0),MATCH(orders!J$1,products!$A$1:$G$1,0))</f>
        <v>D</v>
      </c>
      <c r="K846" s="6">
        <f>INDEX(products!$A$1:$G$49,MATCH(orders!$D846,products!$A$1:$A$49,0),MATCH(orders!K$1,products!$A$1:$G$1,0))</f>
        <v>0.5</v>
      </c>
      <c r="L846" s="7">
        <f>INDEX(products!$A$1:$G$49,MATCH(orders!$D846,products!$A$1:$A$49,0),MATCH(orders!L$1,products!$A$1:$G$1,0))</f>
        <v>5.97</v>
      </c>
      <c r="M846" s="7">
        <f t="shared" si="13"/>
        <v>35.82</v>
      </c>
      <c r="N846" s="4" t="str" cm="1">
        <f t="array" ref="N846">_xlfn.IFS(I846="Rob","Robusta",I846="Exc","Excelsa",I846="Ara","Arabica",I846="Lib","Liberica")</f>
        <v>Arabica</v>
      </c>
      <c r="O846" s="4" t="str" cm="1">
        <f t="array" ref="O846">_xlfn.IFS(J846="M","Medium",J846="L","Light",J846="D","Dark")</f>
        <v>Dark</v>
      </c>
      <c r="P846" s="4" t="str">
        <f>_xlfn.XLOOKUP(CoffeeOrderstable[[#This Row],[Customer ID]],customers!$A$1:$A$1001,customers!$I$1:$I$1001,,0)</f>
        <v>Yes</v>
      </c>
    </row>
    <row r="847" spans="1:16" x14ac:dyDescent="0.3">
      <c r="A847" s="3" t="s">
        <v>5268</v>
      </c>
      <c r="B847" s="5">
        <v>43889</v>
      </c>
      <c r="C847" s="3" t="s">
        <v>5269</v>
      </c>
      <c r="D847" s="4" t="s">
        <v>6185</v>
      </c>
      <c r="E847" s="3">
        <v>6</v>
      </c>
      <c r="F847" s="3" t="str">
        <f>_xlfn.XLOOKUP(C847,customers!$A$1:$A$1001,customers!$B$1:$B$1001,,0)</f>
        <v>Murielle Lorinez</v>
      </c>
      <c r="G847" s="3" t="str">
        <f>IF(_xlfn.XLOOKUP(C847,customers!$A$1:$A$1001,customers!$C$1:$C$1001,,0)=0,"", _xlfn.XLOOKUP(C847,customers!$A$1:$A$1001,customers!$C$1:$C$1001,,0))</f>
        <v>mlorineznh@whitehouse.gov</v>
      </c>
      <c r="H847" s="3" t="str">
        <f>_xlfn.XLOOKUP(C847,customers!$A$1:$A$1001,customers!$G$1:$G$1001,,0)</f>
        <v>United States</v>
      </c>
      <c r="I847" s="4" t="str">
        <f>INDEX(products!$A$1:$G$49,MATCH(orders!$D847,products!$A$1:$A$49,0),MATCH(orders!I$1,products!$A$1:$G$1,0))</f>
        <v>Exc</v>
      </c>
      <c r="J847" s="4" t="str">
        <f>INDEX(products!$A$1:$G$49,MATCH(orders!$D847,products!$A$1:$A$49,0),MATCH(orders!J$1,products!$A$1:$G$1,0))</f>
        <v>D</v>
      </c>
      <c r="K847" s="6">
        <f>INDEX(products!$A$1:$G$49,MATCH(orders!$D847,products!$A$1:$A$49,0),MATCH(orders!K$1,products!$A$1:$G$1,0))</f>
        <v>2.5</v>
      </c>
      <c r="L847" s="7">
        <f>INDEX(products!$A$1:$G$49,MATCH(orders!$D847,products!$A$1:$A$49,0),MATCH(orders!L$1,products!$A$1:$G$1,0))</f>
        <v>27.945</v>
      </c>
      <c r="M847" s="7">
        <f t="shared" si="13"/>
        <v>167.67000000000002</v>
      </c>
      <c r="N847" s="4" t="str" cm="1">
        <f t="array" ref="N847">_xlfn.IFS(I847="Rob","Robusta",I847="Exc","Excelsa",I847="Ara","Arabica",I847="Lib","Liberica")</f>
        <v>Excelsa</v>
      </c>
      <c r="O847" s="4" t="str" cm="1">
        <f t="array" ref="O847">_xlfn.IFS(J847="M","Medium",J847="L","Light",J847="D","Dark")</f>
        <v>Dark</v>
      </c>
      <c r="P847" s="4" t="str">
        <f>_xlfn.XLOOKUP(CoffeeOrderstable[[#This Row],[Customer ID]],customers!$A$1:$A$1001,customers!$I$1:$I$1001,,0)</f>
        <v>No</v>
      </c>
    </row>
    <row r="848" spans="1:16" x14ac:dyDescent="0.3">
      <c r="A848" s="3" t="s">
        <v>5273</v>
      </c>
      <c r="B848" s="5">
        <v>44747</v>
      </c>
      <c r="C848" s="3" t="s">
        <v>5274</v>
      </c>
      <c r="D848" s="4" t="s">
        <v>6175</v>
      </c>
      <c r="E848" s="3">
        <v>2</v>
      </c>
      <c r="F848" s="3" t="str">
        <f>_xlfn.XLOOKUP(C848,customers!$A$1:$A$1001,customers!$B$1:$B$1001,,0)</f>
        <v>Edin Mathe</v>
      </c>
      <c r="G848" s="3" t="str">
        <f>IF(_xlfn.XLOOKUP(C848,customers!$A$1:$A$1001,customers!$C$1:$C$1001,,0)=0,"", _xlfn.XLOOKUP(C848,customers!$A$1:$A$1001,customers!$C$1:$C$1001,,0))</f>
        <v/>
      </c>
      <c r="H848" s="3" t="str">
        <f>_xlfn.XLOOKUP(C848,customers!$A$1:$A$1001,customers!$G$1:$G$1001,,0)</f>
        <v>United States</v>
      </c>
      <c r="I848" s="4" t="str">
        <f>INDEX(products!$A$1:$G$49,MATCH(orders!$D848,products!$A$1:$A$49,0),MATCH(orders!I$1,products!$A$1:$G$1,0))</f>
        <v>Ara</v>
      </c>
      <c r="J848" s="4" t="str">
        <f>INDEX(products!$A$1:$G$49,MATCH(orders!$D848,products!$A$1:$A$49,0),MATCH(orders!J$1,products!$A$1:$G$1,0))</f>
        <v>M</v>
      </c>
      <c r="K848" s="6">
        <f>INDEX(products!$A$1:$G$49,MATCH(orders!$D848,products!$A$1:$A$49,0),MATCH(orders!K$1,products!$A$1:$G$1,0))</f>
        <v>2.5</v>
      </c>
      <c r="L848" s="7">
        <f>INDEX(products!$A$1:$G$49,MATCH(orders!$D848,products!$A$1:$A$49,0),MATCH(orders!L$1,products!$A$1:$G$1,0))</f>
        <v>25.874999999999996</v>
      </c>
      <c r="M848" s="7">
        <f t="shared" si="13"/>
        <v>51.749999999999993</v>
      </c>
      <c r="N848" s="4" t="str" cm="1">
        <f t="array" ref="N848">_xlfn.IFS(I848="Rob","Robusta",I848="Exc","Excelsa",I848="Ara","Arabica",I848="Lib","Liberica")</f>
        <v>Arabica</v>
      </c>
      <c r="O848" s="4" t="str" cm="1">
        <f t="array" ref="O848">_xlfn.IFS(J848="M","Medium",J848="L","Light",J848="D","Dark")</f>
        <v>Medium</v>
      </c>
      <c r="P848" s="4" t="str">
        <f>_xlfn.XLOOKUP(CoffeeOrderstable[[#This Row],[Customer ID]],customers!$A$1:$A$1001,customers!$I$1:$I$1001,,0)</f>
        <v>Yes</v>
      </c>
    </row>
    <row r="849" spans="1:16" x14ac:dyDescent="0.3">
      <c r="A849" s="3" t="s">
        <v>5278</v>
      </c>
      <c r="B849" s="5">
        <v>44460</v>
      </c>
      <c r="C849" s="3" t="s">
        <v>5279</v>
      </c>
      <c r="D849" s="4" t="s">
        <v>6154</v>
      </c>
      <c r="E849" s="3">
        <v>3</v>
      </c>
      <c r="F849" s="3" t="str">
        <f>_xlfn.XLOOKUP(C849,customers!$A$1:$A$1001,customers!$B$1:$B$1001,,0)</f>
        <v>Mordy Van Der Vlies</v>
      </c>
      <c r="G849" s="3" t="str">
        <f>IF(_xlfn.XLOOKUP(C849,customers!$A$1:$A$1001,customers!$C$1:$C$1001,,0)=0,"", _xlfn.XLOOKUP(C849,customers!$A$1:$A$1001,customers!$C$1:$C$1001,,0))</f>
        <v>mvannj@wikipedia.org</v>
      </c>
      <c r="H849" s="3" t="str">
        <f>_xlfn.XLOOKUP(C849,customers!$A$1:$A$1001,customers!$G$1:$G$1001,,0)</f>
        <v>United States</v>
      </c>
      <c r="I849" s="4" t="str">
        <f>INDEX(products!$A$1:$G$49,MATCH(orders!$D849,products!$A$1:$A$49,0),MATCH(orders!I$1,products!$A$1:$G$1,0))</f>
        <v>Ara</v>
      </c>
      <c r="J849" s="4" t="str">
        <f>INDEX(products!$A$1:$G$49,MATCH(orders!$D849,products!$A$1:$A$49,0),MATCH(orders!J$1,products!$A$1:$G$1,0))</f>
        <v>D</v>
      </c>
      <c r="K849" s="6">
        <f>INDEX(products!$A$1:$G$49,MATCH(orders!$D849,products!$A$1:$A$49,0),MATCH(orders!K$1,products!$A$1:$G$1,0))</f>
        <v>0.2</v>
      </c>
      <c r="L849" s="7">
        <f>INDEX(products!$A$1:$G$49,MATCH(orders!$D849,products!$A$1:$A$49,0),MATCH(orders!L$1,products!$A$1:$G$1,0))</f>
        <v>2.9849999999999999</v>
      </c>
      <c r="M849" s="7">
        <f t="shared" si="13"/>
        <v>8.9550000000000001</v>
      </c>
      <c r="N849" s="4" t="str" cm="1">
        <f t="array" ref="N849">_xlfn.IFS(I849="Rob","Robusta",I849="Exc","Excelsa",I849="Ara","Arabica",I849="Lib","Liberica")</f>
        <v>Arabica</v>
      </c>
      <c r="O849" s="4" t="str" cm="1">
        <f t="array" ref="O849">_xlfn.IFS(J849="M","Medium",J849="L","Light",J849="D","Dark")</f>
        <v>Dark</v>
      </c>
      <c r="P849" s="4" t="str">
        <f>_xlfn.XLOOKUP(CoffeeOrderstable[[#This Row],[Customer ID]],customers!$A$1:$A$1001,customers!$I$1:$I$1001,,0)</f>
        <v>Yes</v>
      </c>
    </row>
    <row r="850" spans="1:16" x14ac:dyDescent="0.3">
      <c r="A850" s="3" t="s">
        <v>5283</v>
      </c>
      <c r="B850" s="5">
        <v>43468</v>
      </c>
      <c r="C850" s="3" t="s">
        <v>5284</v>
      </c>
      <c r="D850" s="4" t="s">
        <v>6176</v>
      </c>
      <c r="E850" s="3">
        <v>6</v>
      </c>
      <c r="F850" s="3" t="str">
        <f>_xlfn.XLOOKUP(C850,customers!$A$1:$A$1001,customers!$B$1:$B$1001,,0)</f>
        <v>Spencer Wastell</v>
      </c>
      <c r="G850" s="3" t="str">
        <f>IF(_xlfn.XLOOKUP(C850,customers!$A$1:$A$1001,customers!$C$1:$C$1001,,0)=0,"", _xlfn.XLOOKUP(C850,customers!$A$1:$A$1001,customers!$C$1:$C$1001,,0))</f>
        <v/>
      </c>
      <c r="H850" s="3" t="str">
        <f>_xlfn.XLOOKUP(C850,customers!$A$1:$A$1001,customers!$G$1:$G$1001,,0)</f>
        <v>United States</v>
      </c>
      <c r="I850" s="4" t="str">
        <f>INDEX(products!$A$1:$G$49,MATCH(orders!$D850,products!$A$1:$A$49,0),MATCH(orders!I$1,products!$A$1:$G$1,0))</f>
        <v>Exc</v>
      </c>
      <c r="J850" s="4" t="str">
        <f>INDEX(products!$A$1:$G$49,MATCH(orders!$D850,products!$A$1:$A$49,0),MATCH(orders!J$1,products!$A$1:$G$1,0))</f>
        <v>L</v>
      </c>
      <c r="K850" s="6">
        <f>INDEX(products!$A$1:$G$49,MATCH(orders!$D850,products!$A$1:$A$49,0),MATCH(orders!K$1,products!$A$1:$G$1,0))</f>
        <v>0.5</v>
      </c>
      <c r="L850" s="7">
        <f>INDEX(products!$A$1:$G$49,MATCH(orders!$D850,products!$A$1:$A$49,0),MATCH(orders!L$1,products!$A$1:$G$1,0))</f>
        <v>8.91</v>
      </c>
      <c r="M850" s="7">
        <f t="shared" si="13"/>
        <v>53.46</v>
      </c>
      <c r="N850" s="4" t="str" cm="1">
        <f t="array" ref="N850">_xlfn.IFS(I850="Rob","Robusta",I850="Exc","Excelsa",I850="Ara","Arabica",I850="Lib","Liberica")</f>
        <v>Excelsa</v>
      </c>
      <c r="O850" s="4" t="str" cm="1">
        <f t="array" ref="O850">_xlfn.IFS(J850="M","Medium",J850="L","Light",J850="D","Dark")</f>
        <v>Light</v>
      </c>
      <c r="P850" s="4" t="str">
        <f>_xlfn.XLOOKUP(CoffeeOrderstable[[#This Row],[Customer ID]],customers!$A$1:$A$1001,customers!$I$1:$I$1001,,0)</f>
        <v>No</v>
      </c>
    </row>
    <row r="851" spans="1:16" x14ac:dyDescent="0.3">
      <c r="A851" s="3" t="s">
        <v>5288</v>
      </c>
      <c r="B851" s="5">
        <v>44628</v>
      </c>
      <c r="C851" s="3" t="s">
        <v>5289</v>
      </c>
      <c r="D851" s="4" t="s">
        <v>6167</v>
      </c>
      <c r="E851" s="3">
        <v>6</v>
      </c>
      <c r="F851" s="3" t="str">
        <f>_xlfn.XLOOKUP(C851,customers!$A$1:$A$1001,customers!$B$1:$B$1001,,0)</f>
        <v>Jemimah Ethelston</v>
      </c>
      <c r="G851" s="3" t="str">
        <f>IF(_xlfn.XLOOKUP(C851,customers!$A$1:$A$1001,customers!$C$1:$C$1001,,0)=0,"", _xlfn.XLOOKUP(C851,customers!$A$1:$A$1001,customers!$C$1:$C$1001,,0))</f>
        <v>jethelstonnl@creativecommons.org</v>
      </c>
      <c r="H851" s="3" t="str">
        <f>_xlfn.XLOOKUP(C851,customers!$A$1:$A$1001,customers!$G$1:$G$1001,,0)</f>
        <v>United States</v>
      </c>
      <c r="I851" s="4" t="str">
        <f>INDEX(products!$A$1:$G$49,MATCH(orders!$D851,products!$A$1:$A$49,0),MATCH(orders!I$1,products!$A$1:$G$1,0))</f>
        <v>Ara</v>
      </c>
      <c r="J851" s="4" t="str">
        <f>INDEX(products!$A$1:$G$49,MATCH(orders!$D851,products!$A$1:$A$49,0),MATCH(orders!J$1,products!$A$1:$G$1,0))</f>
        <v>L</v>
      </c>
      <c r="K851" s="6">
        <f>INDEX(products!$A$1:$G$49,MATCH(orders!$D851,products!$A$1:$A$49,0),MATCH(orders!K$1,products!$A$1:$G$1,0))</f>
        <v>0.2</v>
      </c>
      <c r="L851" s="7">
        <f>INDEX(products!$A$1:$G$49,MATCH(orders!$D851,products!$A$1:$A$49,0),MATCH(orders!L$1,products!$A$1:$G$1,0))</f>
        <v>3.8849999999999998</v>
      </c>
      <c r="M851" s="7">
        <f t="shared" si="13"/>
        <v>23.31</v>
      </c>
      <c r="N851" s="4" t="str" cm="1">
        <f t="array" ref="N851">_xlfn.IFS(I851="Rob","Robusta",I851="Exc","Excelsa",I851="Ara","Arabica",I851="Lib","Liberica")</f>
        <v>Arabica</v>
      </c>
      <c r="O851" s="4" t="str" cm="1">
        <f t="array" ref="O851">_xlfn.IFS(J851="M","Medium",J851="L","Light",J851="D","Dark")</f>
        <v>Light</v>
      </c>
      <c r="P851" s="4" t="str">
        <f>_xlfn.XLOOKUP(CoffeeOrderstable[[#This Row],[Customer ID]],customers!$A$1:$A$1001,customers!$I$1:$I$1001,,0)</f>
        <v>Yes</v>
      </c>
    </row>
    <row r="852" spans="1:16" x14ac:dyDescent="0.3">
      <c r="A852" s="3" t="s">
        <v>5288</v>
      </c>
      <c r="B852" s="5">
        <v>44628</v>
      </c>
      <c r="C852" s="3" t="s">
        <v>5289</v>
      </c>
      <c r="D852" s="4" t="s">
        <v>6152</v>
      </c>
      <c r="E852" s="3">
        <v>2</v>
      </c>
      <c r="F852" s="3" t="str">
        <f>_xlfn.XLOOKUP(C852,customers!$A$1:$A$1001,customers!$B$1:$B$1001,,0)</f>
        <v>Jemimah Ethelston</v>
      </c>
      <c r="G852" s="3" t="str">
        <f>IF(_xlfn.XLOOKUP(C852,customers!$A$1:$A$1001,customers!$C$1:$C$1001,,0)=0,"", _xlfn.XLOOKUP(C852,customers!$A$1:$A$1001,customers!$C$1:$C$1001,,0))</f>
        <v>jethelstonnl@creativecommons.org</v>
      </c>
      <c r="H852" s="3" t="str">
        <f>_xlfn.XLOOKUP(C852,customers!$A$1:$A$1001,customers!$G$1:$G$1001,,0)</f>
        <v>United States</v>
      </c>
      <c r="I852" s="4" t="str">
        <f>INDEX(products!$A$1:$G$49,MATCH(orders!$D852,products!$A$1:$A$49,0),MATCH(orders!I$1,products!$A$1:$G$1,0))</f>
        <v>Ara</v>
      </c>
      <c r="J852" s="4" t="str">
        <f>INDEX(products!$A$1:$G$49,MATCH(orders!$D852,products!$A$1:$A$49,0),MATCH(orders!J$1,products!$A$1:$G$1,0))</f>
        <v>M</v>
      </c>
      <c r="K852" s="6">
        <f>INDEX(products!$A$1:$G$49,MATCH(orders!$D852,products!$A$1:$A$49,0),MATCH(orders!K$1,products!$A$1:$G$1,0))</f>
        <v>0.2</v>
      </c>
      <c r="L852" s="7">
        <f>INDEX(products!$A$1:$G$49,MATCH(orders!$D852,products!$A$1:$A$49,0),MATCH(orders!L$1,products!$A$1:$G$1,0))</f>
        <v>3.375</v>
      </c>
      <c r="M852" s="7">
        <f t="shared" si="13"/>
        <v>6.75</v>
      </c>
      <c r="N852" s="4" t="str" cm="1">
        <f t="array" ref="N852">_xlfn.IFS(I852="Rob","Robusta",I852="Exc","Excelsa",I852="Ara","Arabica",I852="Lib","Liberica")</f>
        <v>Arabica</v>
      </c>
      <c r="O852" s="4" t="str" cm="1">
        <f t="array" ref="O852">_xlfn.IFS(J852="M","Medium",J852="L","Light",J852="D","Dark")</f>
        <v>Medium</v>
      </c>
      <c r="P852" s="4" t="str">
        <f>_xlfn.XLOOKUP(CoffeeOrderstable[[#This Row],[Customer ID]],customers!$A$1:$A$1001,customers!$I$1:$I$1001,,0)</f>
        <v>Yes</v>
      </c>
    </row>
    <row r="853" spans="1:16" x14ac:dyDescent="0.3">
      <c r="A853" s="3" t="s">
        <v>5299</v>
      </c>
      <c r="B853" s="5">
        <v>43900</v>
      </c>
      <c r="C853" s="3" t="s">
        <v>5300</v>
      </c>
      <c r="D853" s="4" t="s">
        <v>6169</v>
      </c>
      <c r="E853" s="3">
        <v>1</v>
      </c>
      <c r="F853" s="3" t="str">
        <f>_xlfn.XLOOKUP(C853,customers!$A$1:$A$1001,customers!$B$1:$B$1001,,0)</f>
        <v>Perice Eberz</v>
      </c>
      <c r="G853" s="3" t="str">
        <f>IF(_xlfn.XLOOKUP(C853,customers!$A$1:$A$1001,customers!$C$1:$C$1001,,0)=0,"", _xlfn.XLOOKUP(C853,customers!$A$1:$A$1001,customers!$C$1:$C$1001,,0))</f>
        <v>peberznn@woothemes.com</v>
      </c>
      <c r="H853" s="3" t="str">
        <f>_xlfn.XLOOKUP(C853,customers!$A$1:$A$1001,customers!$G$1:$G$1001,,0)</f>
        <v>United States</v>
      </c>
      <c r="I853" s="4" t="str">
        <f>INDEX(products!$A$1:$G$49,MATCH(orders!$D853,products!$A$1:$A$49,0),MATCH(orders!I$1,products!$A$1:$G$1,0))</f>
        <v>Lib</v>
      </c>
      <c r="J853" s="4" t="str">
        <f>INDEX(products!$A$1:$G$49,MATCH(orders!$D853,products!$A$1:$A$49,0),MATCH(orders!J$1,products!$A$1:$G$1,0))</f>
        <v>D</v>
      </c>
      <c r="K853" s="6">
        <f>INDEX(products!$A$1:$G$49,MATCH(orders!$D853,products!$A$1:$A$49,0),MATCH(orders!K$1,products!$A$1:$G$1,0))</f>
        <v>0.5</v>
      </c>
      <c r="L853" s="7">
        <f>INDEX(products!$A$1:$G$49,MATCH(orders!$D853,products!$A$1:$A$49,0),MATCH(orders!L$1,products!$A$1:$G$1,0))</f>
        <v>7.77</v>
      </c>
      <c r="M853" s="7">
        <f t="shared" si="13"/>
        <v>7.77</v>
      </c>
      <c r="N853" s="4" t="str" cm="1">
        <f t="array" ref="N853">_xlfn.IFS(I853="Rob","Robusta",I853="Exc","Excelsa",I853="Ara","Arabica",I853="Lib","Liberica")</f>
        <v>Liberica</v>
      </c>
      <c r="O853" s="4" t="str" cm="1">
        <f t="array" ref="O853">_xlfn.IFS(J853="M","Medium",J853="L","Light",J853="D","Dark")</f>
        <v>Dark</v>
      </c>
      <c r="P853" s="4" t="str">
        <f>_xlfn.XLOOKUP(CoffeeOrderstable[[#This Row],[Customer ID]],customers!$A$1:$A$1001,customers!$I$1:$I$1001,,0)</f>
        <v>Yes</v>
      </c>
    </row>
    <row r="854" spans="1:16" x14ac:dyDescent="0.3">
      <c r="A854" s="3" t="s">
        <v>5305</v>
      </c>
      <c r="B854" s="5">
        <v>44527</v>
      </c>
      <c r="C854" s="3" t="s">
        <v>5306</v>
      </c>
      <c r="D854" s="4" t="s">
        <v>6165</v>
      </c>
      <c r="E854" s="3">
        <v>4</v>
      </c>
      <c r="F854" s="3" t="str">
        <f>_xlfn.XLOOKUP(C854,customers!$A$1:$A$1001,customers!$B$1:$B$1001,,0)</f>
        <v>Bear Gaish</v>
      </c>
      <c r="G854" s="3" t="str">
        <f>IF(_xlfn.XLOOKUP(C854,customers!$A$1:$A$1001,customers!$C$1:$C$1001,,0)=0,"", _xlfn.XLOOKUP(C854,customers!$A$1:$A$1001,customers!$C$1:$C$1001,,0))</f>
        <v>bgaishno@altervista.org</v>
      </c>
      <c r="H854" s="3" t="str">
        <f>_xlfn.XLOOKUP(C854,customers!$A$1:$A$1001,customers!$G$1:$G$1001,,0)</f>
        <v>United States</v>
      </c>
      <c r="I854" s="4" t="str">
        <f>INDEX(products!$A$1:$G$49,MATCH(orders!$D854,products!$A$1:$A$49,0),MATCH(orders!I$1,products!$A$1:$G$1,0))</f>
        <v>Lib</v>
      </c>
      <c r="J854" s="4" t="str">
        <f>INDEX(products!$A$1:$G$49,MATCH(orders!$D854,products!$A$1:$A$49,0),MATCH(orders!J$1,products!$A$1:$G$1,0))</f>
        <v>D</v>
      </c>
      <c r="K854" s="6">
        <f>INDEX(products!$A$1:$G$49,MATCH(orders!$D854,products!$A$1:$A$49,0),MATCH(orders!K$1,products!$A$1:$G$1,0))</f>
        <v>2.5</v>
      </c>
      <c r="L854" s="7">
        <f>INDEX(products!$A$1:$G$49,MATCH(orders!$D854,products!$A$1:$A$49,0),MATCH(orders!L$1,products!$A$1:$G$1,0))</f>
        <v>29.784999999999997</v>
      </c>
      <c r="M854" s="7">
        <f t="shared" si="13"/>
        <v>119.13999999999999</v>
      </c>
      <c r="N854" s="4" t="str" cm="1">
        <f t="array" ref="N854">_xlfn.IFS(I854="Rob","Robusta",I854="Exc","Excelsa",I854="Ara","Arabica",I854="Lib","Liberica")</f>
        <v>Liberica</v>
      </c>
      <c r="O854" s="4" t="str" cm="1">
        <f t="array" ref="O854">_xlfn.IFS(J854="M","Medium",J854="L","Light",J854="D","Dark")</f>
        <v>Dark</v>
      </c>
      <c r="P854" s="4" t="str">
        <f>_xlfn.XLOOKUP(CoffeeOrderstable[[#This Row],[Customer ID]],customers!$A$1:$A$1001,customers!$I$1:$I$1001,,0)</f>
        <v>Yes</v>
      </c>
    </row>
    <row r="855" spans="1:16" x14ac:dyDescent="0.3">
      <c r="A855" s="3" t="s">
        <v>5310</v>
      </c>
      <c r="B855" s="5">
        <v>44259</v>
      </c>
      <c r="C855" s="3" t="s">
        <v>5311</v>
      </c>
      <c r="D855" s="4" t="s">
        <v>6147</v>
      </c>
      <c r="E855" s="3">
        <v>2</v>
      </c>
      <c r="F855" s="3" t="str">
        <f>_xlfn.XLOOKUP(C855,customers!$A$1:$A$1001,customers!$B$1:$B$1001,,0)</f>
        <v>Lynnea Danton</v>
      </c>
      <c r="G855" s="3" t="str">
        <f>IF(_xlfn.XLOOKUP(C855,customers!$A$1:$A$1001,customers!$C$1:$C$1001,,0)=0,"", _xlfn.XLOOKUP(C855,customers!$A$1:$A$1001,customers!$C$1:$C$1001,,0))</f>
        <v>ldantonnp@miitbeian.gov.cn</v>
      </c>
      <c r="H855" s="3" t="str">
        <f>_xlfn.XLOOKUP(C855,customers!$A$1:$A$1001,customers!$G$1:$G$1001,,0)</f>
        <v>United States</v>
      </c>
      <c r="I855" s="4" t="str">
        <f>INDEX(products!$A$1:$G$49,MATCH(orders!$D855,products!$A$1:$A$49,0),MATCH(orders!I$1,products!$A$1:$G$1,0))</f>
        <v>Ara</v>
      </c>
      <c r="J855" s="4" t="str">
        <f>INDEX(products!$A$1:$G$49,MATCH(orders!$D855,products!$A$1:$A$49,0),MATCH(orders!J$1,products!$A$1:$G$1,0))</f>
        <v>D</v>
      </c>
      <c r="K855" s="6">
        <f>INDEX(products!$A$1:$G$49,MATCH(orders!$D855,products!$A$1:$A$49,0),MATCH(orders!K$1,products!$A$1:$G$1,0))</f>
        <v>1</v>
      </c>
      <c r="L855" s="7">
        <f>INDEX(products!$A$1:$G$49,MATCH(orders!$D855,products!$A$1:$A$49,0),MATCH(orders!L$1,products!$A$1:$G$1,0))</f>
        <v>9.9499999999999993</v>
      </c>
      <c r="M855" s="7">
        <f t="shared" si="13"/>
        <v>19.899999999999999</v>
      </c>
      <c r="N855" s="4" t="str" cm="1">
        <f t="array" ref="N855">_xlfn.IFS(I855="Rob","Robusta",I855="Exc","Excelsa",I855="Ara","Arabica",I855="Lib","Liberica")</f>
        <v>Arabica</v>
      </c>
      <c r="O855" s="4" t="str" cm="1">
        <f t="array" ref="O855">_xlfn.IFS(J855="M","Medium",J855="L","Light",J855="D","Dark")</f>
        <v>Dark</v>
      </c>
      <c r="P855" s="4" t="str">
        <f>_xlfn.XLOOKUP(CoffeeOrderstable[[#This Row],[Customer ID]],customers!$A$1:$A$1001,customers!$I$1:$I$1001,,0)</f>
        <v>No</v>
      </c>
    </row>
    <row r="856" spans="1:16" x14ac:dyDescent="0.3">
      <c r="A856" s="3" t="s">
        <v>5315</v>
      </c>
      <c r="B856" s="5">
        <v>44516</v>
      </c>
      <c r="C856" s="3" t="s">
        <v>5316</v>
      </c>
      <c r="D856" s="4" t="s">
        <v>6173</v>
      </c>
      <c r="E856" s="3">
        <v>5</v>
      </c>
      <c r="F856" s="3" t="str">
        <f>_xlfn.XLOOKUP(C856,customers!$A$1:$A$1001,customers!$B$1:$B$1001,,0)</f>
        <v>Skipton Morrall</v>
      </c>
      <c r="G856" s="3" t="str">
        <f>IF(_xlfn.XLOOKUP(C856,customers!$A$1:$A$1001,customers!$C$1:$C$1001,,0)=0,"", _xlfn.XLOOKUP(C856,customers!$A$1:$A$1001,customers!$C$1:$C$1001,,0))</f>
        <v>smorrallnq@answers.com</v>
      </c>
      <c r="H856" s="3" t="str">
        <f>_xlfn.XLOOKUP(C856,customers!$A$1:$A$1001,customers!$G$1:$G$1001,,0)</f>
        <v>United States</v>
      </c>
      <c r="I856" s="4" t="str">
        <f>INDEX(products!$A$1:$G$49,MATCH(orders!$D856,products!$A$1:$A$49,0),MATCH(orders!I$1,products!$A$1:$G$1,0))</f>
        <v>Rob</v>
      </c>
      <c r="J856" s="4" t="str">
        <f>INDEX(products!$A$1:$G$49,MATCH(orders!$D856,products!$A$1:$A$49,0),MATCH(orders!J$1,products!$A$1:$G$1,0))</f>
        <v>L</v>
      </c>
      <c r="K856" s="6">
        <f>INDEX(products!$A$1:$G$49,MATCH(orders!$D856,products!$A$1:$A$49,0),MATCH(orders!K$1,products!$A$1:$G$1,0))</f>
        <v>0.5</v>
      </c>
      <c r="L856" s="7">
        <f>INDEX(products!$A$1:$G$49,MATCH(orders!$D856,products!$A$1:$A$49,0),MATCH(orders!L$1,products!$A$1:$G$1,0))</f>
        <v>7.169999999999999</v>
      </c>
      <c r="M856" s="7">
        <f t="shared" si="13"/>
        <v>35.849999999999994</v>
      </c>
      <c r="N856" s="4" t="str" cm="1">
        <f t="array" ref="N856">_xlfn.IFS(I856="Rob","Robusta",I856="Exc","Excelsa",I856="Ara","Arabica",I856="Lib","Liberica")</f>
        <v>Robusta</v>
      </c>
      <c r="O856" s="4" t="str" cm="1">
        <f t="array" ref="O856">_xlfn.IFS(J856="M","Medium",J856="L","Light",J856="D","Dark")</f>
        <v>Light</v>
      </c>
      <c r="P856" s="4" t="str">
        <f>_xlfn.XLOOKUP(CoffeeOrderstable[[#This Row],[Customer ID]],customers!$A$1:$A$1001,customers!$I$1:$I$1001,,0)</f>
        <v>Yes</v>
      </c>
    </row>
    <row r="857" spans="1:16" x14ac:dyDescent="0.3">
      <c r="A857" s="3" t="s">
        <v>5321</v>
      </c>
      <c r="B857" s="5">
        <v>43632</v>
      </c>
      <c r="C857" s="3" t="s">
        <v>5322</v>
      </c>
      <c r="D857" s="4" t="s">
        <v>6165</v>
      </c>
      <c r="E857" s="3">
        <v>3</v>
      </c>
      <c r="F857" s="3" t="str">
        <f>_xlfn.XLOOKUP(C857,customers!$A$1:$A$1001,customers!$B$1:$B$1001,,0)</f>
        <v>Devan Crownshaw</v>
      </c>
      <c r="G857" s="3" t="str">
        <f>IF(_xlfn.XLOOKUP(C857,customers!$A$1:$A$1001,customers!$C$1:$C$1001,,0)=0,"", _xlfn.XLOOKUP(C857,customers!$A$1:$A$1001,customers!$C$1:$C$1001,,0))</f>
        <v>dcrownshawnr@photobucket.com</v>
      </c>
      <c r="H857" s="3" t="str">
        <f>_xlfn.XLOOKUP(C857,customers!$A$1:$A$1001,customers!$G$1:$G$1001,,0)</f>
        <v>United States</v>
      </c>
      <c r="I857" s="4" t="str">
        <f>INDEX(products!$A$1:$G$49,MATCH(orders!$D857,products!$A$1:$A$49,0),MATCH(orders!I$1,products!$A$1:$G$1,0))</f>
        <v>Lib</v>
      </c>
      <c r="J857" s="4" t="str">
        <f>INDEX(products!$A$1:$G$49,MATCH(orders!$D857,products!$A$1:$A$49,0),MATCH(orders!J$1,products!$A$1:$G$1,0))</f>
        <v>D</v>
      </c>
      <c r="K857" s="6">
        <f>INDEX(products!$A$1:$G$49,MATCH(orders!$D857,products!$A$1:$A$49,0),MATCH(orders!K$1,products!$A$1:$G$1,0))</f>
        <v>2.5</v>
      </c>
      <c r="L857" s="7">
        <f>INDEX(products!$A$1:$G$49,MATCH(orders!$D857,products!$A$1:$A$49,0),MATCH(orders!L$1,products!$A$1:$G$1,0))</f>
        <v>29.784999999999997</v>
      </c>
      <c r="M857" s="7">
        <f t="shared" si="13"/>
        <v>89.35499999999999</v>
      </c>
      <c r="N857" s="4" t="str" cm="1">
        <f t="array" ref="N857">_xlfn.IFS(I857="Rob","Robusta",I857="Exc","Excelsa",I857="Ara","Arabica",I857="Lib","Liberica")</f>
        <v>Liberica</v>
      </c>
      <c r="O857" s="4" t="str" cm="1">
        <f t="array" ref="O857">_xlfn.IFS(J857="M","Medium",J857="L","Light",J857="D","Dark")</f>
        <v>Dark</v>
      </c>
      <c r="P857" s="4" t="str">
        <f>_xlfn.XLOOKUP(CoffeeOrderstable[[#This Row],[Customer ID]],customers!$A$1:$A$1001,customers!$I$1:$I$1001,,0)</f>
        <v>No</v>
      </c>
    </row>
    <row r="858" spans="1:16" x14ac:dyDescent="0.3">
      <c r="A858" s="3" t="s">
        <v>5327</v>
      </c>
      <c r="B858" s="5">
        <v>44031</v>
      </c>
      <c r="C858" s="3" t="s">
        <v>5188</v>
      </c>
      <c r="D858" s="4" t="s">
        <v>6159</v>
      </c>
      <c r="E858" s="3">
        <v>2</v>
      </c>
      <c r="F858" s="3" t="str">
        <f>_xlfn.XLOOKUP(C858,customers!$A$1:$A$1001,customers!$B$1:$B$1001,,0)</f>
        <v>Odelia Skerme</v>
      </c>
      <c r="G858" s="3" t="str">
        <f>IF(_xlfn.XLOOKUP(C858,customers!$A$1:$A$1001,customers!$C$1:$C$1001,,0)=0,"", _xlfn.XLOOKUP(C858,customers!$A$1:$A$1001,customers!$C$1:$C$1001,,0))</f>
        <v>oskermen3@hatena.ne.jp</v>
      </c>
      <c r="H858" s="3" t="str">
        <f>_xlfn.XLOOKUP(C858,customers!$A$1:$A$1001,customers!$G$1:$G$1001,,0)</f>
        <v>United States</v>
      </c>
      <c r="I858" s="4" t="str">
        <f>INDEX(products!$A$1:$G$49,MATCH(orders!$D858,products!$A$1:$A$49,0),MATCH(orders!I$1,products!$A$1:$G$1,0))</f>
        <v>Lib</v>
      </c>
      <c r="J858" s="4" t="str">
        <f>INDEX(products!$A$1:$G$49,MATCH(orders!$D858,products!$A$1:$A$49,0),MATCH(orders!J$1,products!$A$1:$G$1,0))</f>
        <v>M</v>
      </c>
      <c r="K858" s="6">
        <f>INDEX(products!$A$1:$G$49,MATCH(orders!$D858,products!$A$1:$A$49,0),MATCH(orders!K$1,products!$A$1:$G$1,0))</f>
        <v>0.2</v>
      </c>
      <c r="L858" s="7">
        <f>INDEX(products!$A$1:$G$49,MATCH(orders!$D858,products!$A$1:$A$49,0),MATCH(orders!L$1,products!$A$1:$G$1,0))</f>
        <v>4.3650000000000002</v>
      </c>
      <c r="M858" s="7">
        <f t="shared" si="13"/>
        <v>8.73</v>
      </c>
      <c r="N858" s="4" t="str" cm="1">
        <f t="array" ref="N858">_xlfn.IFS(I858="Rob","Robusta",I858="Exc","Excelsa",I858="Ara","Arabica",I858="Lib","Liberica")</f>
        <v>Liberica</v>
      </c>
      <c r="O858" s="4" t="str" cm="1">
        <f t="array" ref="O858">_xlfn.IFS(J858="M","Medium",J858="L","Light",J858="D","Dark")</f>
        <v>Medium</v>
      </c>
      <c r="P858" s="4" t="str">
        <f>_xlfn.XLOOKUP(CoffeeOrderstable[[#This Row],[Customer ID]],customers!$A$1:$A$1001,customers!$I$1:$I$1001,,0)</f>
        <v>Yes</v>
      </c>
    </row>
    <row r="859" spans="1:16" x14ac:dyDescent="0.3">
      <c r="A859" s="3" t="s">
        <v>5333</v>
      </c>
      <c r="B859" s="5">
        <v>43889</v>
      </c>
      <c r="C859" s="3" t="s">
        <v>5334</v>
      </c>
      <c r="D859" s="4" t="s">
        <v>6142</v>
      </c>
      <c r="E859" s="3">
        <v>5</v>
      </c>
      <c r="F859" s="3" t="str">
        <f>_xlfn.XLOOKUP(C859,customers!$A$1:$A$1001,customers!$B$1:$B$1001,,0)</f>
        <v>Joceline Reddoch</v>
      </c>
      <c r="G859" s="3" t="str">
        <f>IF(_xlfn.XLOOKUP(C859,customers!$A$1:$A$1001,customers!$C$1:$C$1001,,0)=0,"", _xlfn.XLOOKUP(C859,customers!$A$1:$A$1001,customers!$C$1:$C$1001,,0))</f>
        <v>jreddochnt@sun.com</v>
      </c>
      <c r="H859" s="3" t="str">
        <f>_xlfn.XLOOKUP(C859,customers!$A$1:$A$1001,customers!$G$1:$G$1001,,0)</f>
        <v>United States</v>
      </c>
      <c r="I859" s="4" t="str">
        <f>INDEX(products!$A$1:$G$49,MATCH(orders!$D859,products!$A$1:$A$49,0),MATCH(orders!I$1,products!$A$1:$G$1,0))</f>
        <v>Rob</v>
      </c>
      <c r="J859" s="4" t="str">
        <f>INDEX(products!$A$1:$G$49,MATCH(orders!$D859,products!$A$1:$A$49,0),MATCH(orders!J$1,products!$A$1:$G$1,0))</f>
        <v>L</v>
      </c>
      <c r="K859" s="6">
        <f>INDEX(products!$A$1:$G$49,MATCH(orders!$D859,products!$A$1:$A$49,0),MATCH(orders!K$1,products!$A$1:$G$1,0))</f>
        <v>2.5</v>
      </c>
      <c r="L859" s="7">
        <f>INDEX(products!$A$1:$G$49,MATCH(orders!$D859,products!$A$1:$A$49,0),MATCH(orders!L$1,products!$A$1:$G$1,0))</f>
        <v>27.484999999999996</v>
      </c>
      <c r="M859" s="7">
        <f t="shared" si="13"/>
        <v>137.42499999999998</v>
      </c>
      <c r="N859" s="4" t="str" cm="1">
        <f t="array" ref="N859">_xlfn.IFS(I859="Rob","Robusta",I859="Exc","Excelsa",I859="Ara","Arabica",I859="Lib","Liberica")</f>
        <v>Robusta</v>
      </c>
      <c r="O859" s="4" t="str" cm="1">
        <f t="array" ref="O859">_xlfn.IFS(J859="M","Medium",J859="L","Light",J859="D","Dark")</f>
        <v>Light</v>
      </c>
      <c r="P859" s="4" t="str">
        <f>_xlfn.XLOOKUP(CoffeeOrderstable[[#This Row],[Customer ID]],customers!$A$1:$A$1001,customers!$I$1:$I$1001,,0)</f>
        <v>No</v>
      </c>
    </row>
    <row r="860" spans="1:16" x14ac:dyDescent="0.3">
      <c r="A860" s="3" t="s">
        <v>5339</v>
      </c>
      <c r="B860" s="5">
        <v>43638</v>
      </c>
      <c r="C860" s="3" t="s">
        <v>5340</v>
      </c>
      <c r="D860" s="4" t="s">
        <v>6160</v>
      </c>
      <c r="E860" s="3">
        <v>4</v>
      </c>
      <c r="F860" s="3" t="str">
        <f>_xlfn.XLOOKUP(C860,customers!$A$1:$A$1001,customers!$B$1:$B$1001,,0)</f>
        <v>Shelley Titley</v>
      </c>
      <c r="G860" s="3" t="str">
        <f>IF(_xlfn.XLOOKUP(C860,customers!$A$1:$A$1001,customers!$C$1:$C$1001,,0)=0,"", _xlfn.XLOOKUP(C860,customers!$A$1:$A$1001,customers!$C$1:$C$1001,,0))</f>
        <v>stitleynu@whitehouse.gov</v>
      </c>
      <c r="H860" s="3" t="str">
        <f>_xlfn.XLOOKUP(C860,customers!$A$1:$A$1001,customers!$G$1:$G$1001,,0)</f>
        <v>United States</v>
      </c>
      <c r="I860" s="4" t="str">
        <f>INDEX(products!$A$1:$G$49,MATCH(orders!$D860,products!$A$1:$A$49,0),MATCH(orders!I$1,products!$A$1:$G$1,0))</f>
        <v>Lib</v>
      </c>
      <c r="J860" s="4" t="str">
        <f>INDEX(products!$A$1:$G$49,MATCH(orders!$D860,products!$A$1:$A$49,0),MATCH(orders!J$1,products!$A$1:$G$1,0))</f>
        <v>M</v>
      </c>
      <c r="K860" s="6">
        <f>INDEX(products!$A$1:$G$49,MATCH(orders!$D860,products!$A$1:$A$49,0),MATCH(orders!K$1,products!$A$1:$G$1,0))</f>
        <v>0.5</v>
      </c>
      <c r="L860" s="7">
        <f>INDEX(products!$A$1:$G$49,MATCH(orders!$D860,products!$A$1:$A$49,0),MATCH(orders!L$1,products!$A$1:$G$1,0))</f>
        <v>8.73</v>
      </c>
      <c r="M860" s="7">
        <f t="shared" si="13"/>
        <v>34.92</v>
      </c>
      <c r="N860" s="4" t="str" cm="1">
        <f t="array" ref="N860">_xlfn.IFS(I860="Rob","Robusta",I860="Exc","Excelsa",I860="Ara","Arabica",I860="Lib","Liberica")</f>
        <v>Liberica</v>
      </c>
      <c r="O860" s="4" t="str" cm="1">
        <f t="array" ref="O860">_xlfn.IFS(J860="M","Medium",J860="L","Light",J860="D","Dark")</f>
        <v>Medium</v>
      </c>
      <c r="P860" s="4" t="str">
        <f>_xlfn.XLOOKUP(CoffeeOrderstable[[#This Row],[Customer ID]],customers!$A$1:$A$1001,customers!$I$1:$I$1001,,0)</f>
        <v>No</v>
      </c>
    </row>
    <row r="861" spans="1:16" x14ac:dyDescent="0.3">
      <c r="A861" s="3" t="s">
        <v>5345</v>
      </c>
      <c r="B861" s="5">
        <v>43716</v>
      </c>
      <c r="C861" s="3" t="s">
        <v>5346</v>
      </c>
      <c r="D861" s="4" t="s">
        <v>6182</v>
      </c>
      <c r="E861" s="3">
        <v>6</v>
      </c>
      <c r="F861" s="3" t="str">
        <f>_xlfn.XLOOKUP(C861,customers!$A$1:$A$1001,customers!$B$1:$B$1001,,0)</f>
        <v>Redd Simao</v>
      </c>
      <c r="G861" s="3" t="str">
        <f>IF(_xlfn.XLOOKUP(C861,customers!$A$1:$A$1001,customers!$C$1:$C$1001,,0)=0,"", _xlfn.XLOOKUP(C861,customers!$A$1:$A$1001,customers!$C$1:$C$1001,,0))</f>
        <v>rsimaonv@simplemachines.org</v>
      </c>
      <c r="H861" s="3" t="str">
        <f>_xlfn.XLOOKUP(C861,customers!$A$1:$A$1001,customers!$G$1:$G$1001,,0)</f>
        <v>United States</v>
      </c>
      <c r="I861" s="4" t="str">
        <f>INDEX(products!$A$1:$G$49,MATCH(orders!$D861,products!$A$1:$A$49,0),MATCH(orders!I$1,products!$A$1:$G$1,0))</f>
        <v>Ara</v>
      </c>
      <c r="J861" s="4" t="str">
        <f>INDEX(products!$A$1:$G$49,MATCH(orders!$D861,products!$A$1:$A$49,0),MATCH(orders!J$1,products!$A$1:$G$1,0))</f>
        <v>L</v>
      </c>
      <c r="K861" s="6">
        <f>INDEX(products!$A$1:$G$49,MATCH(orders!$D861,products!$A$1:$A$49,0),MATCH(orders!K$1,products!$A$1:$G$1,0))</f>
        <v>2.5</v>
      </c>
      <c r="L861" s="7">
        <f>INDEX(products!$A$1:$G$49,MATCH(orders!$D861,products!$A$1:$A$49,0),MATCH(orders!L$1,products!$A$1:$G$1,0))</f>
        <v>29.784999999999997</v>
      </c>
      <c r="M861" s="7">
        <f t="shared" si="13"/>
        <v>178.70999999999998</v>
      </c>
      <c r="N861" s="4" t="str" cm="1">
        <f t="array" ref="N861">_xlfn.IFS(I861="Rob","Robusta",I861="Exc","Excelsa",I861="Ara","Arabica",I861="Lib","Liberica")</f>
        <v>Arabica</v>
      </c>
      <c r="O861" s="4" t="str" cm="1">
        <f t="array" ref="O861">_xlfn.IFS(J861="M","Medium",J861="L","Light",J861="D","Dark")</f>
        <v>Light</v>
      </c>
      <c r="P861" s="4" t="str">
        <f>_xlfn.XLOOKUP(CoffeeOrderstable[[#This Row],[Customer ID]],customers!$A$1:$A$1001,customers!$I$1:$I$1001,,0)</f>
        <v>No</v>
      </c>
    </row>
    <row r="862" spans="1:16" x14ac:dyDescent="0.3">
      <c r="A862" s="3" t="s">
        <v>5351</v>
      </c>
      <c r="B862" s="5">
        <v>44707</v>
      </c>
      <c r="C862" s="3" t="s">
        <v>5352</v>
      </c>
      <c r="D862" s="4" t="s">
        <v>6175</v>
      </c>
      <c r="E862" s="3">
        <v>1</v>
      </c>
      <c r="F862" s="3" t="str">
        <f>_xlfn.XLOOKUP(C862,customers!$A$1:$A$1001,customers!$B$1:$B$1001,,0)</f>
        <v>Cece Inker</v>
      </c>
      <c r="G862" s="3" t="str">
        <f>IF(_xlfn.XLOOKUP(C862,customers!$A$1:$A$1001,customers!$C$1:$C$1001,,0)=0,"", _xlfn.XLOOKUP(C862,customers!$A$1:$A$1001,customers!$C$1:$C$1001,,0))</f>
        <v/>
      </c>
      <c r="H862" s="3" t="str">
        <f>_xlfn.XLOOKUP(C862,customers!$A$1:$A$1001,customers!$G$1:$G$1001,,0)</f>
        <v>United States</v>
      </c>
      <c r="I862" s="4" t="str">
        <f>INDEX(products!$A$1:$G$49,MATCH(orders!$D862,products!$A$1:$A$49,0),MATCH(orders!I$1,products!$A$1:$G$1,0))</f>
        <v>Ara</v>
      </c>
      <c r="J862" s="4" t="str">
        <f>INDEX(products!$A$1:$G$49,MATCH(orders!$D862,products!$A$1:$A$49,0),MATCH(orders!J$1,products!$A$1:$G$1,0))</f>
        <v>M</v>
      </c>
      <c r="K862" s="6">
        <f>INDEX(products!$A$1:$G$49,MATCH(orders!$D862,products!$A$1:$A$49,0),MATCH(orders!K$1,products!$A$1:$G$1,0))</f>
        <v>2.5</v>
      </c>
      <c r="L862" s="7">
        <f>INDEX(products!$A$1:$G$49,MATCH(orders!$D862,products!$A$1:$A$49,0),MATCH(orders!L$1,products!$A$1:$G$1,0))</f>
        <v>25.874999999999996</v>
      </c>
      <c r="M862" s="7">
        <f t="shared" si="13"/>
        <v>25.874999999999996</v>
      </c>
      <c r="N862" s="4" t="str" cm="1">
        <f t="array" ref="N862">_xlfn.IFS(I862="Rob","Robusta",I862="Exc","Excelsa",I862="Ara","Arabica",I862="Lib","Liberica")</f>
        <v>Arabica</v>
      </c>
      <c r="O862" s="4" t="str" cm="1">
        <f t="array" ref="O862">_xlfn.IFS(J862="M","Medium",J862="L","Light",J862="D","Dark")</f>
        <v>Medium</v>
      </c>
      <c r="P862" s="4" t="str">
        <f>_xlfn.XLOOKUP(CoffeeOrderstable[[#This Row],[Customer ID]],customers!$A$1:$A$1001,customers!$I$1:$I$1001,,0)</f>
        <v>No</v>
      </c>
    </row>
    <row r="863" spans="1:16" x14ac:dyDescent="0.3">
      <c r="A863" s="3" t="s">
        <v>5356</v>
      </c>
      <c r="B863" s="5">
        <v>43802</v>
      </c>
      <c r="C863" s="3" t="s">
        <v>5357</v>
      </c>
      <c r="D863" s="4" t="s">
        <v>6143</v>
      </c>
      <c r="E863" s="3">
        <v>6</v>
      </c>
      <c r="F863" s="3" t="str">
        <f>_xlfn.XLOOKUP(C863,customers!$A$1:$A$1001,customers!$B$1:$B$1001,,0)</f>
        <v>Noel Chisholm</v>
      </c>
      <c r="G863" s="3" t="str">
        <f>IF(_xlfn.XLOOKUP(C863,customers!$A$1:$A$1001,customers!$C$1:$C$1001,,0)=0,"", _xlfn.XLOOKUP(C863,customers!$A$1:$A$1001,customers!$C$1:$C$1001,,0))</f>
        <v>nchisholmnx@example.com</v>
      </c>
      <c r="H863" s="3" t="str">
        <f>_xlfn.XLOOKUP(C863,customers!$A$1:$A$1001,customers!$G$1:$G$1001,,0)</f>
        <v>United States</v>
      </c>
      <c r="I863" s="4" t="str">
        <f>INDEX(products!$A$1:$G$49,MATCH(orders!$D863,products!$A$1:$A$49,0),MATCH(orders!I$1,products!$A$1:$G$1,0))</f>
        <v>Lib</v>
      </c>
      <c r="J863" s="4" t="str">
        <f>INDEX(products!$A$1:$G$49,MATCH(orders!$D863,products!$A$1:$A$49,0),MATCH(orders!J$1,products!$A$1:$G$1,0))</f>
        <v>D</v>
      </c>
      <c r="K863" s="6">
        <f>INDEX(products!$A$1:$G$49,MATCH(orders!$D863,products!$A$1:$A$49,0),MATCH(orders!K$1,products!$A$1:$G$1,0))</f>
        <v>1</v>
      </c>
      <c r="L863" s="7">
        <f>INDEX(products!$A$1:$G$49,MATCH(orders!$D863,products!$A$1:$A$49,0),MATCH(orders!L$1,products!$A$1:$G$1,0))</f>
        <v>12.95</v>
      </c>
      <c r="M863" s="7">
        <f t="shared" si="13"/>
        <v>77.699999999999989</v>
      </c>
      <c r="N863" s="4" t="str" cm="1">
        <f t="array" ref="N863">_xlfn.IFS(I863="Rob","Robusta",I863="Exc","Excelsa",I863="Ara","Arabica",I863="Lib","Liberica")</f>
        <v>Liberica</v>
      </c>
      <c r="O863" s="4" t="str" cm="1">
        <f t="array" ref="O863">_xlfn.IFS(J863="M","Medium",J863="L","Light",J863="D","Dark")</f>
        <v>Dark</v>
      </c>
      <c r="P863" s="4" t="str">
        <f>_xlfn.XLOOKUP(CoffeeOrderstable[[#This Row],[Customer ID]],customers!$A$1:$A$1001,customers!$I$1:$I$1001,,0)</f>
        <v>Yes</v>
      </c>
    </row>
    <row r="864" spans="1:16" x14ac:dyDescent="0.3">
      <c r="A864" s="3" t="s">
        <v>5362</v>
      </c>
      <c r="B864" s="5">
        <v>43725</v>
      </c>
      <c r="C864" s="3" t="s">
        <v>5363</v>
      </c>
      <c r="D864" s="4" t="s">
        <v>6138</v>
      </c>
      <c r="E864" s="3">
        <v>1</v>
      </c>
      <c r="F864" s="3" t="str">
        <f>_xlfn.XLOOKUP(C864,customers!$A$1:$A$1001,customers!$B$1:$B$1001,,0)</f>
        <v>Grazia Oats</v>
      </c>
      <c r="G864" s="3" t="str">
        <f>IF(_xlfn.XLOOKUP(C864,customers!$A$1:$A$1001,customers!$C$1:$C$1001,,0)=0,"", _xlfn.XLOOKUP(C864,customers!$A$1:$A$1001,customers!$C$1:$C$1001,,0))</f>
        <v>goatsny@live.com</v>
      </c>
      <c r="H864" s="3" t="str">
        <f>_xlfn.XLOOKUP(C864,customers!$A$1:$A$1001,customers!$G$1:$G$1001,,0)</f>
        <v>United States</v>
      </c>
      <c r="I864" s="4" t="str">
        <f>INDEX(products!$A$1:$G$49,MATCH(orders!$D864,products!$A$1:$A$49,0),MATCH(orders!I$1,products!$A$1:$G$1,0))</f>
        <v>Rob</v>
      </c>
      <c r="J864" s="4" t="str">
        <f>INDEX(products!$A$1:$G$49,MATCH(orders!$D864,products!$A$1:$A$49,0),MATCH(orders!J$1,products!$A$1:$G$1,0))</f>
        <v>M</v>
      </c>
      <c r="K864" s="6">
        <f>INDEX(products!$A$1:$G$49,MATCH(orders!$D864,products!$A$1:$A$49,0),MATCH(orders!K$1,products!$A$1:$G$1,0))</f>
        <v>1</v>
      </c>
      <c r="L864" s="7">
        <f>INDEX(products!$A$1:$G$49,MATCH(orders!$D864,products!$A$1:$A$49,0),MATCH(orders!L$1,products!$A$1:$G$1,0))</f>
        <v>9.9499999999999993</v>
      </c>
      <c r="M864" s="7">
        <f t="shared" si="13"/>
        <v>9.9499999999999993</v>
      </c>
      <c r="N864" s="4" t="str" cm="1">
        <f t="array" ref="N864">_xlfn.IFS(I864="Rob","Robusta",I864="Exc","Excelsa",I864="Ara","Arabica",I864="Lib","Liberica")</f>
        <v>Robusta</v>
      </c>
      <c r="O864" s="4" t="str" cm="1">
        <f t="array" ref="O864">_xlfn.IFS(J864="M","Medium",J864="L","Light",J864="D","Dark")</f>
        <v>Medium</v>
      </c>
      <c r="P864" s="4" t="str">
        <f>_xlfn.XLOOKUP(CoffeeOrderstable[[#This Row],[Customer ID]],customers!$A$1:$A$1001,customers!$I$1:$I$1001,,0)</f>
        <v>Yes</v>
      </c>
    </row>
    <row r="865" spans="1:16" x14ac:dyDescent="0.3">
      <c r="A865" s="3" t="s">
        <v>5368</v>
      </c>
      <c r="B865" s="5">
        <v>44712</v>
      </c>
      <c r="C865" s="3" t="s">
        <v>5369</v>
      </c>
      <c r="D865" s="4" t="s">
        <v>6162</v>
      </c>
      <c r="E865" s="3">
        <v>2</v>
      </c>
      <c r="F865" s="3" t="str">
        <f>_xlfn.XLOOKUP(C865,customers!$A$1:$A$1001,customers!$B$1:$B$1001,,0)</f>
        <v>Meade Birkin</v>
      </c>
      <c r="G865" s="3" t="str">
        <f>IF(_xlfn.XLOOKUP(C865,customers!$A$1:$A$1001,customers!$C$1:$C$1001,,0)=0,"", _xlfn.XLOOKUP(C865,customers!$A$1:$A$1001,customers!$C$1:$C$1001,,0))</f>
        <v>mbirkinnz@java.com</v>
      </c>
      <c r="H865" s="3" t="str">
        <f>_xlfn.XLOOKUP(C865,customers!$A$1:$A$1001,customers!$G$1:$G$1001,,0)</f>
        <v>United States</v>
      </c>
      <c r="I865" s="4" t="str">
        <f>INDEX(products!$A$1:$G$49,MATCH(orders!$D865,products!$A$1:$A$49,0),MATCH(orders!I$1,products!$A$1:$G$1,0))</f>
        <v>Lib</v>
      </c>
      <c r="J865" s="4" t="str">
        <f>INDEX(products!$A$1:$G$49,MATCH(orders!$D865,products!$A$1:$A$49,0),MATCH(orders!J$1,products!$A$1:$G$1,0))</f>
        <v>M</v>
      </c>
      <c r="K865" s="6">
        <f>INDEX(products!$A$1:$G$49,MATCH(orders!$D865,products!$A$1:$A$49,0),MATCH(orders!K$1,products!$A$1:$G$1,0))</f>
        <v>1</v>
      </c>
      <c r="L865" s="7">
        <f>INDEX(products!$A$1:$G$49,MATCH(orders!$D865,products!$A$1:$A$49,0),MATCH(orders!L$1,products!$A$1:$G$1,0))</f>
        <v>14.55</v>
      </c>
      <c r="M865" s="7">
        <f t="shared" si="13"/>
        <v>29.1</v>
      </c>
      <c r="N865" s="4" t="str" cm="1">
        <f t="array" ref="N865">_xlfn.IFS(I865="Rob","Robusta",I865="Exc","Excelsa",I865="Ara","Arabica",I865="Lib","Liberica")</f>
        <v>Liberica</v>
      </c>
      <c r="O865" s="4" t="str" cm="1">
        <f t="array" ref="O865">_xlfn.IFS(J865="M","Medium",J865="L","Light",J865="D","Dark")</f>
        <v>Medium</v>
      </c>
      <c r="P865" s="4" t="str">
        <f>_xlfn.XLOOKUP(CoffeeOrderstable[[#This Row],[Customer ID]],customers!$A$1:$A$1001,customers!$I$1:$I$1001,,0)</f>
        <v>Yes</v>
      </c>
    </row>
    <row r="866" spans="1:16" x14ac:dyDescent="0.3">
      <c r="A866" s="3" t="s">
        <v>5374</v>
      </c>
      <c r="B866" s="5">
        <v>43759</v>
      </c>
      <c r="C866" s="3" t="s">
        <v>5375</v>
      </c>
      <c r="D866" s="4" t="s">
        <v>6178</v>
      </c>
      <c r="E866" s="3">
        <v>6</v>
      </c>
      <c r="F866" s="3" t="str">
        <f>_xlfn.XLOOKUP(C866,customers!$A$1:$A$1001,customers!$B$1:$B$1001,,0)</f>
        <v>Ronda Pyson</v>
      </c>
      <c r="G866" s="3" t="str">
        <f>IF(_xlfn.XLOOKUP(C866,customers!$A$1:$A$1001,customers!$C$1:$C$1001,,0)=0,"", _xlfn.XLOOKUP(C866,customers!$A$1:$A$1001,customers!$C$1:$C$1001,,0))</f>
        <v>rpysono0@constantcontact.com</v>
      </c>
      <c r="H866" s="3" t="str">
        <f>_xlfn.XLOOKUP(C866,customers!$A$1:$A$1001,customers!$G$1:$G$1001,,0)</f>
        <v>Ireland</v>
      </c>
      <c r="I866" s="4" t="str">
        <f>INDEX(products!$A$1:$G$49,MATCH(orders!$D866,products!$A$1:$A$49,0),MATCH(orders!I$1,products!$A$1:$G$1,0))</f>
        <v>Rob</v>
      </c>
      <c r="J866" s="4" t="str">
        <f>INDEX(products!$A$1:$G$49,MATCH(orders!$D866,products!$A$1:$A$49,0),MATCH(orders!J$1,products!$A$1:$G$1,0))</f>
        <v>L</v>
      </c>
      <c r="K866" s="6">
        <f>INDEX(products!$A$1:$G$49,MATCH(orders!$D866,products!$A$1:$A$49,0),MATCH(orders!K$1,products!$A$1:$G$1,0))</f>
        <v>0.2</v>
      </c>
      <c r="L866" s="7">
        <f>INDEX(products!$A$1:$G$49,MATCH(orders!$D866,products!$A$1:$A$49,0),MATCH(orders!L$1,products!$A$1:$G$1,0))</f>
        <v>3.5849999999999995</v>
      </c>
      <c r="M866" s="7">
        <f t="shared" si="13"/>
        <v>21.509999999999998</v>
      </c>
      <c r="N866" s="4" t="str" cm="1">
        <f t="array" ref="N866">_xlfn.IFS(I866="Rob","Robusta",I866="Exc","Excelsa",I866="Ara","Arabica",I866="Lib","Liberica")</f>
        <v>Robusta</v>
      </c>
      <c r="O866" s="4" t="str" cm="1">
        <f t="array" ref="O866">_xlfn.IFS(J866="M","Medium",J866="L","Light",J866="D","Dark")</f>
        <v>Light</v>
      </c>
      <c r="P866" s="4" t="str">
        <f>_xlfn.XLOOKUP(CoffeeOrderstable[[#This Row],[Customer ID]],customers!$A$1:$A$1001,customers!$I$1:$I$1001,,0)</f>
        <v>No</v>
      </c>
    </row>
    <row r="867" spans="1:16" x14ac:dyDescent="0.3">
      <c r="A867" s="3" t="s">
        <v>5380</v>
      </c>
      <c r="B867" s="5">
        <v>44675</v>
      </c>
      <c r="C867" s="3" t="s">
        <v>5428</v>
      </c>
      <c r="D867" s="4" t="s">
        <v>6157</v>
      </c>
      <c r="E867" s="3">
        <v>1</v>
      </c>
      <c r="F867" s="3" t="str">
        <f>_xlfn.XLOOKUP(C867,customers!$A$1:$A$1001,customers!$B$1:$B$1001,,0)</f>
        <v>Modesty MacConnechie</v>
      </c>
      <c r="G867" s="3" t="str">
        <f>IF(_xlfn.XLOOKUP(C867,customers!$A$1:$A$1001,customers!$C$1:$C$1001,,0)=0,"", _xlfn.XLOOKUP(C867,customers!$A$1:$A$1001,customers!$C$1:$C$1001,,0))</f>
        <v>mmacconnechieo9@reuters.com</v>
      </c>
      <c r="H867" s="3" t="str">
        <f>_xlfn.XLOOKUP(C867,customers!$A$1:$A$1001,customers!$G$1:$G$1001,,0)</f>
        <v>United States</v>
      </c>
      <c r="I867" s="4" t="str">
        <f>INDEX(products!$A$1:$G$49,MATCH(orders!$D867,products!$A$1:$A$49,0),MATCH(orders!I$1,products!$A$1:$G$1,0))</f>
        <v>Ara</v>
      </c>
      <c r="J867" s="4" t="str">
        <f>INDEX(products!$A$1:$G$49,MATCH(orders!$D867,products!$A$1:$A$49,0),MATCH(orders!J$1,products!$A$1:$G$1,0))</f>
        <v>M</v>
      </c>
      <c r="K867" s="6">
        <f>INDEX(products!$A$1:$G$49,MATCH(orders!$D867,products!$A$1:$A$49,0),MATCH(orders!K$1,products!$A$1:$G$1,0))</f>
        <v>0.5</v>
      </c>
      <c r="L867" s="7">
        <f>INDEX(products!$A$1:$G$49,MATCH(orders!$D867,products!$A$1:$A$49,0),MATCH(orders!L$1,products!$A$1:$G$1,0))</f>
        <v>6.75</v>
      </c>
      <c r="M867" s="7">
        <f t="shared" si="13"/>
        <v>6.75</v>
      </c>
      <c r="N867" s="4" t="str" cm="1">
        <f t="array" ref="N867">_xlfn.IFS(I867="Rob","Robusta",I867="Exc","Excelsa",I867="Ara","Arabica",I867="Lib","Liberica")</f>
        <v>Arabica</v>
      </c>
      <c r="O867" s="4" t="str" cm="1">
        <f t="array" ref="O867">_xlfn.IFS(J867="M","Medium",J867="L","Light",J867="D","Dark")</f>
        <v>Medium</v>
      </c>
      <c r="P867" s="4" t="str">
        <f>_xlfn.XLOOKUP(CoffeeOrderstable[[#This Row],[Customer ID]],customers!$A$1:$A$1001,customers!$I$1:$I$1001,,0)</f>
        <v>Yes</v>
      </c>
    </row>
    <row r="868" spans="1:16" x14ac:dyDescent="0.3">
      <c r="A868" s="3" t="s">
        <v>5385</v>
      </c>
      <c r="B868" s="5">
        <v>44209</v>
      </c>
      <c r="C868" s="3" t="s">
        <v>5386</v>
      </c>
      <c r="D868" s="4" t="s">
        <v>6158</v>
      </c>
      <c r="E868" s="3">
        <v>3</v>
      </c>
      <c r="F868" s="3" t="str">
        <f>_xlfn.XLOOKUP(C868,customers!$A$1:$A$1001,customers!$B$1:$B$1001,,0)</f>
        <v>Rafaela Treacher</v>
      </c>
      <c r="G868" s="3" t="str">
        <f>IF(_xlfn.XLOOKUP(C868,customers!$A$1:$A$1001,customers!$C$1:$C$1001,,0)=0,"", _xlfn.XLOOKUP(C868,customers!$A$1:$A$1001,customers!$C$1:$C$1001,,0))</f>
        <v>rtreachero2@usa.gov</v>
      </c>
      <c r="H868" s="3" t="str">
        <f>_xlfn.XLOOKUP(C868,customers!$A$1:$A$1001,customers!$G$1:$G$1001,,0)</f>
        <v>Ireland</v>
      </c>
      <c r="I868" s="4" t="str">
        <f>INDEX(products!$A$1:$G$49,MATCH(orders!$D868,products!$A$1:$A$49,0),MATCH(orders!I$1,products!$A$1:$G$1,0))</f>
        <v>Ara</v>
      </c>
      <c r="J868" s="4" t="str">
        <f>INDEX(products!$A$1:$G$49,MATCH(orders!$D868,products!$A$1:$A$49,0),MATCH(orders!J$1,products!$A$1:$G$1,0))</f>
        <v>D</v>
      </c>
      <c r="K868" s="6">
        <f>INDEX(products!$A$1:$G$49,MATCH(orders!$D868,products!$A$1:$A$49,0),MATCH(orders!K$1,products!$A$1:$G$1,0))</f>
        <v>0.5</v>
      </c>
      <c r="L868" s="7">
        <f>INDEX(products!$A$1:$G$49,MATCH(orders!$D868,products!$A$1:$A$49,0),MATCH(orders!L$1,products!$A$1:$G$1,0))</f>
        <v>5.97</v>
      </c>
      <c r="M868" s="7">
        <f t="shared" si="13"/>
        <v>17.91</v>
      </c>
      <c r="N868" s="4" t="str" cm="1">
        <f t="array" ref="N868">_xlfn.IFS(I868="Rob","Robusta",I868="Exc","Excelsa",I868="Ara","Arabica",I868="Lib","Liberica")</f>
        <v>Arabica</v>
      </c>
      <c r="O868" s="4" t="str" cm="1">
        <f t="array" ref="O868">_xlfn.IFS(J868="M","Medium",J868="L","Light",J868="D","Dark")</f>
        <v>Dark</v>
      </c>
      <c r="P868" s="4" t="str">
        <f>_xlfn.XLOOKUP(CoffeeOrderstable[[#This Row],[Customer ID]],customers!$A$1:$A$1001,customers!$I$1:$I$1001,,0)</f>
        <v>No</v>
      </c>
    </row>
    <row r="869" spans="1:16" x14ac:dyDescent="0.3">
      <c r="A869" s="3" t="s">
        <v>5391</v>
      </c>
      <c r="B869" s="5">
        <v>44792</v>
      </c>
      <c r="C869" s="3" t="s">
        <v>5392</v>
      </c>
      <c r="D869" s="4" t="s">
        <v>6182</v>
      </c>
      <c r="E869" s="3">
        <v>1</v>
      </c>
      <c r="F869" s="3" t="str">
        <f>_xlfn.XLOOKUP(C869,customers!$A$1:$A$1001,customers!$B$1:$B$1001,,0)</f>
        <v>Bee Fattorini</v>
      </c>
      <c r="G869" s="3" t="str">
        <f>IF(_xlfn.XLOOKUP(C869,customers!$A$1:$A$1001,customers!$C$1:$C$1001,,0)=0,"", _xlfn.XLOOKUP(C869,customers!$A$1:$A$1001,customers!$C$1:$C$1001,,0))</f>
        <v>bfattorinio3@quantcast.com</v>
      </c>
      <c r="H869" s="3" t="str">
        <f>_xlfn.XLOOKUP(C869,customers!$A$1:$A$1001,customers!$G$1:$G$1001,,0)</f>
        <v>Ireland</v>
      </c>
      <c r="I869" s="4" t="str">
        <f>INDEX(products!$A$1:$G$49,MATCH(orders!$D869,products!$A$1:$A$49,0),MATCH(orders!I$1,products!$A$1:$G$1,0))</f>
        <v>Ara</v>
      </c>
      <c r="J869" s="4" t="str">
        <f>INDEX(products!$A$1:$G$49,MATCH(orders!$D869,products!$A$1:$A$49,0),MATCH(orders!J$1,products!$A$1:$G$1,0))</f>
        <v>L</v>
      </c>
      <c r="K869" s="6">
        <f>INDEX(products!$A$1:$G$49,MATCH(orders!$D869,products!$A$1:$A$49,0),MATCH(orders!K$1,products!$A$1:$G$1,0))</f>
        <v>2.5</v>
      </c>
      <c r="L869" s="7">
        <f>INDEX(products!$A$1:$G$49,MATCH(orders!$D869,products!$A$1:$A$49,0),MATCH(orders!L$1,products!$A$1:$G$1,0))</f>
        <v>29.784999999999997</v>
      </c>
      <c r="M869" s="7">
        <f t="shared" si="13"/>
        <v>29.784999999999997</v>
      </c>
      <c r="N869" s="4" t="str" cm="1">
        <f t="array" ref="N869">_xlfn.IFS(I869="Rob","Robusta",I869="Exc","Excelsa",I869="Ara","Arabica",I869="Lib","Liberica")</f>
        <v>Arabica</v>
      </c>
      <c r="O869" s="4" t="str" cm="1">
        <f t="array" ref="O869">_xlfn.IFS(J869="M","Medium",J869="L","Light",J869="D","Dark")</f>
        <v>Light</v>
      </c>
      <c r="P869" s="4" t="str">
        <f>_xlfn.XLOOKUP(CoffeeOrderstable[[#This Row],[Customer ID]],customers!$A$1:$A$1001,customers!$I$1:$I$1001,,0)</f>
        <v>Yes</v>
      </c>
    </row>
    <row r="870" spans="1:16" x14ac:dyDescent="0.3">
      <c r="A870" s="3" t="s">
        <v>5396</v>
      </c>
      <c r="B870" s="5">
        <v>43526</v>
      </c>
      <c r="C870" s="3" t="s">
        <v>5397</v>
      </c>
      <c r="D870" s="4" t="s">
        <v>6139</v>
      </c>
      <c r="E870" s="3">
        <v>5</v>
      </c>
      <c r="F870" s="3" t="str">
        <f>_xlfn.XLOOKUP(C870,customers!$A$1:$A$1001,customers!$B$1:$B$1001,,0)</f>
        <v>Margie Palleske</v>
      </c>
      <c r="G870" s="3" t="str">
        <f>IF(_xlfn.XLOOKUP(C870,customers!$A$1:$A$1001,customers!$C$1:$C$1001,,0)=0,"", _xlfn.XLOOKUP(C870,customers!$A$1:$A$1001,customers!$C$1:$C$1001,,0))</f>
        <v>mpalleskeo4@nyu.edu</v>
      </c>
      <c r="H870" s="3" t="str">
        <f>_xlfn.XLOOKUP(C870,customers!$A$1:$A$1001,customers!$G$1:$G$1001,,0)</f>
        <v>United States</v>
      </c>
      <c r="I870" s="4" t="str">
        <f>INDEX(products!$A$1:$G$49,MATCH(orders!$D870,products!$A$1:$A$49,0),MATCH(orders!I$1,products!$A$1:$G$1,0))</f>
        <v>Exc</v>
      </c>
      <c r="J870" s="4" t="str">
        <f>INDEX(products!$A$1:$G$49,MATCH(orders!$D870,products!$A$1:$A$49,0),MATCH(orders!J$1,products!$A$1:$G$1,0))</f>
        <v>M</v>
      </c>
      <c r="K870" s="6">
        <f>INDEX(products!$A$1:$G$49,MATCH(orders!$D870,products!$A$1:$A$49,0),MATCH(orders!K$1,products!$A$1:$G$1,0))</f>
        <v>0.5</v>
      </c>
      <c r="L870" s="7">
        <f>INDEX(products!$A$1:$G$49,MATCH(orders!$D870,products!$A$1:$A$49,0),MATCH(orders!L$1,products!$A$1:$G$1,0))</f>
        <v>8.25</v>
      </c>
      <c r="M870" s="7">
        <f t="shared" si="13"/>
        <v>41.25</v>
      </c>
      <c r="N870" s="4" t="str" cm="1">
        <f t="array" ref="N870">_xlfn.IFS(I870="Rob","Robusta",I870="Exc","Excelsa",I870="Ara","Arabica",I870="Lib","Liberica")</f>
        <v>Excelsa</v>
      </c>
      <c r="O870" s="4" t="str" cm="1">
        <f t="array" ref="O870">_xlfn.IFS(J870="M","Medium",J870="L","Light",J870="D","Dark")</f>
        <v>Medium</v>
      </c>
      <c r="P870" s="4" t="str">
        <f>_xlfn.XLOOKUP(CoffeeOrderstable[[#This Row],[Customer ID]],customers!$A$1:$A$1001,customers!$I$1:$I$1001,,0)</f>
        <v>Yes</v>
      </c>
    </row>
    <row r="871" spans="1:16" x14ac:dyDescent="0.3">
      <c r="A871" s="3" t="s">
        <v>5402</v>
      </c>
      <c r="B871" s="5">
        <v>43851</v>
      </c>
      <c r="C871" s="3" t="s">
        <v>5403</v>
      </c>
      <c r="D871" s="4" t="s">
        <v>6146</v>
      </c>
      <c r="E871" s="3">
        <v>3</v>
      </c>
      <c r="F871" s="3" t="str">
        <f>_xlfn.XLOOKUP(C871,customers!$A$1:$A$1001,customers!$B$1:$B$1001,,0)</f>
        <v>Alexina Randals</v>
      </c>
      <c r="G871" s="3" t="str">
        <f>IF(_xlfn.XLOOKUP(C871,customers!$A$1:$A$1001,customers!$C$1:$C$1001,,0)=0,"", _xlfn.XLOOKUP(C871,customers!$A$1:$A$1001,customers!$C$1:$C$1001,,0))</f>
        <v/>
      </c>
      <c r="H871" s="3" t="str">
        <f>_xlfn.XLOOKUP(C871,customers!$A$1:$A$1001,customers!$G$1:$G$1001,,0)</f>
        <v>United States</v>
      </c>
      <c r="I871" s="4" t="str">
        <f>INDEX(products!$A$1:$G$49,MATCH(orders!$D871,products!$A$1:$A$49,0),MATCH(orders!I$1,products!$A$1:$G$1,0))</f>
        <v>Rob</v>
      </c>
      <c r="J871" s="4" t="str">
        <f>INDEX(products!$A$1:$G$49,MATCH(orders!$D871,products!$A$1:$A$49,0),MATCH(orders!J$1,products!$A$1:$G$1,0))</f>
        <v>M</v>
      </c>
      <c r="K871" s="6">
        <f>INDEX(products!$A$1:$G$49,MATCH(orders!$D871,products!$A$1:$A$49,0),MATCH(orders!K$1,products!$A$1:$G$1,0))</f>
        <v>0.5</v>
      </c>
      <c r="L871" s="7">
        <f>INDEX(products!$A$1:$G$49,MATCH(orders!$D871,products!$A$1:$A$49,0),MATCH(orders!L$1,products!$A$1:$G$1,0))</f>
        <v>5.97</v>
      </c>
      <c r="M871" s="7">
        <f t="shared" si="13"/>
        <v>17.91</v>
      </c>
      <c r="N871" s="4" t="str" cm="1">
        <f t="array" ref="N871">_xlfn.IFS(I871="Rob","Robusta",I871="Exc","Excelsa",I871="Ara","Arabica",I871="Lib","Liberica")</f>
        <v>Robusta</v>
      </c>
      <c r="O871" s="4" t="str" cm="1">
        <f t="array" ref="O871">_xlfn.IFS(J871="M","Medium",J871="L","Light",J871="D","Dark")</f>
        <v>Medium</v>
      </c>
      <c r="P871" s="4" t="str">
        <f>_xlfn.XLOOKUP(CoffeeOrderstable[[#This Row],[Customer ID]],customers!$A$1:$A$1001,customers!$I$1:$I$1001,,0)</f>
        <v>Yes</v>
      </c>
    </row>
    <row r="872" spans="1:16" x14ac:dyDescent="0.3">
      <c r="A872" s="3" t="s">
        <v>5407</v>
      </c>
      <c r="B872" s="5">
        <v>44460</v>
      </c>
      <c r="C872" s="3" t="s">
        <v>5408</v>
      </c>
      <c r="D872" s="4" t="s">
        <v>6144</v>
      </c>
      <c r="E872" s="3">
        <v>1</v>
      </c>
      <c r="F872" s="3" t="str">
        <f>_xlfn.XLOOKUP(C872,customers!$A$1:$A$1001,customers!$B$1:$B$1001,,0)</f>
        <v>Filip Antcliffe</v>
      </c>
      <c r="G872" s="3" t="str">
        <f>IF(_xlfn.XLOOKUP(C872,customers!$A$1:$A$1001,customers!$C$1:$C$1001,,0)=0,"", _xlfn.XLOOKUP(C872,customers!$A$1:$A$1001,customers!$C$1:$C$1001,,0))</f>
        <v>fantcliffeo6@amazon.co.jp</v>
      </c>
      <c r="H872" s="3" t="str">
        <f>_xlfn.XLOOKUP(C872,customers!$A$1:$A$1001,customers!$G$1:$G$1001,,0)</f>
        <v>Ireland</v>
      </c>
      <c r="I872" s="4" t="str">
        <f>INDEX(products!$A$1:$G$49,MATCH(orders!$D872,products!$A$1:$A$49,0),MATCH(orders!I$1,products!$A$1:$G$1,0))</f>
        <v>Exc</v>
      </c>
      <c r="J872" s="4" t="str">
        <f>INDEX(products!$A$1:$G$49,MATCH(orders!$D872,products!$A$1:$A$49,0),MATCH(orders!J$1,products!$A$1:$G$1,0))</f>
        <v>D</v>
      </c>
      <c r="K872" s="6">
        <f>INDEX(products!$A$1:$G$49,MATCH(orders!$D872,products!$A$1:$A$49,0),MATCH(orders!K$1,products!$A$1:$G$1,0))</f>
        <v>0.5</v>
      </c>
      <c r="L872" s="7">
        <f>INDEX(products!$A$1:$G$49,MATCH(orders!$D872,products!$A$1:$A$49,0),MATCH(orders!L$1,products!$A$1:$G$1,0))</f>
        <v>7.29</v>
      </c>
      <c r="M872" s="7">
        <f t="shared" si="13"/>
        <v>7.29</v>
      </c>
      <c r="N872" s="4" t="str" cm="1">
        <f t="array" ref="N872">_xlfn.IFS(I872="Rob","Robusta",I872="Exc","Excelsa",I872="Ara","Arabica",I872="Lib","Liberica")</f>
        <v>Excelsa</v>
      </c>
      <c r="O872" s="4" t="str" cm="1">
        <f t="array" ref="O872">_xlfn.IFS(J872="M","Medium",J872="L","Light",J872="D","Dark")</f>
        <v>Dark</v>
      </c>
      <c r="P872" s="4" t="str">
        <f>_xlfn.XLOOKUP(CoffeeOrderstable[[#This Row],[Customer ID]],customers!$A$1:$A$1001,customers!$I$1:$I$1001,,0)</f>
        <v>Yes</v>
      </c>
    </row>
    <row r="873" spans="1:16" x14ac:dyDescent="0.3">
      <c r="A873" s="3" t="s">
        <v>5413</v>
      </c>
      <c r="B873" s="5">
        <v>43707</v>
      </c>
      <c r="C873" s="3" t="s">
        <v>5414</v>
      </c>
      <c r="D873" s="4" t="s">
        <v>6171</v>
      </c>
      <c r="E873" s="3">
        <v>2</v>
      </c>
      <c r="F873" s="3" t="str">
        <f>_xlfn.XLOOKUP(C873,customers!$A$1:$A$1001,customers!$B$1:$B$1001,,0)</f>
        <v>Peyter Matignon</v>
      </c>
      <c r="G873" s="3" t="str">
        <f>IF(_xlfn.XLOOKUP(C873,customers!$A$1:$A$1001,customers!$C$1:$C$1001,,0)=0,"", _xlfn.XLOOKUP(C873,customers!$A$1:$A$1001,customers!$C$1:$C$1001,,0))</f>
        <v>pmatignono7@harvard.edu</v>
      </c>
      <c r="H873" s="3" t="str">
        <f>_xlfn.XLOOKUP(C873,customers!$A$1:$A$1001,customers!$G$1:$G$1001,,0)</f>
        <v>United Kingdom</v>
      </c>
      <c r="I873" s="4" t="str">
        <f>INDEX(products!$A$1:$G$49,MATCH(orders!$D873,products!$A$1:$A$49,0),MATCH(orders!I$1,products!$A$1:$G$1,0))</f>
        <v>Exc</v>
      </c>
      <c r="J873" s="4" t="str">
        <f>INDEX(products!$A$1:$G$49,MATCH(orders!$D873,products!$A$1:$A$49,0),MATCH(orders!J$1,products!$A$1:$G$1,0))</f>
        <v>L</v>
      </c>
      <c r="K873" s="6">
        <f>INDEX(products!$A$1:$G$49,MATCH(orders!$D873,products!$A$1:$A$49,0),MATCH(orders!K$1,products!$A$1:$G$1,0))</f>
        <v>1</v>
      </c>
      <c r="L873" s="7">
        <f>INDEX(products!$A$1:$G$49,MATCH(orders!$D873,products!$A$1:$A$49,0),MATCH(orders!L$1,products!$A$1:$G$1,0))</f>
        <v>14.85</v>
      </c>
      <c r="M873" s="7">
        <f t="shared" si="13"/>
        <v>29.7</v>
      </c>
      <c r="N873" s="4" t="str" cm="1">
        <f t="array" ref="N873">_xlfn.IFS(I873="Rob","Robusta",I873="Exc","Excelsa",I873="Ara","Arabica",I873="Lib","Liberica")</f>
        <v>Excelsa</v>
      </c>
      <c r="O873" s="4" t="str" cm="1">
        <f t="array" ref="O873">_xlfn.IFS(J873="M","Medium",J873="L","Light",J873="D","Dark")</f>
        <v>Light</v>
      </c>
      <c r="P873" s="4" t="str">
        <f>_xlfn.XLOOKUP(CoffeeOrderstable[[#This Row],[Customer ID]],customers!$A$1:$A$1001,customers!$I$1:$I$1001,,0)</f>
        <v>Yes</v>
      </c>
    </row>
    <row r="874" spans="1:16" x14ac:dyDescent="0.3">
      <c r="A874" s="3" t="s">
        <v>5421</v>
      </c>
      <c r="B874" s="5">
        <v>43521</v>
      </c>
      <c r="C874" s="3" t="s">
        <v>5422</v>
      </c>
      <c r="D874" s="4" t="s">
        <v>6155</v>
      </c>
      <c r="E874" s="3">
        <v>2</v>
      </c>
      <c r="F874" s="3" t="str">
        <f>_xlfn.XLOOKUP(C874,customers!$A$1:$A$1001,customers!$B$1:$B$1001,,0)</f>
        <v>Claudie Weond</v>
      </c>
      <c r="G874" s="3" t="str">
        <f>IF(_xlfn.XLOOKUP(C874,customers!$A$1:$A$1001,customers!$C$1:$C$1001,,0)=0,"", _xlfn.XLOOKUP(C874,customers!$A$1:$A$1001,customers!$C$1:$C$1001,,0))</f>
        <v>cweondo8@theglobeandmail.com</v>
      </c>
      <c r="H874" s="3" t="str">
        <f>_xlfn.XLOOKUP(C874,customers!$A$1:$A$1001,customers!$G$1:$G$1001,,0)</f>
        <v>United States</v>
      </c>
      <c r="I874" s="4" t="str">
        <f>INDEX(products!$A$1:$G$49,MATCH(orders!$D874,products!$A$1:$A$49,0),MATCH(orders!I$1,products!$A$1:$G$1,0))</f>
        <v>Ara</v>
      </c>
      <c r="J874" s="4" t="str">
        <f>INDEX(products!$A$1:$G$49,MATCH(orders!$D874,products!$A$1:$A$49,0),MATCH(orders!J$1,products!$A$1:$G$1,0))</f>
        <v>M</v>
      </c>
      <c r="K874" s="6">
        <f>INDEX(products!$A$1:$G$49,MATCH(orders!$D874,products!$A$1:$A$49,0),MATCH(orders!K$1,products!$A$1:$G$1,0))</f>
        <v>1</v>
      </c>
      <c r="L874" s="7">
        <f>INDEX(products!$A$1:$G$49,MATCH(orders!$D874,products!$A$1:$A$49,0),MATCH(orders!L$1,products!$A$1:$G$1,0))</f>
        <v>11.25</v>
      </c>
      <c r="M874" s="7">
        <f t="shared" si="13"/>
        <v>22.5</v>
      </c>
      <c r="N874" s="4" t="str" cm="1">
        <f t="array" ref="N874">_xlfn.IFS(I874="Rob","Robusta",I874="Exc","Excelsa",I874="Ara","Arabica",I874="Lib","Liberica")</f>
        <v>Arabica</v>
      </c>
      <c r="O874" s="4" t="str" cm="1">
        <f t="array" ref="O874">_xlfn.IFS(J874="M","Medium",J874="L","Light",J874="D","Dark")</f>
        <v>Medium</v>
      </c>
      <c r="P874" s="4" t="str">
        <f>_xlfn.XLOOKUP(CoffeeOrderstable[[#This Row],[Customer ID]],customers!$A$1:$A$1001,customers!$I$1:$I$1001,,0)</f>
        <v>No</v>
      </c>
    </row>
    <row r="875" spans="1:16" x14ac:dyDescent="0.3">
      <c r="A875" s="3" t="s">
        <v>5427</v>
      </c>
      <c r="B875" s="5">
        <v>43725</v>
      </c>
      <c r="C875" s="3" t="s">
        <v>5428</v>
      </c>
      <c r="D875" s="4" t="s">
        <v>6174</v>
      </c>
      <c r="E875" s="3">
        <v>4</v>
      </c>
      <c r="F875" s="3" t="str">
        <f>_xlfn.XLOOKUP(C875,customers!$A$1:$A$1001,customers!$B$1:$B$1001,,0)</f>
        <v>Modesty MacConnechie</v>
      </c>
      <c r="G875" s="3" t="str">
        <f>IF(_xlfn.XLOOKUP(C875,customers!$A$1:$A$1001,customers!$C$1:$C$1001,,0)=0,"", _xlfn.XLOOKUP(C875,customers!$A$1:$A$1001,customers!$C$1:$C$1001,,0))</f>
        <v>mmacconnechieo9@reuters.com</v>
      </c>
      <c r="H875" s="3" t="str">
        <f>_xlfn.XLOOKUP(C875,customers!$A$1:$A$1001,customers!$G$1:$G$1001,,0)</f>
        <v>United States</v>
      </c>
      <c r="I875" s="4" t="str">
        <f>INDEX(products!$A$1:$G$49,MATCH(orders!$D875,products!$A$1:$A$49,0),MATCH(orders!I$1,products!$A$1:$G$1,0))</f>
        <v>Rob</v>
      </c>
      <c r="J875" s="4" t="str">
        <f>INDEX(products!$A$1:$G$49,MATCH(orders!$D875,products!$A$1:$A$49,0),MATCH(orders!J$1,products!$A$1:$G$1,0))</f>
        <v>M</v>
      </c>
      <c r="K875" s="6">
        <f>INDEX(products!$A$1:$G$49,MATCH(orders!$D875,products!$A$1:$A$49,0),MATCH(orders!K$1,products!$A$1:$G$1,0))</f>
        <v>0.2</v>
      </c>
      <c r="L875" s="7">
        <f>INDEX(products!$A$1:$G$49,MATCH(orders!$D875,products!$A$1:$A$49,0),MATCH(orders!L$1,products!$A$1:$G$1,0))</f>
        <v>2.9849999999999999</v>
      </c>
      <c r="M875" s="7">
        <f t="shared" si="13"/>
        <v>11.94</v>
      </c>
      <c r="N875" s="4" t="str" cm="1">
        <f t="array" ref="N875">_xlfn.IFS(I875="Rob","Robusta",I875="Exc","Excelsa",I875="Ara","Arabica",I875="Lib","Liberica")</f>
        <v>Robusta</v>
      </c>
      <c r="O875" s="4" t="str" cm="1">
        <f t="array" ref="O875">_xlfn.IFS(J875="M","Medium",J875="L","Light",J875="D","Dark")</f>
        <v>Medium</v>
      </c>
      <c r="P875" s="4" t="str">
        <f>_xlfn.XLOOKUP(CoffeeOrderstable[[#This Row],[Customer ID]],customers!$A$1:$A$1001,customers!$I$1:$I$1001,,0)</f>
        <v>Yes</v>
      </c>
    </row>
    <row r="876" spans="1:16" x14ac:dyDescent="0.3">
      <c r="A876" s="3" t="s">
        <v>5433</v>
      </c>
      <c r="B876" s="5">
        <v>43680</v>
      </c>
      <c r="C876" s="3" t="s">
        <v>5434</v>
      </c>
      <c r="D876" s="4" t="s">
        <v>6140</v>
      </c>
      <c r="E876" s="3">
        <v>2</v>
      </c>
      <c r="F876" s="3" t="str">
        <f>_xlfn.XLOOKUP(C876,customers!$A$1:$A$1001,customers!$B$1:$B$1001,,0)</f>
        <v>Jaquenette Skentelbery</v>
      </c>
      <c r="G876" s="3" t="str">
        <f>IF(_xlfn.XLOOKUP(C876,customers!$A$1:$A$1001,customers!$C$1:$C$1001,,0)=0,"", _xlfn.XLOOKUP(C876,customers!$A$1:$A$1001,customers!$C$1:$C$1001,,0))</f>
        <v>jskentelberyoa@paypal.com</v>
      </c>
      <c r="H876" s="3" t="str">
        <f>_xlfn.XLOOKUP(C876,customers!$A$1:$A$1001,customers!$G$1:$G$1001,,0)</f>
        <v>United States</v>
      </c>
      <c r="I876" s="4" t="str">
        <f>INDEX(products!$A$1:$G$49,MATCH(orders!$D876,products!$A$1:$A$49,0),MATCH(orders!I$1,products!$A$1:$G$1,0))</f>
        <v>Ara</v>
      </c>
      <c r="J876" s="4" t="str">
        <f>INDEX(products!$A$1:$G$49,MATCH(orders!$D876,products!$A$1:$A$49,0),MATCH(orders!J$1,products!$A$1:$G$1,0))</f>
        <v>L</v>
      </c>
      <c r="K876" s="6">
        <f>INDEX(products!$A$1:$G$49,MATCH(orders!$D876,products!$A$1:$A$49,0),MATCH(orders!K$1,products!$A$1:$G$1,0))</f>
        <v>1</v>
      </c>
      <c r="L876" s="7">
        <f>INDEX(products!$A$1:$G$49,MATCH(orders!$D876,products!$A$1:$A$49,0),MATCH(orders!L$1,products!$A$1:$G$1,0))</f>
        <v>12.95</v>
      </c>
      <c r="M876" s="7">
        <f t="shared" si="13"/>
        <v>25.9</v>
      </c>
      <c r="N876" s="4" t="str" cm="1">
        <f t="array" ref="N876">_xlfn.IFS(I876="Rob","Robusta",I876="Exc","Excelsa",I876="Ara","Arabica",I876="Lib","Liberica")</f>
        <v>Arabica</v>
      </c>
      <c r="O876" s="4" t="str" cm="1">
        <f t="array" ref="O876">_xlfn.IFS(J876="M","Medium",J876="L","Light",J876="D","Dark")</f>
        <v>Light</v>
      </c>
      <c r="P876" s="4" t="str">
        <f>_xlfn.XLOOKUP(CoffeeOrderstable[[#This Row],[Customer ID]],customers!$A$1:$A$1001,customers!$I$1:$I$1001,,0)</f>
        <v>No</v>
      </c>
    </row>
    <row r="877" spans="1:16" x14ac:dyDescent="0.3">
      <c r="A877" s="3" t="s">
        <v>5439</v>
      </c>
      <c r="B877" s="5">
        <v>44253</v>
      </c>
      <c r="C877" s="3" t="s">
        <v>5440</v>
      </c>
      <c r="D877" s="4" t="s">
        <v>6160</v>
      </c>
      <c r="E877" s="3">
        <v>5</v>
      </c>
      <c r="F877" s="3" t="str">
        <f>_xlfn.XLOOKUP(C877,customers!$A$1:$A$1001,customers!$B$1:$B$1001,,0)</f>
        <v>Orazio Comber</v>
      </c>
      <c r="G877" s="3" t="str">
        <f>IF(_xlfn.XLOOKUP(C877,customers!$A$1:$A$1001,customers!$C$1:$C$1001,,0)=0,"", _xlfn.XLOOKUP(C877,customers!$A$1:$A$1001,customers!$C$1:$C$1001,,0))</f>
        <v>ocomberob@goo.gl</v>
      </c>
      <c r="H877" s="3" t="str">
        <f>_xlfn.XLOOKUP(C877,customers!$A$1:$A$1001,customers!$G$1:$G$1001,,0)</f>
        <v>Ireland</v>
      </c>
      <c r="I877" s="4" t="str">
        <f>INDEX(products!$A$1:$G$49,MATCH(orders!$D877,products!$A$1:$A$49,0),MATCH(orders!I$1,products!$A$1:$G$1,0))</f>
        <v>Lib</v>
      </c>
      <c r="J877" s="4" t="str">
        <f>INDEX(products!$A$1:$G$49,MATCH(orders!$D877,products!$A$1:$A$49,0),MATCH(orders!J$1,products!$A$1:$G$1,0))</f>
        <v>M</v>
      </c>
      <c r="K877" s="6">
        <f>INDEX(products!$A$1:$G$49,MATCH(orders!$D877,products!$A$1:$A$49,0),MATCH(orders!K$1,products!$A$1:$G$1,0))</f>
        <v>0.5</v>
      </c>
      <c r="L877" s="7">
        <f>INDEX(products!$A$1:$G$49,MATCH(orders!$D877,products!$A$1:$A$49,0),MATCH(orders!L$1,products!$A$1:$G$1,0))</f>
        <v>8.73</v>
      </c>
      <c r="M877" s="7">
        <f t="shared" si="13"/>
        <v>43.650000000000006</v>
      </c>
      <c r="N877" s="4" t="str" cm="1">
        <f t="array" ref="N877">_xlfn.IFS(I877="Rob","Robusta",I877="Exc","Excelsa",I877="Ara","Arabica",I877="Lib","Liberica")</f>
        <v>Liberica</v>
      </c>
      <c r="O877" s="4" t="str" cm="1">
        <f t="array" ref="O877">_xlfn.IFS(J877="M","Medium",J877="L","Light",J877="D","Dark")</f>
        <v>Medium</v>
      </c>
      <c r="P877" s="4" t="str">
        <f>_xlfn.XLOOKUP(CoffeeOrderstable[[#This Row],[Customer ID]],customers!$A$1:$A$1001,customers!$I$1:$I$1001,,0)</f>
        <v>No</v>
      </c>
    </row>
    <row r="878" spans="1:16" x14ac:dyDescent="0.3">
      <c r="A878" s="3" t="s">
        <v>5439</v>
      </c>
      <c r="B878" s="5">
        <v>44253</v>
      </c>
      <c r="C878" s="3" t="s">
        <v>5440</v>
      </c>
      <c r="D878" s="4" t="s">
        <v>6180</v>
      </c>
      <c r="E878" s="3">
        <v>6</v>
      </c>
      <c r="F878" s="3" t="str">
        <f>_xlfn.XLOOKUP(C878,customers!$A$1:$A$1001,customers!$B$1:$B$1001,,0)</f>
        <v>Orazio Comber</v>
      </c>
      <c r="G878" s="3" t="str">
        <f>IF(_xlfn.XLOOKUP(C878,customers!$A$1:$A$1001,customers!$C$1:$C$1001,,0)=0,"", _xlfn.XLOOKUP(C878,customers!$A$1:$A$1001,customers!$C$1:$C$1001,,0))</f>
        <v>ocomberob@goo.gl</v>
      </c>
      <c r="H878" s="3" t="str">
        <f>_xlfn.XLOOKUP(C878,customers!$A$1:$A$1001,customers!$G$1:$G$1001,,0)</f>
        <v>Ireland</v>
      </c>
      <c r="I878" s="4" t="str">
        <f>INDEX(products!$A$1:$G$49,MATCH(orders!$D878,products!$A$1:$A$49,0),MATCH(orders!I$1,products!$A$1:$G$1,0))</f>
        <v>Ara</v>
      </c>
      <c r="J878" s="4" t="str">
        <f>INDEX(products!$A$1:$G$49,MATCH(orders!$D878,products!$A$1:$A$49,0),MATCH(orders!J$1,products!$A$1:$G$1,0))</f>
        <v>L</v>
      </c>
      <c r="K878" s="6">
        <f>INDEX(products!$A$1:$G$49,MATCH(orders!$D878,products!$A$1:$A$49,0),MATCH(orders!K$1,products!$A$1:$G$1,0))</f>
        <v>0.5</v>
      </c>
      <c r="L878" s="7">
        <f>INDEX(products!$A$1:$G$49,MATCH(orders!$D878,products!$A$1:$A$49,0),MATCH(orders!L$1,products!$A$1:$G$1,0))</f>
        <v>7.77</v>
      </c>
      <c r="M878" s="7">
        <f t="shared" si="13"/>
        <v>46.62</v>
      </c>
      <c r="N878" s="4" t="str" cm="1">
        <f t="array" ref="N878">_xlfn.IFS(I878="Rob","Robusta",I878="Exc","Excelsa",I878="Ara","Arabica",I878="Lib","Liberica")</f>
        <v>Arabica</v>
      </c>
      <c r="O878" s="4" t="str" cm="1">
        <f t="array" ref="O878">_xlfn.IFS(J878="M","Medium",J878="L","Light",J878="D","Dark")</f>
        <v>Light</v>
      </c>
      <c r="P878" s="4" t="str">
        <f>_xlfn.XLOOKUP(CoffeeOrderstable[[#This Row],[Customer ID]],customers!$A$1:$A$1001,customers!$I$1:$I$1001,,0)</f>
        <v>No</v>
      </c>
    </row>
    <row r="879" spans="1:16" x14ac:dyDescent="0.3">
      <c r="A879" s="3" t="s">
        <v>5450</v>
      </c>
      <c r="B879" s="5">
        <v>44411</v>
      </c>
      <c r="C879" s="3" t="s">
        <v>5451</v>
      </c>
      <c r="D879" s="4" t="s">
        <v>6161</v>
      </c>
      <c r="E879" s="3">
        <v>3</v>
      </c>
      <c r="F879" s="3" t="str">
        <f>_xlfn.XLOOKUP(C879,customers!$A$1:$A$1001,customers!$B$1:$B$1001,,0)</f>
        <v>Zachary Tramel</v>
      </c>
      <c r="G879" s="3" t="str">
        <f>IF(_xlfn.XLOOKUP(C879,customers!$A$1:$A$1001,customers!$C$1:$C$1001,,0)=0,"", _xlfn.XLOOKUP(C879,customers!$A$1:$A$1001,customers!$C$1:$C$1001,,0))</f>
        <v>ztramelod@netlog.com</v>
      </c>
      <c r="H879" s="3" t="str">
        <f>_xlfn.XLOOKUP(C879,customers!$A$1:$A$1001,customers!$G$1:$G$1001,,0)</f>
        <v>United States</v>
      </c>
      <c r="I879" s="4" t="str">
        <f>INDEX(products!$A$1:$G$49,MATCH(orders!$D879,products!$A$1:$A$49,0),MATCH(orders!I$1,products!$A$1:$G$1,0))</f>
        <v>Lib</v>
      </c>
      <c r="J879" s="4" t="str">
        <f>INDEX(products!$A$1:$G$49,MATCH(orders!$D879,products!$A$1:$A$49,0),MATCH(orders!J$1,products!$A$1:$G$1,0))</f>
        <v>L</v>
      </c>
      <c r="K879" s="6">
        <f>INDEX(products!$A$1:$G$49,MATCH(orders!$D879,products!$A$1:$A$49,0),MATCH(orders!K$1,products!$A$1:$G$1,0))</f>
        <v>0.5</v>
      </c>
      <c r="L879" s="7">
        <f>INDEX(products!$A$1:$G$49,MATCH(orders!$D879,products!$A$1:$A$49,0),MATCH(orders!L$1,products!$A$1:$G$1,0))</f>
        <v>9.51</v>
      </c>
      <c r="M879" s="7">
        <f t="shared" si="13"/>
        <v>28.53</v>
      </c>
      <c r="N879" s="4" t="str" cm="1">
        <f t="array" ref="N879">_xlfn.IFS(I879="Rob","Robusta",I879="Exc","Excelsa",I879="Ara","Arabica",I879="Lib","Liberica")</f>
        <v>Liberica</v>
      </c>
      <c r="O879" s="4" t="str" cm="1">
        <f t="array" ref="O879">_xlfn.IFS(J879="M","Medium",J879="L","Light",J879="D","Dark")</f>
        <v>Light</v>
      </c>
      <c r="P879" s="4" t="str">
        <f>_xlfn.XLOOKUP(CoffeeOrderstable[[#This Row],[Customer ID]],customers!$A$1:$A$1001,customers!$I$1:$I$1001,,0)</f>
        <v>No</v>
      </c>
    </row>
    <row r="880" spans="1:16" x14ac:dyDescent="0.3">
      <c r="A880" s="3" t="s">
        <v>5456</v>
      </c>
      <c r="B880" s="5">
        <v>44323</v>
      </c>
      <c r="C880" s="3" t="s">
        <v>5457</v>
      </c>
      <c r="D880" s="4" t="s">
        <v>6142</v>
      </c>
      <c r="E880" s="3">
        <v>1</v>
      </c>
      <c r="F880" s="3" t="str">
        <f>_xlfn.XLOOKUP(C880,customers!$A$1:$A$1001,customers!$B$1:$B$1001,,0)</f>
        <v>Izaak Primak</v>
      </c>
      <c r="G880" s="3" t="str">
        <f>IF(_xlfn.XLOOKUP(C880,customers!$A$1:$A$1001,customers!$C$1:$C$1001,,0)=0,"", _xlfn.XLOOKUP(C880,customers!$A$1:$A$1001,customers!$C$1:$C$1001,,0))</f>
        <v/>
      </c>
      <c r="H880" s="3" t="str">
        <f>_xlfn.XLOOKUP(C880,customers!$A$1:$A$1001,customers!$G$1:$G$1001,,0)</f>
        <v>United States</v>
      </c>
      <c r="I880" s="4" t="str">
        <f>INDEX(products!$A$1:$G$49,MATCH(orders!$D880,products!$A$1:$A$49,0),MATCH(orders!I$1,products!$A$1:$G$1,0))</f>
        <v>Rob</v>
      </c>
      <c r="J880" s="4" t="str">
        <f>INDEX(products!$A$1:$G$49,MATCH(orders!$D880,products!$A$1:$A$49,0),MATCH(orders!J$1,products!$A$1:$G$1,0))</f>
        <v>L</v>
      </c>
      <c r="K880" s="6">
        <f>INDEX(products!$A$1:$G$49,MATCH(orders!$D880,products!$A$1:$A$49,0),MATCH(orders!K$1,products!$A$1:$G$1,0))</f>
        <v>2.5</v>
      </c>
      <c r="L880" s="7">
        <f>INDEX(products!$A$1:$G$49,MATCH(orders!$D880,products!$A$1:$A$49,0),MATCH(orders!L$1,products!$A$1:$G$1,0))</f>
        <v>27.484999999999996</v>
      </c>
      <c r="M880" s="7">
        <f t="shared" si="13"/>
        <v>27.484999999999996</v>
      </c>
      <c r="N880" s="4" t="str" cm="1">
        <f t="array" ref="N880">_xlfn.IFS(I880="Rob","Robusta",I880="Exc","Excelsa",I880="Ara","Arabica",I880="Lib","Liberica")</f>
        <v>Robusta</v>
      </c>
      <c r="O880" s="4" t="str" cm="1">
        <f t="array" ref="O880">_xlfn.IFS(J880="M","Medium",J880="L","Light",J880="D","Dark")</f>
        <v>Light</v>
      </c>
      <c r="P880" s="4" t="str">
        <f>_xlfn.XLOOKUP(CoffeeOrderstable[[#This Row],[Customer ID]],customers!$A$1:$A$1001,customers!$I$1:$I$1001,,0)</f>
        <v>Yes</v>
      </c>
    </row>
    <row r="881" spans="1:16" x14ac:dyDescent="0.3">
      <c r="A881" s="3" t="s">
        <v>5461</v>
      </c>
      <c r="B881" s="5">
        <v>43630</v>
      </c>
      <c r="C881" s="3" t="s">
        <v>5462</v>
      </c>
      <c r="D881" s="4" t="s">
        <v>6153</v>
      </c>
      <c r="E881" s="3">
        <v>3</v>
      </c>
      <c r="F881" s="3" t="str">
        <f>_xlfn.XLOOKUP(C881,customers!$A$1:$A$1001,customers!$B$1:$B$1001,,0)</f>
        <v>Brittani Thoresbie</v>
      </c>
      <c r="G881" s="3" t="str">
        <f>IF(_xlfn.XLOOKUP(C881,customers!$A$1:$A$1001,customers!$C$1:$C$1001,,0)=0,"", _xlfn.XLOOKUP(C881,customers!$A$1:$A$1001,customers!$C$1:$C$1001,,0))</f>
        <v/>
      </c>
      <c r="H881" s="3" t="str">
        <f>_xlfn.XLOOKUP(C881,customers!$A$1:$A$1001,customers!$G$1:$G$1001,,0)</f>
        <v>United States</v>
      </c>
      <c r="I881" s="4" t="str">
        <f>INDEX(products!$A$1:$G$49,MATCH(orders!$D881,products!$A$1:$A$49,0),MATCH(orders!I$1,products!$A$1:$G$1,0))</f>
        <v>Exc</v>
      </c>
      <c r="J881" s="4" t="str">
        <f>INDEX(products!$A$1:$G$49,MATCH(orders!$D881,products!$A$1:$A$49,0),MATCH(orders!J$1,products!$A$1:$G$1,0))</f>
        <v>D</v>
      </c>
      <c r="K881" s="6">
        <f>INDEX(products!$A$1:$G$49,MATCH(orders!$D881,products!$A$1:$A$49,0),MATCH(orders!K$1,products!$A$1:$G$1,0))</f>
        <v>0.2</v>
      </c>
      <c r="L881" s="7">
        <f>INDEX(products!$A$1:$G$49,MATCH(orders!$D881,products!$A$1:$A$49,0),MATCH(orders!L$1,products!$A$1:$G$1,0))</f>
        <v>3.645</v>
      </c>
      <c r="M881" s="7">
        <f t="shared" si="13"/>
        <v>10.935</v>
      </c>
      <c r="N881" s="4" t="str" cm="1">
        <f t="array" ref="N881">_xlfn.IFS(I881="Rob","Robusta",I881="Exc","Excelsa",I881="Ara","Arabica",I881="Lib","Liberica")</f>
        <v>Excelsa</v>
      </c>
      <c r="O881" s="4" t="str" cm="1">
        <f t="array" ref="O881">_xlfn.IFS(J881="M","Medium",J881="L","Light",J881="D","Dark")</f>
        <v>Dark</v>
      </c>
      <c r="P881" s="4" t="str">
        <f>_xlfn.XLOOKUP(CoffeeOrderstable[[#This Row],[Customer ID]],customers!$A$1:$A$1001,customers!$I$1:$I$1001,,0)</f>
        <v>No</v>
      </c>
    </row>
    <row r="882" spans="1:16" x14ac:dyDescent="0.3">
      <c r="A882" s="3" t="s">
        <v>5466</v>
      </c>
      <c r="B882" s="5">
        <v>43790</v>
      </c>
      <c r="C882" s="3" t="s">
        <v>5467</v>
      </c>
      <c r="D882" s="4" t="s">
        <v>6178</v>
      </c>
      <c r="E882" s="3">
        <v>2</v>
      </c>
      <c r="F882" s="3" t="str">
        <f>_xlfn.XLOOKUP(C882,customers!$A$1:$A$1001,customers!$B$1:$B$1001,,0)</f>
        <v>Constanta Hatfull</v>
      </c>
      <c r="G882" s="3" t="str">
        <f>IF(_xlfn.XLOOKUP(C882,customers!$A$1:$A$1001,customers!$C$1:$C$1001,,0)=0,"", _xlfn.XLOOKUP(C882,customers!$A$1:$A$1001,customers!$C$1:$C$1001,,0))</f>
        <v>chatfullog@ebay.com</v>
      </c>
      <c r="H882" s="3" t="str">
        <f>_xlfn.XLOOKUP(C882,customers!$A$1:$A$1001,customers!$G$1:$G$1001,,0)</f>
        <v>United States</v>
      </c>
      <c r="I882" s="4" t="str">
        <f>INDEX(products!$A$1:$G$49,MATCH(orders!$D882,products!$A$1:$A$49,0),MATCH(orders!I$1,products!$A$1:$G$1,0))</f>
        <v>Rob</v>
      </c>
      <c r="J882" s="4" t="str">
        <f>INDEX(products!$A$1:$G$49,MATCH(orders!$D882,products!$A$1:$A$49,0),MATCH(orders!J$1,products!$A$1:$G$1,0))</f>
        <v>L</v>
      </c>
      <c r="K882" s="6">
        <f>INDEX(products!$A$1:$G$49,MATCH(orders!$D882,products!$A$1:$A$49,0),MATCH(orders!K$1,products!$A$1:$G$1,0))</f>
        <v>0.2</v>
      </c>
      <c r="L882" s="7">
        <f>INDEX(products!$A$1:$G$49,MATCH(orders!$D882,products!$A$1:$A$49,0),MATCH(orders!L$1,products!$A$1:$G$1,0))</f>
        <v>3.5849999999999995</v>
      </c>
      <c r="M882" s="7">
        <f t="shared" si="13"/>
        <v>7.169999999999999</v>
      </c>
      <c r="N882" s="4" t="str" cm="1">
        <f t="array" ref="N882">_xlfn.IFS(I882="Rob","Robusta",I882="Exc","Excelsa",I882="Ara","Arabica",I882="Lib","Liberica")</f>
        <v>Robusta</v>
      </c>
      <c r="O882" s="4" t="str" cm="1">
        <f t="array" ref="O882">_xlfn.IFS(J882="M","Medium",J882="L","Light",J882="D","Dark")</f>
        <v>Light</v>
      </c>
      <c r="P882" s="4" t="str">
        <f>_xlfn.XLOOKUP(CoffeeOrderstable[[#This Row],[Customer ID]],customers!$A$1:$A$1001,customers!$I$1:$I$1001,,0)</f>
        <v>No</v>
      </c>
    </row>
    <row r="883" spans="1:16" x14ac:dyDescent="0.3">
      <c r="A883" s="3" t="s">
        <v>5472</v>
      </c>
      <c r="B883" s="5">
        <v>44286</v>
      </c>
      <c r="C883" s="3" t="s">
        <v>5473</v>
      </c>
      <c r="D883" s="4" t="s">
        <v>6167</v>
      </c>
      <c r="E883" s="3">
        <v>6</v>
      </c>
      <c r="F883" s="3" t="str">
        <f>_xlfn.XLOOKUP(C883,customers!$A$1:$A$1001,customers!$B$1:$B$1001,,0)</f>
        <v>Bobbe Castagneto</v>
      </c>
      <c r="G883" s="3" t="str">
        <f>IF(_xlfn.XLOOKUP(C883,customers!$A$1:$A$1001,customers!$C$1:$C$1001,,0)=0,"", _xlfn.XLOOKUP(C883,customers!$A$1:$A$1001,customers!$C$1:$C$1001,,0))</f>
        <v/>
      </c>
      <c r="H883" s="3" t="str">
        <f>_xlfn.XLOOKUP(C883,customers!$A$1:$A$1001,customers!$G$1:$G$1001,,0)</f>
        <v>United States</v>
      </c>
      <c r="I883" s="4" t="str">
        <f>INDEX(products!$A$1:$G$49,MATCH(orders!$D883,products!$A$1:$A$49,0),MATCH(orders!I$1,products!$A$1:$G$1,0))</f>
        <v>Ara</v>
      </c>
      <c r="J883" s="4" t="str">
        <f>INDEX(products!$A$1:$G$49,MATCH(orders!$D883,products!$A$1:$A$49,0),MATCH(orders!J$1,products!$A$1:$G$1,0))</f>
        <v>L</v>
      </c>
      <c r="K883" s="6">
        <f>INDEX(products!$A$1:$G$49,MATCH(orders!$D883,products!$A$1:$A$49,0),MATCH(orders!K$1,products!$A$1:$G$1,0))</f>
        <v>0.2</v>
      </c>
      <c r="L883" s="7">
        <f>INDEX(products!$A$1:$G$49,MATCH(orders!$D883,products!$A$1:$A$49,0),MATCH(orders!L$1,products!$A$1:$G$1,0))</f>
        <v>3.8849999999999998</v>
      </c>
      <c r="M883" s="7">
        <f t="shared" si="13"/>
        <v>23.31</v>
      </c>
      <c r="N883" s="4" t="str" cm="1">
        <f t="array" ref="N883">_xlfn.IFS(I883="Rob","Robusta",I883="Exc","Excelsa",I883="Ara","Arabica",I883="Lib","Liberica")</f>
        <v>Arabica</v>
      </c>
      <c r="O883" s="4" t="str" cm="1">
        <f t="array" ref="O883">_xlfn.IFS(J883="M","Medium",J883="L","Light",J883="D","Dark")</f>
        <v>Light</v>
      </c>
      <c r="P883" s="4" t="str">
        <f>_xlfn.XLOOKUP(CoffeeOrderstable[[#This Row],[Customer ID]],customers!$A$1:$A$1001,customers!$I$1:$I$1001,,0)</f>
        <v>Yes</v>
      </c>
    </row>
    <row r="884" spans="1:16" x14ac:dyDescent="0.3">
      <c r="A884" s="3" t="s">
        <v>5477</v>
      </c>
      <c r="B884" s="5">
        <v>43647</v>
      </c>
      <c r="C884" s="3" t="s">
        <v>5526</v>
      </c>
      <c r="D884" s="4" t="s">
        <v>6168</v>
      </c>
      <c r="E884" s="3">
        <v>5</v>
      </c>
      <c r="F884" s="3" t="str">
        <f>_xlfn.XLOOKUP(C884,customers!$A$1:$A$1001,customers!$B$1:$B$1001,,0)</f>
        <v>Kippie Marrison</v>
      </c>
      <c r="G884" s="3" t="str">
        <f>IF(_xlfn.XLOOKUP(C884,customers!$A$1:$A$1001,customers!$C$1:$C$1001,,0)=0,"", _xlfn.XLOOKUP(C884,customers!$A$1:$A$1001,customers!$C$1:$C$1001,,0))</f>
        <v>kmarrisonoq@dropbox.com</v>
      </c>
      <c r="H884" s="3" t="str">
        <f>_xlfn.XLOOKUP(C884,customers!$A$1:$A$1001,customers!$G$1:$G$1001,,0)</f>
        <v>United States</v>
      </c>
      <c r="I884" s="4" t="str">
        <f>INDEX(products!$A$1:$G$49,MATCH(orders!$D884,products!$A$1:$A$49,0),MATCH(orders!I$1,products!$A$1:$G$1,0))</f>
        <v>Ara</v>
      </c>
      <c r="J884" s="4" t="str">
        <f>INDEX(products!$A$1:$G$49,MATCH(orders!$D884,products!$A$1:$A$49,0),MATCH(orders!J$1,products!$A$1:$G$1,0))</f>
        <v>D</v>
      </c>
      <c r="K884" s="6">
        <f>INDEX(products!$A$1:$G$49,MATCH(orders!$D884,products!$A$1:$A$49,0),MATCH(orders!K$1,products!$A$1:$G$1,0))</f>
        <v>2.5</v>
      </c>
      <c r="L884" s="7">
        <f>INDEX(products!$A$1:$G$49,MATCH(orders!$D884,products!$A$1:$A$49,0),MATCH(orders!L$1,products!$A$1:$G$1,0))</f>
        <v>22.884999999999998</v>
      </c>
      <c r="M884" s="7">
        <f t="shared" si="13"/>
        <v>114.42499999999998</v>
      </c>
      <c r="N884" s="4" t="str" cm="1">
        <f t="array" ref="N884">_xlfn.IFS(I884="Rob","Robusta",I884="Exc","Excelsa",I884="Ara","Arabica",I884="Lib","Liberica")</f>
        <v>Arabica</v>
      </c>
      <c r="O884" s="4" t="str" cm="1">
        <f t="array" ref="O884">_xlfn.IFS(J884="M","Medium",J884="L","Light",J884="D","Dark")</f>
        <v>Dark</v>
      </c>
      <c r="P884" s="4" t="str">
        <f>_xlfn.XLOOKUP(CoffeeOrderstable[[#This Row],[Customer ID]],customers!$A$1:$A$1001,customers!$I$1:$I$1001,,0)</f>
        <v>Yes</v>
      </c>
    </row>
    <row r="885" spans="1:16" x14ac:dyDescent="0.3">
      <c r="A885" s="3" t="s">
        <v>5483</v>
      </c>
      <c r="B885" s="5">
        <v>43956</v>
      </c>
      <c r="C885" s="3" t="s">
        <v>5484</v>
      </c>
      <c r="D885" s="4" t="s">
        <v>6175</v>
      </c>
      <c r="E885" s="3">
        <v>3</v>
      </c>
      <c r="F885" s="3" t="str">
        <f>_xlfn.XLOOKUP(C885,customers!$A$1:$A$1001,customers!$B$1:$B$1001,,0)</f>
        <v>Lindon Agnolo</v>
      </c>
      <c r="G885" s="3" t="str">
        <f>IF(_xlfn.XLOOKUP(C885,customers!$A$1:$A$1001,customers!$C$1:$C$1001,,0)=0,"", _xlfn.XLOOKUP(C885,customers!$A$1:$A$1001,customers!$C$1:$C$1001,,0))</f>
        <v>lagnolooj@pinterest.com</v>
      </c>
      <c r="H885" s="3" t="str">
        <f>_xlfn.XLOOKUP(C885,customers!$A$1:$A$1001,customers!$G$1:$G$1001,,0)</f>
        <v>United States</v>
      </c>
      <c r="I885" s="4" t="str">
        <f>INDEX(products!$A$1:$G$49,MATCH(orders!$D885,products!$A$1:$A$49,0),MATCH(orders!I$1,products!$A$1:$G$1,0))</f>
        <v>Ara</v>
      </c>
      <c r="J885" s="4" t="str">
        <f>INDEX(products!$A$1:$G$49,MATCH(orders!$D885,products!$A$1:$A$49,0),MATCH(orders!J$1,products!$A$1:$G$1,0))</f>
        <v>M</v>
      </c>
      <c r="K885" s="6">
        <f>INDEX(products!$A$1:$G$49,MATCH(orders!$D885,products!$A$1:$A$49,0),MATCH(orders!K$1,products!$A$1:$G$1,0))</f>
        <v>2.5</v>
      </c>
      <c r="L885" s="7">
        <f>INDEX(products!$A$1:$G$49,MATCH(orders!$D885,products!$A$1:$A$49,0),MATCH(orders!L$1,products!$A$1:$G$1,0))</f>
        <v>25.874999999999996</v>
      </c>
      <c r="M885" s="7">
        <f t="shared" si="13"/>
        <v>77.624999999999986</v>
      </c>
      <c r="N885" s="4" t="str" cm="1">
        <f t="array" ref="N885">_xlfn.IFS(I885="Rob","Robusta",I885="Exc","Excelsa",I885="Ara","Arabica",I885="Lib","Liberica")</f>
        <v>Arabica</v>
      </c>
      <c r="O885" s="4" t="str" cm="1">
        <f t="array" ref="O885">_xlfn.IFS(J885="M","Medium",J885="L","Light",J885="D","Dark")</f>
        <v>Medium</v>
      </c>
      <c r="P885" s="4" t="str">
        <f>_xlfn.XLOOKUP(CoffeeOrderstable[[#This Row],[Customer ID]],customers!$A$1:$A$1001,customers!$I$1:$I$1001,,0)</f>
        <v>Yes</v>
      </c>
    </row>
    <row r="886" spans="1:16" x14ac:dyDescent="0.3">
      <c r="A886" s="3" t="s">
        <v>5489</v>
      </c>
      <c r="B886" s="5">
        <v>43941</v>
      </c>
      <c r="C886" s="3" t="s">
        <v>5490</v>
      </c>
      <c r="D886" s="4" t="s">
        <v>6172</v>
      </c>
      <c r="E886" s="3">
        <v>1</v>
      </c>
      <c r="F886" s="3" t="str">
        <f>_xlfn.XLOOKUP(C886,customers!$A$1:$A$1001,customers!$B$1:$B$1001,,0)</f>
        <v>Delainey Kiddy</v>
      </c>
      <c r="G886" s="3" t="str">
        <f>IF(_xlfn.XLOOKUP(C886,customers!$A$1:$A$1001,customers!$C$1:$C$1001,,0)=0,"", _xlfn.XLOOKUP(C886,customers!$A$1:$A$1001,customers!$C$1:$C$1001,,0))</f>
        <v>dkiddyok@fda.gov</v>
      </c>
      <c r="H886" s="3" t="str">
        <f>_xlfn.XLOOKUP(C886,customers!$A$1:$A$1001,customers!$G$1:$G$1001,,0)</f>
        <v>United States</v>
      </c>
      <c r="I886" s="4" t="str">
        <f>INDEX(products!$A$1:$G$49,MATCH(orders!$D886,products!$A$1:$A$49,0),MATCH(orders!I$1,products!$A$1:$G$1,0))</f>
        <v>Rob</v>
      </c>
      <c r="J886" s="4" t="str">
        <f>INDEX(products!$A$1:$G$49,MATCH(orders!$D886,products!$A$1:$A$49,0),MATCH(orders!J$1,products!$A$1:$G$1,0))</f>
        <v>D</v>
      </c>
      <c r="K886" s="6">
        <f>INDEX(products!$A$1:$G$49,MATCH(orders!$D886,products!$A$1:$A$49,0),MATCH(orders!K$1,products!$A$1:$G$1,0))</f>
        <v>0.5</v>
      </c>
      <c r="L886" s="7">
        <f>INDEX(products!$A$1:$G$49,MATCH(orders!$D886,products!$A$1:$A$49,0),MATCH(orders!L$1,products!$A$1:$G$1,0))</f>
        <v>5.3699999999999992</v>
      </c>
      <c r="M886" s="7">
        <f t="shared" si="13"/>
        <v>5.3699999999999992</v>
      </c>
      <c r="N886" s="4" t="str" cm="1">
        <f t="array" ref="N886">_xlfn.IFS(I886="Rob","Robusta",I886="Exc","Excelsa",I886="Ara","Arabica",I886="Lib","Liberica")</f>
        <v>Robusta</v>
      </c>
      <c r="O886" s="4" t="str" cm="1">
        <f t="array" ref="O886">_xlfn.IFS(J886="M","Medium",J886="L","Light",J886="D","Dark")</f>
        <v>Dark</v>
      </c>
      <c r="P886" s="4" t="str">
        <f>_xlfn.XLOOKUP(CoffeeOrderstable[[#This Row],[Customer ID]],customers!$A$1:$A$1001,customers!$I$1:$I$1001,,0)</f>
        <v>Yes</v>
      </c>
    </row>
    <row r="887" spans="1:16" x14ac:dyDescent="0.3">
      <c r="A887" s="3" t="s">
        <v>5495</v>
      </c>
      <c r="B887" s="5">
        <v>43664</v>
      </c>
      <c r="C887" s="3" t="s">
        <v>5496</v>
      </c>
      <c r="D887" s="4" t="s">
        <v>6149</v>
      </c>
      <c r="E887" s="3">
        <v>6</v>
      </c>
      <c r="F887" s="3" t="str">
        <f>_xlfn.XLOOKUP(C887,customers!$A$1:$A$1001,customers!$B$1:$B$1001,,0)</f>
        <v>Helli Petroulis</v>
      </c>
      <c r="G887" s="3" t="str">
        <f>IF(_xlfn.XLOOKUP(C887,customers!$A$1:$A$1001,customers!$C$1:$C$1001,,0)=0,"", _xlfn.XLOOKUP(C887,customers!$A$1:$A$1001,customers!$C$1:$C$1001,,0))</f>
        <v>hpetroulisol@state.tx.us</v>
      </c>
      <c r="H887" s="3" t="str">
        <f>_xlfn.XLOOKUP(C887,customers!$A$1:$A$1001,customers!$G$1:$G$1001,,0)</f>
        <v>Ireland</v>
      </c>
      <c r="I887" s="4" t="str">
        <f>INDEX(products!$A$1:$G$49,MATCH(orders!$D887,products!$A$1:$A$49,0),MATCH(orders!I$1,products!$A$1:$G$1,0))</f>
        <v>Rob</v>
      </c>
      <c r="J887" s="4" t="str">
        <f>INDEX(products!$A$1:$G$49,MATCH(orders!$D887,products!$A$1:$A$49,0),MATCH(orders!J$1,products!$A$1:$G$1,0))</f>
        <v>D</v>
      </c>
      <c r="K887" s="6">
        <f>INDEX(products!$A$1:$G$49,MATCH(orders!$D887,products!$A$1:$A$49,0),MATCH(orders!K$1,products!$A$1:$G$1,0))</f>
        <v>2.5</v>
      </c>
      <c r="L887" s="7">
        <f>INDEX(products!$A$1:$G$49,MATCH(orders!$D887,products!$A$1:$A$49,0),MATCH(orders!L$1,products!$A$1:$G$1,0))</f>
        <v>20.584999999999997</v>
      </c>
      <c r="M887" s="7">
        <f t="shared" si="13"/>
        <v>123.50999999999999</v>
      </c>
      <c r="N887" s="4" t="str" cm="1">
        <f t="array" ref="N887">_xlfn.IFS(I887="Rob","Robusta",I887="Exc","Excelsa",I887="Ara","Arabica",I887="Lib","Liberica")</f>
        <v>Robusta</v>
      </c>
      <c r="O887" s="4" t="str" cm="1">
        <f t="array" ref="O887">_xlfn.IFS(J887="M","Medium",J887="L","Light",J887="D","Dark")</f>
        <v>Dark</v>
      </c>
      <c r="P887" s="4" t="str">
        <f>_xlfn.XLOOKUP(CoffeeOrderstable[[#This Row],[Customer ID]],customers!$A$1:$A$1001,customers!$I$1:$I$1001,,0)</f>
        <v>No</v>
      </c>
    </row>
    <row r="888" spans="1:16" x14ac:dyDescent="0.3">
      <c r="A888" s="3" t="s">
        <v>5501</v>
      </c>
      <c r="B888" s="5">
        <v>44518</v>
      </c>
      <c r="C888" s="3" t="s">
        <v>5502</v>
      </c>
      <c r="D888" s="4" t="s">
        <v>6160</v>
      </c>
      <c r="E888" s="3">
        <v>2</v>
      </c>
      <c r="F888" s="3" t="str">
        <f>_xlfn.XLOOKUP(C888,customers!$A$1:$A$1001,customers!$B$1:$B$1001,,0)</f>
        <v>Marty Scholl</v>
      </c>
      <c r="G888" s="3" t="str">
        <f>IF(_xlfn.XLOOKUP(C888,customers!$A$1:$A$1001,customers!$C$1:$C$1001,,0)=0,"", _xlfn.XLOOKUP(C888,customers!$A$1:$A$1001,customers!$C$1:$C$1001,,0))</f>
        <v>mschollom@taobao.com</v>
      </c>
      <c r="H888" s="3" t="str">
        <f>_xlfn.XLOOKUP(C888,customers!$A$1:$A$1001,customers!$G$1:$G$1001,,0)</f>
        <v>United States</v>
      </c>
      <c r="I888" s="4" t="str">
        <f>INDEX(products!$A$1:$G$49,MATCH(orders!$D888,products!$A$1:$A$49,0),MATCH(orders!I$1,products!$A$1:$G$1,0))</f>
        <v>Lib</v>
      </c>
      <c r="J888" s="4" t="str">
        <f>INDEX(products!$A$1:$G$49,MATCH(orders!$D888,products!$A$1:$A$49,0),MATCH(orders!J$1,products!$A$1:$G$1,0))</f>
        <v>M</v>
      </c>
      <c r="K888" s="6">
        <f>INDEX(products!$A$1:$G$49,MATCH(orders!$D888,products!$A$1:$A$49,0),MATCH(orders!K$1,products!$A$1:$G$1,0))</f>
        <v>0.5</v>
      </c>
      <c r="L888" s="7">
        <f>INDEX(products!$A$1:$G$49,MATCH(orders!$D888,products!$A$1:$A$49,0),MATCH(orders!L$1,products!$A$1:$G$1,0))</f>
        <v>8.73</v>
      </c>
      <c r="M888" s="7">
        <f t="shared" si="13"/>
        <v>17.46</v>
      </c>
      <c r="N888" s="4" t="str" cm="1">
        <f t="array" ref="N888">_xlfn.IFS(I888="Rob","Robusta",I888="Exc","Excelsa",I888="Ara","Arabica",I888="Lib","Liberica")</f>
        <v>Liberica</v>
      </c>
      <c r="O888" s="4" t="str" cm="1">
        <f t="array" ref="O888">_xlfn.IFS(J888="M","Medium",J888="L","Light",J888="D","Dark")</f>
        <v>Medium</v>
      </c>
      <c r="P888" s="4" t="str">
        <f>_xlfn.XLOOKUP(CoffeeOrderstable[[#This Row],[Customer ID]],customers!$A$1:$A$1001,customers!$I$1:$I$1001,,0)</f>
        <v>No</v>
      </c>
    </row>
    <row r="889" spans="1:16" x14ac:dyDescent="0.3">
      <c r="A889" s="3" t="s">
        <v>5507</v>
      </c>
      <c r="B889" s="5">
        <v>44002</v>
      </c>
      <c r="C889" s="3" t="s">
        <v>5508</v>
      </c>
      <c r="D889" s="4" t="s">
        <v>6184</v>
      </c>
      <c r="E889" s="3">
        <v>3</v>
      </c>
      <c r="F889" s="3" t="str">
        <f>_xlfn.XLOOKUP(C889,customers!$A$1:$A$1001,customers!$B$1:$B$1001,,0)</f>
        <v>Kienan Ferson</v>
      </c>
      <c r="G889" s="3" t="str">
        <f>IF(_xlfn.XLOOKUP(C889,customers!$A$1:$A$1001,customers!$C$1:$C$1001,,0)=0,"", _xlfn.XLOOKUP(C889,customers!$A$1:$A$1001,customers!$C$1:$C$1001,,0))</f>
        <v>kfersonon@g.co</v>
      </c>
      <c r="H889" s="3" t="str">
        <f>_xlfn.XLOOKUP(C889,customers!$A$1:$A$1001,customers!$G$1:$G$1001,,0)</f>
        <v>United States</v>
      </c>
      <c r="I889" s="4" t="str">
        <f>INDEX(products!$A$1:$G$49,MATCH(orders!$D889,products!$A$1:$A$49,0),MATCH(orders!I$1,products!$A$1:$G$1,0))</f>
        <v>Exc</v>
      </c>
      <c r="J889" s="4" t="str">
        <f>INDEX(products!$A$1:$G$49,MATCH(orders!$D889,products!$A$1:$A$49,0),MATCH(orders!J$1,products!$A$1:$G$1,0))</f>
        <v>L</v>
      </c>
      <c r="K889" s="6">
        <f>INDEX(products!$A$1:$G$49,MATCH(orders!$D889,products!$A$1:$A$49,0),MATCH(orders!K$1,products!$A$1:$G$1,0))</f>
        <v>0.2</v>
      </c>
      <c r="L889" s="7">
        <f>INDEX(products!$A$1:$G$49,MATCH(orders!$D889,products!$A$1:$A$49,0),MATCH(orders!L$1,products!$A$1:$G$1,0))</f>
        <v>4.4550000000000001</v>
      </c>
      <c r="M889" s="7">
        <f t="shared" si="13"/>
        <v>13.365</v>
      </c>
      <c r="N889" s="4" t="str" cm="1">
        <f t="array" ref="N889">_xlfn.IFS(I889="Rob","Robusta",I889="Exc","Excelsa",I889="Ara","Arabica",I889="Lib","Liberica")</f>
        <v>Excelsa</v>
      </c>
      <c r="O889" s="4" t="str" cm="1">
        <f t="array" ref="O889">_xlfn.IFS(J889="M","Medium",J889="L","Light",J889="D","Dark")</f>
        <v>Light</v>
      </c>
      <c r="P889" s="4" t="str">
        <f>_xlfn.XLOOKUP(CoffeeOrderstable[[#This Row],[Customer ID]],customers!$A$1:$A$1001,customers!$I$1:$I$1001,,0)</f>
        <v>No</v>
      </c>
    </row>
    <row r="890" spans="1:16" x14ac:dyDescent="0.3">
      <c r="A890" s="3" t="s">
        <v>5513</v>
      </c>
      <c r="B890" s="5">
        <v>44292</v>
      </c>
      <c r="C890" s="3" t="s">
        <v>5514</v>
      </c>
      <c r="D890" s="4" t="s">
        <v>6167</v>
      </c>
      <c r="E890" s="3">
        <v>2</v>
      </c>
      <c r="F890" s="3" t="str">
        <f>_xlfn.XLOOKUP(C890,customers!$A$1:$A$1001,customers!$B$1:$B$1001,,0)</f>
        <v>Blake Kelloway</v>
      </c>
      <c r="G890" s="3" t="str">
        <f>IF(_xlfn.XLOOKUP(C890,customers!$A$1:$A$1001,customers!$C$1:$C$1001,,0)=0,"", _xlfn.XLOOKUP(C890,customers!$A$1:$A$1001,customers!$C$1:$C$1001,,0))</f>
        <v>bkellowayoo@omniture.com</v>
      </c>
      <c r="H890" s="3" t="str">
        <f>_xlfn.XLOOKUP(C890,customers!$A$1:$A$1001,customers!$G$1:$G$1001,,0)</f>
        <v>United States</v>
      </c>
      <c r="I890" s="4" t="str">
        <f>INDEX(products!$A$1:$G$49,MATCH(orders!$D890,products!$A$1:$A$49,0),MATCH(orders!I$1,products!$A$1:$G$1,0))</f>
        <v>Ara</v>
      </c>
      <c r="J890" s="4" t="str">
        <f>INDEX(products!$A$1:$G$49,MATCH(orders!$D890,products!$A$1:$A$49,0),MATCH(orders!J$1,products!$A$1:$G$1,0))</f>
        <v>L</v>
      </c>
      <c r="K890" s="6">
        <f>INDEX(products!$A$1:$G$49,MATCH(orders!$D890,products!$A$1:$A$49,0),MATCH(orders!K$1,products!$A$1:$G$1,0))</f>
        <v>0.2</v>
      </c>
      <c r="L890" s="7">
        <f>INDEX(products!$A$1:$G$49,MATCH(orders!$D890,products!$A$1:$A$49,0),MATCH(orders!L$1,products!$A$1:$G$1,0))</f>
        <v>3.8849999999999998</v>
      </c>
      <c r="M890" s="7">
        <f t="shared" si="13"/>
        <v>7.77</v>
      </c>
      <c r="N890" s="4" t="str" cm="1">
        <f t="array" ref="N890">_xlfn.IFS(I890="Rob","Robusta",I890="Exc","Excelsa",I890="Ara","Arabica",I890="Lib","Liberica")</f>
        <v>Arabica</v>
      </c>
      <c r="O890" s="4" t="str" cm="1">
        <f t="array" ref="O890">_xlfn.IFS(J890="M","Medium",J890="L","Light",J890="D","Dark")</f>
        <v>Light</v>
      </c>
      <c r="P890" s="4" t="str">
        <f>_xlfn.XLOOKUP(CoffeeOrderstable[[#This Row],[Customer ID]],customers!$A$1:$A$1001,customers!$I$1:$I$1001,,0)</f>
        <v>Yes</v>
      </c>
    </row>
    <row r="891" spans="1:16" x14ac:dyDescent="0.3">
      <c r="A891" s="3" t="s">
        <v>5519</v>
      </c>
      <c r="B891" s="5">
        <v>43633</v>
      </c>
      <c r="C891" s="3" t="s">
        <v>5520</v>
      </c>
      <c r="D891" s="4" t="s">
        <v>6163</v>
      </c>
      <c r="E891" s="3">
        <v>1</v>
      </c>
      <c r="F891" s="3" t="str">
        <f>_xlfn.XLOOKUP(C891,customers!$A$1:$A$1001,customers!$B$1:$B$1001,,0)</f>
        <v>Scarlett Oliffe</v>
      </c>
      <c r="G891" s="3" t="str">
        <f>IF(_xlfn.XLOOKUP(C891,customers!$A$1:$A$1001,customers!$C$1:$C$1001,,0)=0,"", _xlfn.XLOOKUP(C891,customers!$A$1:$A$1001,customers!$C$1:$C$1001,,0))</f>
        <v>soliffeop@yellowbook.com</v>
      </c>
      <c r="H891" s="3" t="str">
        <f>_xlfn.XLOOKUP(C891,customers!$A$1:$A$1001,customers!$G$1:$G$1001,,0)</f>
        <v>United States</v>
      </c>
      <c r="I891" s="4" t="str">
        <f>INDEX(products!$A$1:$G$49,MATCH(orders!$D891,products!$A$1:$A$49,0),MATCH(orders!I$1,products!$A$1:$G$1,0))</f>
        <v>Rob</v>
      </c>
      <c r="J891" s="4" t="str">
        <f>INDEX(products!$A$1:$G$49,MATCH(orders!$D891,products!$A$1:$A$49,0),MATCH(orders!J$1,products!$A$1:$G$1,0))</f>
        <v>D</v>
      </c>
      <c r="K891" s="6">
        <f>INDEX(products!$A$1:$G$49,MATCH(orders!$D891,products!$A$1:$A$49,0),MATCH(orders!K$1,products!$A$1:$G$1,0))</f>
        <v>0.2</v>
      </c>
      <c r="L891" s="7">
        <f>INDEX(products!$A$1:$G$49,MATCH(orders!$D891,products!$A$1:$A$49,0),MATCH(orders!L$1,products!$A$1:$G$1,0))</f>
        <v>2.6849999999999996</v>
      </c>
      <c r="M891" s="7">
        <f t="shared" si="13"/>
        <v>2.6849999999999996</v>
      </c>
      <c r="N891" s="4" t="str" cm="1">
        <f t="array" ref="N891">_xlfn.IFS(I891="Rob","Robusta",I891="Exc","Excelsa",I891="Ara","Arabica",I891="Lib","Liberica")</f>
        <v>Robusta</v>
      </c>
      <c r="O891" s="4" t="str" cm="1">
        <f t="array" ref="O891">_xlfn.IFS(J891="M","Medium",J891="L","Light",J891="D","Dark")</f>
        <v>Dark</v>
      </c>
      <c r="P891" s="4" t="str">
        <f>_xlfn.XLOOKUP(CoffeeOrderstable[[#This Row],[Customer ID]],customers!$A$1:$A$1001,customers!$I$1:$I$1001,,0)</f>
        <v>Yes</v>
      </c>
    </row>
    <row r="892" spans="1:16" x14ac:dyDescent="0.3">
      <c r="A892" s="3" t="s">
        <v>5525</v>
      </c>
      <c r="B892" s="5">
        <v>44646</v>
      </c>
      <c r="C892" s="3" t="s">
        <v>5526</v>
      </c>
      <c r="D892" s="4" t="s">
        <v>6149</v>
      </c>
      <c r="E892" s="3">
        <v>1</v>
      </c>
      <c r="F892" s="3" t="str">
        <f>_xlfn.XLOOKUP(C892,customers!$A$1:$A$1001,customers!$B$1:$B$1001,,0)</f>
        <v>Kippie Marrison</v>
      </c>
      <c r="G892" s="3" t="str">
        <f>IF(_xlfn.XLOOKUP(C892,customers!$A$1:$A$1001,customers!$C$1:$C$1001,,0)=0,"", _xlfn.XLOOKUP(C892,customers!$A$1:$A$1001,customers!$C$1:$C$1001,,0))</f>
        <v>kmarrisonoq@dropbox.com</v>
      </c>
      <c r="H892" s="3" t="str">
        <f>_xlfn.XLOOKUP(C892,customers!$A$1:$A$1001,customers!$G$1:$G$1001,,0)</f>
        <v>United States</v>
      </c>
      <c r="I892" s="4" t="str">
        <f>INDEX(products!$A$1:$G$49,MATCH(orders!$D892,products!$A$1:$A$49,0),MATCH(orders!I$1,products!$A$1:$G$1,0))</f>
        <v>Rob</v>
      </c>
      <c r="J892" s="4" t="str">
        <f>INDEX(products!$A$1:$G$49,MATCH(orders!$D892,products!$A$1:$A$49,0),MATCH(orders!J$1,products!$A$1:$G$1,0))</f>
        <v>D</v>
      </c>
      <c r="K892" s="6">
        <f>INDEX(products!$A$1:$G$49,MATCH(orders!$D892,products!$A$1:$A$49,0),MATCH(orders!K$1,products!$A$1:$G$1,0))</f>
        <v>2.5</v>
      </c>
      <c r="L892" s="7">
        <f>INDEX(products!$A$1:$G$49,MATCH(orders!$D892,products!$A$1:$A$49,0),MATCH(orders!L$1,products!$A$1:$G$1,0))</f>
        <v>20.584999999999997</v>
      </c>
      <c r="M892" s="7">
        <f t="shared" si="13"/>
        <v>20.584999999999997</v>
      </c>
      <c r="N892" s="4" t="str" cm="1">
        <f t="array" ref="N892">_xlfn.IFS(I892="Rob","Robusta",I892="Exc","Excelsa",I892="Ara","Arabica",I892="Lib","Liberica")</f>
        <v>Robusta</v>
      </c>
      <c r="O892" s="4" t="str" cm="1">
        <f t="array" ref="O892">_xlfn.IFS(J892="M","Medium",J892="L","Light",J892="D","Dark")</f>
        <v>Dark</v>
      </c>
      <c r="P892" s="4" t="str">
        <f>_xlfn.XLOOKUP(CoffeeOrderstable[[#This Row],[Customer ID]],customers!$A$1:$A$1001,customers!$I$1:$I$1001,,0)</f>
        <v>Yes</v>
      </c>
    </row>
    <row r="893" spans="1:16" x14ac:dyDescent="0.3">
      <c r="A893" s="3" t="s">
        <v>5531</v>
      </c>
      <c r="B893" s="5">
        <v>44469</v>
      </c>
      <c r="C893" s="3" t="s">
        <v>5532</v>
      </c>
      <c r="D893" s="4" t="s">
        <v>6168</v>
      </c>
      <c r="E893" s="3">
        <v>5</v>
      </c>
      <c r="F893" s="3" t="str">
        <f>_xlfn.XLOOKUP(C893,customers!$A$1:$A$1001,customers!$B$1:$B$1001,,0)</f>
        <v>Celestia Dolohunty</v>
      </c>
      <c r="G893" s="3" t="str">
        <f>IF(_xlfn.XLOOKUP(C893,customers!$A$1:$A$1001,customers!$C$1:$C$1001,,0)=0,"", _xlfn.XLOOKUP(C893,customers!$A$1:$A$1001,customers!$C$1:$C$1001,,0))</f>
        <v>cdolohuntyor@dailymail.co.uk</v>
      </c>
      <c r="H893" s="3" t="str">
        <f>_xlfn.XLOOKUP(C893,customers!$A$1:$A$1001,customers!$G$1:$G$1001,,0)</f>
        <v>United States</v>
      </c>
      <c r="I893" s="4" t="str">
        <f>INDEX(products!$A$1:$G$49,MATCH(orders!$D893,products!$A$1:$A$49,0),MATCH(orders!I$1,products!$A$1:$G$1,0))</f>
        <v>Ara</v>
      </c>
      <c r="J893" s="4" t="str">
        <f>INDEX(products!$A$1:$G$49,MATCH(orders!$D893,products!$A$1:$A$49,0),MATCH(orders!J$1,products!$A$1:$G$1,0))</f>
        <v>D</v>
      </c>
      <c r="K893" s="6">
        <f>INDEX(products!$A$1:$G$49,MATCH(orders!$D893,products!$A$1:$A$49,0),MATCH(orders!K$1,products!$A$1:$G$1,0))</f>
        <v>2.5</v>
      </c>
      <c r="L893" s="7">
        <f>INDEX(products!$A$1:$G$49,MATCH(orders!$D893,products!$A$1:$A$49,0),MATCH(orders!L$1,products!$A$1:$G$1,0))</f>
        <v>22.884999999999998</v>
      </c>
      <c r="M893" s="7">
        <f t="shared" si="13"/>
        <v>114.42499999999998</v>
      </c>
      <c r="N893" s="4" t="str" cm="1">
        <f t="array" ref="N893">_xlfn.IFS(I893="Rob","Robusta",I893="Exc","Excelsa",I893="Ara","Arabica",I893="Lib","Liberica")</f>
        <v>Arabica</v>
      </c>
      <c r="O893" s="4" t="str" cm="1">
        <f t="array" ref="O893">_xlfn.IFS(J893="M","Medium",J893="L","Light",J893="D","Dark")</f>
        <v>Dark</v>
      </c>
      <c r="P893" s="4" t="str">
        <f>_xlfn.XLOOKUP(CoffeeOrderstable[[#This Row],[Customer ID]],customers!$A$1:$A$1001,customers!$I$1:$I$1001,,0)</f>
        <v>Yes</v>
      </c>
    </row>
    <row r="894" spans="1:16" x14ac:dyDescent="0.3">
      <c r="A894" s="3" t="s">
        <v>5537</v>
      </c>
      <c r="B894" s="5">
        <v>43635</v>
      </c>
      <c r="C894" s="3" t="s">
        <v>5538</v>
      </c>
      <c r="D894" s="4" t="s">
        <v>6156</v>
      </c>
      <c r="E894" s="3">
        <v>5</v>
      </c>
      <c r="F894" s="3" t="str">
        <f>_xlfn.XLOOKUP(C894,customers!$A$1:$A$1001,customers!$B$1:$B$1001,,0)</f>
        <v>Patsy Vasilenko</v>
      </c>
      <c r="G894" s="3" t="str">
        <f>IF(_xlfn.XLOOKUP(C894,customers!$A$1:$A$1001,customers!$C$1:$C$1001,,0)=0,"", _xlfn.XLOOKUP(C894,customers!$A$1:$A$1001,customers!$C$1:$C$1001,,0))</f>
        <v>pvasilenkoos@addtoany.com</v>
      </c>
      <c r="H894" s="3" t="str">
        <f>_xlfn.XLOOKUP(C894,customers!$A$1:$A$1001,customers!$G$1:$G$1001,,0)</f>
        <v>United Kingdom</v>
      </c>
      <c r="I894" s="4" t="str">
        <f>INDEX(products!$A$1:$G$49,MATCH(orders!$D894,products!$A$1:$A$49,0),MATCH(orders!I$1,products!$A$1:$G$1,0))</f>
        <v>Exc</v>
      </c>
      <c r="J894" s="4" t="str">
        <f>INDEX(products!$A$1:$G$49,MATCH(orders!$D894,products!$A$1:$A$49,0),MATCH(orders!J$1,products!$A$1:$G$1,0))</f>
        <v>M</v>
      </c>
      <c r="K894" s="6">
        <f>INDEX(products!$A$1:$G$49,MATCH(orders!$D894,products!$A$1:$A$49,0),MATCH(orders!K$1,products!$A$1:$G$1,0))</f>
        <v>0.2</v>
      </c>
      <c r="L894" s="7">
        <f>INDEX(products!$A$1:$G$49,MATCH(orders!$D894,products!$A$1:$A$49,0),MATCH(orders!L$1,products!$A$1:$G$1,0))</f>
        <v>4.125</v>
      </c>
      <c r="M894" s="7">
        <f t="shared" si="13"/>
        <v>20.625</v>
      </c>
      <c r="N894" s="4" t="str" cm="1">
        <f t="array" ref="N894">_xlfn.IFS(I894="Rob","Robusta",I894="Exc","Excelsa",I894="Ara","Arabica",I894="Lib","Liberica")</f>
        <v>Excelsa</v>
      </c>
      <c r="O894" s="4" t="str" cm="1">
        <f t="array" ref="O894">_xlfn.IFS(J894="M","Medium",J894="L","Light",J894="D","Dark")</f>
        <v>Medium</v>
      </c>
      <c r="P894" s="4" t="str">
        <f>_xlfn.XLOOKUP(CoffeeOrderstable[[#This Row],[Customer ID]],customers!$A$1:$A$1001,customers!$I$1:$I$1001,,0)</f>
        <v>No</v>
      </c>
    </row>
    <row r="895" spans="1:16" x14ac:dyDescent="0.3">
      <c r="A895" s="3" t="s">
        <v>5543</v>
      </c>
      <c r="B895" s="5">
        <v>44651</v>
      </c>
      <c r="C895" s="3" t="s">
        <v>5544</v>
      </c>
      <c r="D895" s="4" t="s">
        <v>6161</v>
      </c>
      <c r="E895" s="3">
        <v>6</v>
      </c>
      <c r="F895" s="3" t="str">
        <f>_xlfn.XLOOKUP(C895,customers!$A$1:$A$1001,customers!$B$1:$B$1001,,0)</f>
        <v>Raphaela Schankelborg</v>
      </c>
      <c r="G895" s="3" t="str">
        <f>IF(_xlfn.XLOOKUP(C895,customers!$A$1:$A$1001,customers!$C$1:$C$1001,,0)=0,"", _xlfn.XLOOKUP(C895,customers!$A$1:$A$1001,customers!$C$1:$C$1001,,0))</f>
        <v>rschankelborgot@ameblo.jp</v>
      </c>
      <c r="H895" s="3" t="str">
        <f>_xlfn.XLOOKUP(C895,customers!$A$1:$A$1001,customers!$G$1:$G$1001,,0)</f>
        <v>United States</v>
      </c>
      <c r="I895" s="4" t="str">
        <f>INDEX(products!$A$1:$G$49,MATCH(orders!$D895,products!$A$1:$A$49,0),MATCH(orders!I$1,products!$A$1:$G$1,0))</f>
        <v>Lib</v>
      </c>
      <c r="J895" s="4" t="str">
        <f>INDEX(products!$A$1:$G$49,MATCH(orders!$D895,products!$A$1:$A$49,0),MATCH(orders!J$1,products!$A$1:$G$1,0))</f>
        <v>L</v>
      </c>
      <c r="K895" s="6">
        <f>INDEX(products!$A$1:$G$49,MATCH(orders!$D895,products!$A$1:$A$49,0),MATCH(orders!K$1,products!$A$1:$G$1,0))</f>
        <v>0.5</v>
      </c>
      <c r="L895" s="7">
        <f>INDEX(products!$A$1:$G$49,MATCH(orders!$D895,products!$A$1:$A$49,0),MATCH(orders!L$1,products!$A$1:$G$1,0))</f>
        <v>9.51</v>
      </c>
      <c r="M895" s="7">
        <f t="shared" si="13"/>
        <v>57.06</v>
      </c>
      <c r="N895" s="4" t="str" cm="1">
        <f t="array" ref="N895">_xlfn.IFS(I895="Rob","Robusta",I895="Exc","Excelsa",I895="Ara","Arabica",I895="Lib","Liberica")</f>
        <v>Liberica</v>
      </c>
      <c r="O895" s="4" t="str" cm="1">
        <f t="array" ref="O895">_xlfn.IFS(J895="M","Medium",J895="L","Light",J895="D","Dark")</f>
        <v>Light</v>
      </c>
      <c r="P895" s="4" t="str">
        <f>_xlfn.XLOOKUP(CoffeeOrderstable[[#This Row],[Customer ID]],customers!$A$1:$A$1001,customers!$I$1:$I$1001,,0)</f>
        <v>Yes</v>
      </c>
    </row>
    <row r="896" spans="1:16" x14ac:dyDescent="0.3">
      <c r="A896" s="3" t="s">
        <v>5548</v>
      </c>
      <c r="B896" s="5">
        <v>44016</v>
      </c>
      <c r="C896" s="3" t="s">
        <v>5549</v>
      </c>
      <c r="D896" s="4" t="s">
        <v>6149</v>
      </c>
      <c r="E896" s="3">
        <v>4</v>
      </c>
      <c r="F896" s="3" t="str">
        <f>_xlfn.XLOOKUP(C896,customers!$A$1:$A$1001,customers!$B$1:$B$1001,,0)</f>
        <v>Sharity Wickens</v>
      </c>
      <c r="G896" s="3" t="str">
        <f>IF(_xlfn.XLOOKUP(C896,customers!$A$1:$A$1001,customers!$C$1:$C$1001,,0)=0,"", _xlfn.XLOOKUP(C896,customers!$A$1:$A$1001,customers!$C$1:$C$1001,,0))</f>
        <v/>
      </c>
      <c r="H896" s="3" t="str">
        <f>_xlfn.XLOOKUP(C896,customers!$A$1:$A$1001,customers!$G$1:$G$1001,,0)</f>
        <v>Ireland</v>
      </c>
      <c r="I896" s="4" t="str">
        <f>INDEX(products!$A$1:$G$49,MATCH(orders!$D896,products!$A$1:$A$49,0),MATCH(orders!I$1,products!$A$1:$G$1,0))</f>
        <v>Rob</v>
      </c>
      <c r="J896" s="4" t="str">
        <f>INDEX(products!$A$1:$G$49,MATCH(orders!$D896,products!$A$1:$A$49,0),MATCH(orders!J$1,products!$A$1:$G$1,0))</f>
        <v>D</v>
      </c>
      <c r="K896" s="6">
        <f>INDEX(products!$A$1:$G$49,MATCH(orders!$D896,products!$A$1:$A$49,0),MATCH(orders!K$1,products!$A$1:$G$1,0))</f>
        <v>2.5</v>
      </c>
      <c r="L896" s="7">
        <f>INDEX(products!$A$1:$G$49,MATCH(orders!$D896,products!$A$1:$A$49,0),MATCH(orders!L$1,products!$A$1:$G$1,0))</f>
        <v>20.584999999999997</v>
      </c>
      <c r="M896" s="7">
        <f t="shared" si="13"/>
        <v>82.339999999999989</v>
      </c>
      <c r="N896" s="4" t="str" cm="1">
        <f t="array" ref="N896">_xlfn.IFS(I896="Rob","Robusta",I896="Exc","Excelsa",I896="Ara","Arabica",I896="Lib","Liberica")</f>
        <v>Robusta</v>
      </c>
      <c r="O896" s="4" t="str" cm="1">
        <f t="array" ref="O896">_xlfn.IFS(J896="M","Medium",J896="L","Light",J896="D","Dark")</f>
        <v>Dark</v>
      </c>
      <c r="P896" s="4" t="str">
        <f>_xlfn.XLOOKUP(CoffeeOrderstable[[#This Row],[Customer ID]],customers!$A$1:$A$1001,customers!$I$1:$I$1001,,0)</f>
        <v>Yes</v>
      </c>
    </row>
    <row r="897" spans="1:16" x14ac:dyDescent="0.3">
      <c r="A897" s="3" t="s">
        <v>5553</v>
      </c>
      <c r="B897" s="5">
        <v>44521</v>
      </c>
      <c r="C897" s="3" t="s">
        <v>5554</v>
      </c>
      <c r="D897" s="4" t="s">
        <v>6166</v>
      </c>
      <c r="E897" s="3">
        <v>5</v>
      </c>
      <c r="F897" s="3" t="str">
        <f>_xlfn.XLOOKUP(C897,customers!$A$1:$A$1001,customers!$B$1:$B$1001,,0)</f>
        <v>Derick Snow</v>
      </c>
      <c r="G897" s="3" t="str">
        <f>IF(_xlfn.XLOOKUP(C897,customers!$A$1:$A$1001,customers!$C$1:$C$1001,,0)=0,"", _xlfn.XLOOKUP(C897,customers!$A$1:$A$1001,customers!$C$1:$C$1001,,0))</f>
        <v/>
      </c>
      <c r="H897" s="3" t="str">
        <f>_xlfn.XLOOKUP(C897,customers!$A$1:$A$1001,customers!$G$1:$G$1001,,0)</f>
        <v>United States</v>
      </c>
      <c r="I897" s="4" t="str">
        <f>INDEX(products!$A$1:$G$49,MATCH(orders!$D897,products!$A$1:$A$49,0),MATCH(orders!I$1,products!$A$1:$G$1,0))</f>
        <v>Exc</v>
      </c>
      <c r="J897" s="4" t="str">
        <f>INDEX(products!$A$1:$G$49,MATCH(orders!$D897,products!$A$1:$A$49,0),MATCH(orders!J$1,products!$A$1:$G$1,0))</f>
        <v>M</v>
      </c>
      <c r="K897" s="6">
        <f>INDEX(products!$A$1:$G$49,MATCH(orders!$D897,products!$A$1:$A$49,0),MATCH(orders!K$1,products!$A$1:$G$1,0))</f>
        <v>2.5</v>
      </c>
      <c r="L897" s="7">
        <f>INDEX(products!$A$1:$G$49,MATCH(orders!$D897,products!$A$1:$A$49,0),MATCH(orders!L$1,products!$A$1:$G$1,0))</f>
        <v>31.624999999999996</v>
      </c>
      <c r="M897" s="7">
        <f t="shared" si="13"/>
        <v>158.12499999999997</v>
      </c>
      <c r="N897" s="4" t="str" cm="1">
        <f t="array" ref="N897">_xlfn.IFS(I897="Rob","Robusta",I897="Exc","Excelsa",I897="Ara","Arabica",I897="Lib","Liberica")</f>
        <v>Excelsa</v>
      </c>
      <c r="O897" s="4" t="str" cm="1">
        <f t="array" ref="O897">_xlfn.IFS(J897="M","Medium",J897="L","Light",J897="D","Dark")</f>
        <v>Medium</v>
      </c>
      <c r="P897" s="4" t="str">
        <f>_xlfn.XLOOKUP(CoffeeOrderstable[[#This Row],[Customer ID]],customers!$A$1:$A$1001,customers!$I$1:$I$1001,,0)</f>
        <v>No</v>
      </c>
    </row>
    <row r="898" spans="1:16" x14ac:dyDescent="0.3">
      <c r="A898" s="3" t="s">
        <v>5558</v>
      </c>
      <c r="B898" s="5">
        <v>44347</v>
      </c>
      <c r="C898" s="3" t="s">
        <v>5559</v>
      </c>
      <c r="D898" s="4" t="s">
        <v>6172</v>
      </c>
      <c r="E898" s="3">
        <v>6</v>
      </c>
      <c r="F898" s="3" t="str">
        <f>_xlfn.XLOOKUP(C898,customers!$A$1:$A$1001,customers!$B$1:$B$1001,,0)</f>
        <v>Baxy Cargen</v>
      </c>
      <c r="G898" s="3" t="str">
        <f>IF(_xlfn.XLOOKUP(C898,customers!$A$1:$A$1001,customers!$C$1:$C$1001,,0)=0,"", _xlfn.XLOOKUP(C898,customers!$A$1:$A$1001,customers!$C$1:$C$1001,,0))</f>
        <v>bcargenow@geocities.jp</v>
      </c>
      <c r="H898" s="3" t="str">
        <f>_xlfn.XLOOKUP(C898,customers!$A$1:$A$1001,customers!$G$1:$G$1001,,0)</f>
        <v>United States</v>
      </c>
      <c r="I898" s="4" t="str">
        <f>INDEX(products!$A$1:$G$49,MATCH(orders!$D898,products!$A$1:$A$49,0),MATCH(orders!I$1,products!$A$1:$G$1,0))</f>
        <v>Rob</v>
      </c>
      <c r="J898" s="4" t="str">
        <f>INDEX(products!$A$1:$G$49,MATCH(orders!$D898,products!$A$1:$A$49,0),MATCH(orders!J$1,products!$A$1:$G$1,0))</f>
        <v>D</v>
      </c>
      <c r="K898" s="6">
        <f>INDEX(products!$A$1:$G$49,MATCH(orders!$D898,products!$A$1:$A$49,0),MATCH(orders!K$1,products!$A$1:$G$1,0))</f>
        <v>0.5</v>
      </c>
      <c r="L898" s="7">
        <f>INDEX(products!$A$1:$G$49,MATCH(orders!$D898,products!$A$1:$A$49,0),MATCH(orders!L$1,products!$A$1:$G$1,0))</f>
        <v>5.3699999999999992</v>
      </c>
      <c r="M898" s="7">
        <f t="shared" si="13"/>
        <v>32.22</v>
      </c>
      <c r="N898" s="4" t="str" cm="1">
        <f t="array" ref="N898">_xlfn.IFS(I898="Rob","Robusta",I898="Exc","Excelsa",I898="Ara","Arabica",I898="Lib","Liberica")</f>
        <v>Robusta</v>
      </c>
      <c r="O898" s="4" t="str" cm="1">
        <f t="array" ref="O898">_xlfn.IFS(J898="M","Medium",J898="L","Light",J898="D","Dark")</f>
        <v>Dark</v>
      </c>
      <c r="P898" s="4" t="str">
        <f>_xlfn.XLOOKUP(CoffeeOrderstable[[#This Row],[Customer ID]],customers!$A$1:$A$1001,customers!$I$1:$I$1001,,0)</f>
        <v>Yes</v>
      </c>
    </row>
    <row r="899" spans="1:16" x14ac:dyDescent="0.3">
      <c r="A899" s="3" t="s">
        <v>5564</v>
      </c>
      <c r="B899" s="5">
        <v>43932</v>
      </c>
      <c r="C899" s="3" t="s">
        <v>5565</v>
      </c>
      <c r="D899" s="4" t="s">
        <v>6183</v>
      </c>
      <c r="E899" s="3">
        <v>2</v>
      </c>
      <c r="F899" s="3" t="str">
        <f>_xlfn.XLOOKUP(C899,customers!$A$1:$A$1001,customers!$B$1:$B$1001,,0)</f>
        <v>Ryann Stickler</v>
      </c>
      <c r="G899" s="3" t="str">
        <f>IF(_xlfn.XLOOKUP(C899,customers!$A$1:$A$1001,customers!$C$1:$C$1001,,0)=0,"", _xlfn.XLOOKUP(C899,customers!$A$1:$A$1001,customers!$C$1:$C$1001,,0))</f>
        <v>rsticklerox@printfriendly.com</v>
      </c>
      <c r="H899" s="3" t="str">
        <f>_xlfn.XLOOKUP(C899,customers!$A$1:$A$1001,customers!$G$1:$G$1001,,0)</f>
        <v>United Kingdom</v>
      </c>
      <c r="I899" s="4" t="str">
        <f>INDEX(products!$A$1:$G$49,MATCH(orders!$D899,products!$A$1:$A$49,0),MATCH(orders!I$1,products!$A$1:$G$1,0))</f>
        <v>Exc</v>
      </c>
      <c r="J899" s="4" t="str">
        <f>INDEX(products!$A$1:$G$49,MATCH(orders!$D899,products!$A$1:$A$49,0),MATCH(orders!J$1,products!$A$1:$G$1,0))</f>
        <v>D</v>
      </c>
      <c r="K899" s="6">
        <f>INDEX(products!$A$1:$G$49,MATCH(orders!$D899,products!$A$1:$A$49,0),MATCH(orders!K$1,products!$A$1:$G$1,0))</f>
        <v>1</v>
      </c>
      <c r="L899" s="7">
        <f>INDEX(products!$A$1:$G$49,MATCH(orders!$D899,products!$A$1:$A$49,0),MATCH(orders!L$1,products!$A$1:$G$1,0))</f>
        <v>12.15</v>
      </c>
      <c r="M899" s="7">
        <f t="shared" ref="M899:M962" si="14">L899*E899</f>
        <v>24.3</v>
      </c>
      <c r="N899" s="4" t="str" cm="1">
        <f t="array" ref="N899">_xlfn.IFS(I899="Rob","Robusta",I899="Exc","Excelsa",I899="Ara","Arabica",I899="Lib","Liberica")</f>
        <v>Excelsa</v>
      </c>
      <c r="O899" s="4" t="str" cm="1">
        <f t="array" ref="O899">_xlfn.IFS(J899="M","Medium",J899="L","Light",J899="D","Dark")</f>
        <v>Dark</v>
      </c>
      <c r="P899" s="4" t="str">
        <f>_xlfn.XLOOKUP(CoffeeOrderstable[[#This Row],[Customer ID]],customers!$A$1:$A$1001,customers!$I$1:$I$1001,,0)</f>
        <v>No</v>
      </c>
    </row>
    <row r="900" spans="1:16" x14ac:dyDescent="0.3">
      <c r="A900" s="3" t="s">
        <v>5570</v>
      </c>
      <c r="B900" s="5">
        <v>44089</v>
      </c>
      <c r="C900" s="3" t="s">
        <v>5571</v>
      </c>
      <c r="D900" s="4" t="s">
        <v>6173</v>
      </c>
      <c r="E900" s="3">
        <v>5</v>
      </c>
      <c r="F900" s="3" t="str">
        <f>_xlfn.XLOOKUP(C900,customers!$A$1:$A$1001,customers!$B$1:$B$1001,,0)</f>
        <v>Daryn Cassius</v>
      </c>
      <c r="G900" s="3" t="str">
        <f>IF(_xlfn.XLOOKUP(C900,customers!$A$1:$A$1001,customers!$C$1:$C$1001,,0)=0,"", _xlfn.XLOOKUP(C900,customers!$A$1:$A$1001,customers!$C$1:$C$1001,,0))</f>
        <v/>
      </c>
      <c r="H900" s="3" t="str">
        <f>_xlfn.XLOOKUP(C900,customers!$A$1:$A$1001,customers!$G$1:$G$1001,,0)</f>
        <v>United States</v>
      </c>
      <c r="I900" s="4" t="str">
        <f>INDEX(products!$A$1:$G$49,MATCH(orders!$D900,products!$A$1:$A$49,0),MATCH(orders!I$1,products!$A$1:$G$1,0))</f>
        <v>Rob</v>
      </c>
      <c r="J900" s="4" t="str">
        <f>INDEX(products!$A$1:$G$49,MATCH(orders!$D900,products!$A$1:$A$49,0),MATCH(orders!J$1,products!$A$1:$G$1,0))</f>
        <v>L</v>
      </c>
      <c r="K900" s="6">
        <f>INDEX(products!$A$1:$G$49,MATCH(orders!$D900,products!$A$1:$A$49,0),MATCH(orders!K$1,products!$A$1:$G$1,0))</f>
        <v>0.5</v>
      </c>
      <c r="L900" s="7">
        <f>INDEX(products!$A$1:$G$49,MATCH(orders!$D900,products!$A$1:$A$49,0),MATCH(orders!L$1,products!$A$1:$G$1,0))</f>
        <v>7.169999999999999</v>
      </c>
      <c r="M900" s="7">
        <f t="shared" si="14"/>
        <v>35.849999999999994</v>
      </c>
      <c r="N900" s="4" t="str" cm="1">
        <f t="array" ref="N900">_xlfn.IFS(I900="Rob","Robusta",I900="Exc","Excelsa",I900="Ara","Arabica",I900="Lib","Liberica")</f>
        <v>Robusta</v>
      </c>
      <c r="O900" s="4" t="str" cm="1">
        <f t="array" ref="O900">_xlfn.IFS(J900="M","Medium",J900="L","Light",J900="D","Dark")</f>
        <v>Light</v>
      </c>
      <c r="P900" s="4" t="str">
        <f>_xlfn.XLOOKUP(CoffeeOrderstable[[#This Row],[Customer ID]],customers!$A$1:$A$1001,customers!$I$1:$I$1001,,0)</f>
        <v>No</v>
      </c>
    </row>
    <row r="901" spans="1:16" x14ac:dyDescent="0.3">
      <c r="A901" s="3" t="s">
        <v>5575</v>
      </c>
      <c r="B901" s="5">
        <v>44523</v>
      </c>
      <c r="C901" s="3" t="s">
        <v>5554</v>
      </c>
      <c r="D901" s="4" t="s">
        <v>6162</v>
      </c>
      <c r="E901" s="3">
        <v>5</v>
      </c>
      <c r="F901" s="3" t="str">
        <f>_xlfn.XLOOKUP(C901,customers!$A$1:$A$1001,customers!$B$1:$B$1001,,0)</f>
        <v>Derick Snow</v>
      </c>
      <c r="G901" s="3" t="str">
        <f>IF(_xlfn.XLOOKUP(C901,customers!$A$1:$A$1001,customers!$C$1:$C$1001,,0)=0,"", _xlfn.XLOOKUP(C901,customers!$A$1:$A$1001,customers!$C$1:$C$1001,,0))</f>
        <v/>
      </c>
      <c r="H901" s="3" t="str">
        <f>_xlfn.XLOOKUP(C901,customers!$A$1:$A$1001,customers!$G$1:$G$1001,,0)</f>
        <v>United States</v>
      </c>
      <c r="I901" s="4" t="str">
        <f>INDEX(products!$A$1:$G$49,MATCH(orders!$D901,products!$A$1:$A$49,0),MATCH(orders!I$1,products!$A$1:$G$1,0))</f>
        <v>Lib</v>
      </c>
      <c r="J901" s="4" t="str">
        <f>INDEX(products!$A$1:$G$49,MATCH(orders!$D901,products!$A$1:$A$49,0),MATCH(orders!J$1,products!$A$1:$G$1,0))</f>
        <v>M</v>
      </c>
      <c r="K901" s="6">
        <f>INDEX(products!$A$1:$G$49,MATCH(orders!$D901,products!$A$1:$A$49,0),MATCH(orders!K$1,products!$A$1:$G$1,0))</f>
        <v>1</v>
      </c>
      <c r="L901" s="7">
        <f>INDEX(products!$A$1:$G$49,MATCH(orders!$D901,products!$A$1:$A$49,0),MATCH(orders!L$1,products!$A$1:$G$1,0))</f>
        <v>14.55</v>
      </c>
      <c r="M901" s="7">
        <f t="shared" si="14"/>
        <v>72.75</v>
      </c>
      <c r="N901" s="4" t="str" cm="1">
        <f t="array" ref="N901">_xlfn.IFS(I901="Rob","Robusta",I901="Exc","Excelsa",I901="Ara","Arabica",I901="Lib","Liberica")</f>
        <v>Liberica</v>
      </c>
      <c r="O901" s="4" t="str" cm="1">
        <f t="array" ref="O901">_xlfn.IFS(J901="M","Medium",J901="L","Light",J901="D","Dark")</f>
        <v>Medium</v>
      </c>
      <c r="P901" s="4" t="str">
        <f>_xlfn.XLOOKUP(CoffeeOrderstable[[#This Row],[Customer ID]],customers!$A$1:$A$1001,customers!$I$1:$I$1001,,0)</f>
        <v>No</v>
      </c>
    </row>
    <row r="902" spans="1:16" x14ac:dyDescent="0.3">
      <c r="A902" s="3" t="s">
        <v>5580</v>
      </c>
      <c r="B902" s="5">
        <v>44584</v>
      </c>
      <c r="C902" s="3" t="s">
        <v>5581</v>
      </c>
      <c r="D902" s="4" t="s">
        <v>6170</v>
      </c>
      <c r="E902" s="3">
        <v>3</v>
      </c>
      <c r="F902" s="3" t="str">
        <f>_xlfn.XLOOKUP(C902,customers!$A$1:$A$1001,customers!$B$1:$B$1001,,0)</f>
        <v>Skelly Dolohunty</v>
      </c>
      <c r="G902" s="3" t="str">
        <f>IF(_xlfn.XLOOKUP(C902,customers!$A$1:$A$1001,customers!$C$1:$C$1001,,0)=0,"", _xlfn.XLOOKUP(C902,customers!$A$1:$A$1001,customers!$C$1:$C$1001,,0))</f>
        <v/>
      </c>
      <c r="H902" s="3" t="str">
        <f>_xlfn.XLOOKUP(C902,customers!$A$1:$A$1001,customers!$G$1:$G$1001,,0)</f>
        <v>Ireland</v>
      </c>
      <c r="I902" s="4" t="str">
        <f>INDEX(products!$A$1:$G$49,MATCH(orders!$D902,products!$A$1:$A$49,0),MATCH(orders!I$1,products!$A$1:$G$1,0))</f>
        <v>Lib</v>
      </c>
      <c r="J902" s="4" t="str">
        <f>INDEX(products!$A$1:$G$49,MATCH(orders!$D902,products!$A$1:$A$49,0),MATCH(orders!J$1,products!$A$1:$G$1,0))</f>
        <v>L</v>
      </c>
      <c r="K902" s="6">
        <f>INDEX(products!$A$1:$G$49,MATCH(orders!$D902,products!$A$1:$A$49,0),MATCH(orders!K$1,products!$A$1:$G$1,0))</f>
        <v>1</v>
      </c>
      <c r="L902" s="7">
        <f>INDEX(products!$A$1:$G$49,MATCH(orders!$D902,products!$A$1:$A$49,0),MATCH(orders!L$1,products!$A$1:$G$1,0))</f>
        <v>15.85</v>
      </c>
      <c r="M902" s="7">
        <f t="shared" si="14"/>
        <v>47.55</v>
      </c>
      <c r="N902" s="4" t="str" cm="1">
        <f t="array" ref="N902">_xlfn.IFS(I902="Rob","Robusta",I902="Exc","Excelsa",I902="Ara","Arabica",I902="Lib","Liberica")</f>
        <v>Liberica</v>
      </c>
      <c r="O902" s="4" t="str" cm="1">
        <f t="array" ref="O902">_xlfn.IFS(J902="M","Medium",J902="L","Light",J902="D","Dark")</f>
        <v>Light</v>
      </c>
      <c r="P902" s="4" t="str">
        <f>_xlfn.XLOOKUP(CoffeeOrderstable[[#This Row],[Customer ID]],customers!$A$1:$A$1001,customers!$I$1:$I$1001,,0)</f>
        <v>No</v>
      </c>
    </row>
    <row r="903" spans="1:16" x14ac:dyDescent="0.3">
      <c r="A903" s="3" t="s">
        <v>5585</v>
      </c>
      <c r="B903" s="5">
        <v>44223</v>
      </c>
      <c r="C903" s="3" t="s">
        <v>5586</v>
      </c>
      <c r="D903" s="4" t="s">
        <v>6178</v>
      </c>
      <c r="E903" s="3">
        <v>1</v>
      </c>
      <c r="F903" s="3" t="str">
        <f>_xlfn.XLOOKUP(C903,customers!$A$1:$A$1001,customers!$B$1:$B$1001,,0)</f>
        <v>Drake Jevon</v>
      </c>
      <c r="G903" s="3" t="str">
        <f>IF(_xlfn.XLOOKUP(C903,customers!$A$1:$A$1001,customers!$C$1:$C$1001,,0)=0,"", _xlfn.XLOOKUP(C903,customers!$A$1:$A$1001,customers!$C$1:$C$1001,,0))</f>
        <v>djevonp1@ibm.com</v>
      </c>
      <c r="H903" s="3" t="str">
        <f>_xlfn.XLOOKUP(C903,customers!$A$1:$A$1001,customers!$G$1:$G$1001,,0)</f>
        <v>United States</v>
      </c>
      <c r="I903" s="4" t="str">
        <f>INDEX(products!$A$1:$G$49,MATCH(orders!$D903,products!$A$1:$A$49,0),MATCH(orders!I$1,products!$A$1:$G$1,0))</f>
        <v>Rob</v>
      </c>
      <c r="J903" s="4" t="str">
        <f>INDEX(products!$A$1:$G$49,MATCH(orders!$D903,products!$A$1:$A$49,0),MATCH(orders!J$1,products!$A$1:$G$1,0))</f>
        <v>L</v>
      </c>
      <c r="K903" s="6">
        <f>INDEX(products!$A$1:$G$49,MATCH(orders!$D903,products!$A$1:$A$49,0),MATCH(orders!K$1,products!$A$1:$G$1,0))</f>
        <v>0.2</v>
      </c>
      <c r="L903" s="7">
        <f>INDEX(products!$A$1:$G$49,MATCH(orders!$D903,products!$A$1:$A$49,0),MATCH(orders!L$1,products!$A$1:$G$1,0))</f>
        <v>3.5849999999999995</v>
      </c>
      <c r="M903" s="7">
        <f t="shared" si="14"/>
        <v>3.5849999999999995</v>
      </c>
      <c r="N903" s="4" t="str" cm="1">
        <f t="array" ref="N903">_xlfn.IFS(I903="Rob","Robusta",I903="Exc","Excelsa",I903="Ara","Arabica",I903="Lib","Liberica")</f>
        <v>Robusta</v>
      </c>
      <c r="O903" s="4" t="str" cm="1">
        <f t="array" ref="O903">_xlfn.IFS(J903="M","Medium",J903="L","Light",J903="D","Dark")</f>
        <v>Light</v>
      </c>
      <c r="P903" s="4" t="str">
        <f>_xlfn.XLOOKUP(CoffeeOrderstable[[#This Row],[Customer ID]],customers!$A$1:$A$1001,customers!$I$1:$I$1001,,0)</f>
        <v>Yes</v>
      </c>
    </row>
    <row r="904" spans="1:16" x14ac:dyDescent="0.3">
      <c r="A904" s="3" t="s">
        <v>5591</v>
      </c>
      <c r="B904" s="5">
        <v>43640</v>
      </c>
      <c r="C904" s="3" t="s">
        <v>5592</v>
      </c>
      <c r="D904" s="4" t="s">
        <v>6166</v>
      </c>
      <c r="E904" s="3">
        <v>5</v>
      </c>
      <c r="F904" s="3" t="str">
        <f>_xlfn.XLOOKUP(C904,customers!$A$1:$A$1001,customers!$B$1:$B$1001,,0)</f>
        <v>Hall Ranner</v>
      </c>
      <c r="G904" s="3" t="str">
        <f>IF(_xlfn.XLOOKUP(C904,customers!$A$1:$A$1001,customers!$C$1:$C$1001,,0)=0,"", _xlfn.XLOOKUP(C904,customers!$A$1:$A$1001,customers!$C$1:$C$1001,,0))</f>
        <v>hrannerp2@omniture.com</v>
      </c>
      <c r="H904" s="3" t="str">
        <f>_xlfn.XLOOKUP(C904,customers!$A$1:$A$1001,customers!$G$1:$G$1001,,0)</f>
        <v>United States</v>
      </c>
      <c r="I904" s="4" t="str">
        <f>INDEX(products!$A$1:$G$49,MATCH(orders!$D904,products!$A$1:$A$49,0),MATCH(orders!I$1,products!$A$1:$G$1,0))</f>
        <v>Exc</v>
      </c>
      <c r="J904" s="4" t="str">
        <f>INDEX(products!$A$1:$G$49,MATCH(orders!$D904,products!$A$1:$A$49,0),MATCH(orders!J$1,products!$A$1:$G$1,0))</f>
        <v>M</v>
      </c>
      <c r="K904" s="6">
        <f>INDEX(products!$A$1:$G$49,MATCH(orders!$D904,products!$A$1:$A$49,0),MATCH(orders!K$1,products!$A$1:$G$1,0))</f>
        <v>2.5</v>
      </c>
      <c r="L904" s="7">
        <f>INDEX(products!$A$1:$G$49,MATCH(orders!$D904,products!$A$1:$A$49,0),MATCH(orders!L$1,products!$A$1:$G$1,0))</f>
        <v>31.624999999999996</v>
      </c>
      <c r="M904" s="7">
        <f t="shared" si="14"/>
        <v>158.12499999999997</v>
      </c>
      <c r="N904" s="4" t="str" cm="1">
        <f t="array" ref="N904">_xlfn.IFS(I904="Rob","Robusta",I904="Exc","Excelsa",I904="Ara","Arabica",I904="Lib","Liberica")</f>
        <v>Excelsa</v>
      </c>
      <c r="O904" s="4" t="str" cm="1">
        <f t="array" ref="O904">_xlfn.IFS(J904="M","Medium",J904="L","Light",J904="D","Dark")</f>
        <v>Medium</v>
      </c>
      <c r="P904" s="4" t="str">
        <f>_xlfn.XLOOKUP(CoffeeOrderstable[[#This Row],[Customer ID]],customers!$A$1:$A$1001,customers!$I$1:$I$1001,,0)</f>
        <v>No</v>
      </c>
    </row>
    <row r="905" spans="1:16" x14ac:dyDescent="0.3">
      <c r="A905" s="3" t="s">
        <v>5597</v>
      </c>
      <c r="B905" s="5">
        <v>43905</v>
      </c>
      <c r="C905" s="3" t="s">
        <v>5598</v>
      </c>
      <c r="D905" s="4" t="s">
        <v>6160</v>
      </c>
      <c r="E905" s="3">
        <v>2</v>
      </c>
      <c r="F905" s="3" t="str">
        <f>_xlfn.XLOOKUP(C905,customers!$A$1:$A$1001,customers!$B$1:$B$1001,,0)</f>
        <v>Berkly Imrie</v>
      </c>
      <c r="G905" s="3" t="str">
        <f>IF(_xlfn.XLOOKUP(C905,customers!$A$1:$A$1001,customers!$C$1:$C$1001,,0)=0,"", _xlfn.XLOOKUP(C905,customers!$A$1:$A$1001,customers!$C$1:$C$1001,,0))</f>
        <v>bimriep3@addtoany.com</v>
      </c>
      <c r="H905" s="3" t="str">
        <f>_xlfn.XLOOKUP(C905,customers!$A$1:$A$1001,customers!$G$1:$G$1001,,0)</f>
        <v>United States</v>
      </c>
      <c r="I905" s="4" t="str">
        <f>INDEX(products!$A$1:$G$49,MATCH(orders!$D905,products!$A$1:$A$49,0),MATCH(orders!I$1,products!$A$1:$G$1,0))</f>
        <v>Lib</v>
      </c>
      <c r="J905" s="4" t="str">
        <f>INDEX(products!$A$1:$G$49,MATCH(orders!$D905,products!$A$1:$A$49,0),MATCH(orders!J$1,products!$A$1:$G$1,0))</f>
        <v>M</v>
      </c>
      <c r="K905" s="6">
        <f>INDEX(products!$A$1:$G$49,MATCH(orders!$D905,products!$A$1:$A$49,0),MATCH(orders!K$1,products!$A$1:$G$1,0))</f>
        <v>0.5</v>
      </c>
      <c r="L905" s="7">
        <f>INDEX(products!$A$1:$G$49,MATCH(orders!$D905,products!$A$1:$A$49,0),MATCH(orders!L$1,products!$A$1:$G$1,0))</f>
        <v>8.73</v>
      </c>
      <c r="M905" s="7">
        <f t="shared" si="14"/>
        <v>17.46</v>
      </c>
      <c r="N905" s="4" t="str" cm="1">
        <f t="array" ref="N905">_xlfn.IFS(I905="Rob","Robusta",I905="Exc","Excelsa",I905="Ara","Arabica",I905="Lib","Liberica")</f>
        <v>Liberica</v>
      </c>
      <c r="O905" s="4" t="str" cm="1">
        <f t="array" ref="O905">_xlfn.IFS(J905="M","Medium",J905="L","Light",J905="D","Dark")</f>
        <v>Medium</v>
      </c>
      <c r="P905" s="4" t="str">
        <f>_xlfn.XLOOKUP(CoffeeOrderstable[[#This Row],[Customer ID]],customers!$A$1:$A$1001,customers!$I$1:$I$1001,,0)</f>
        <v>No</v>
      </c>
    </row>
    <row r="906" spans="1:16" x14ac:dyDescent="0.3">
      <c r="A906" s="3" t="s">
        <v>5603</v>
      </c>
      <c r="B906" s="5">
        <v>44463</v>
      </c>
      <c r="C906" s="3" t="s">
        <v>5604</v>
      </c>
      <c r="D906" s="4" t="s">
        <v>6182</v>
      </c>
      <c r="E906" s="3">
        <v>5</v>
      </c>
      <c r="F906" s="3" t="str">
        <f>_xlfn.XLOOKUP(C906,customers!$A$1:$A$1001,customers!$B$1:$B$1001,,0)</f>
        <v>Dorey Sopper</v>
      </c>
      <c r="G906" s="3" t="str">
        <f>IF(_xlfn.XLOOKUP(C906,customers!$A$1:$A$1001,customers!$C$1:$C$1001,,0)=0,"", _xlfn.XLOOKUP(C906,customers!$A$1:$A$1001,customers!$C$1:$C$1001,,0))</f>
        <v>dsopperp4@eventbrite.com</v>
      </c>
      <c r="H906" s="3" t="str">
        <f>_xlfn.XLOOKUP(C906,customers!$A$1:$A$1001,customers!$G$1:$G$1001,,0)</f>
        <v>United States</v>
      </c>
      <c r="I906" s="4" t="str">
        <f>INDEX(products!$A$1:$G$49,MATCH(orders!$D906,products!$A$1:$A$49,0),MATCH(orders!I$1,products!$A$1:$G$1,0))</f>
        <v>Ara</v>
      </c>
      <c r="J906" s="4" t="str">
        <f>INDEX(products!$A$1:$G$49,MATCH(orders!$D906,products!$A$1:$A$49,0),MATCH(orders!J$1,products!$A$1:$G$1,0))</f>
        <v>L</v>
      </c>
      <c r="K906" s="6">
        <f>INDEX(products!$A$1:$G$49,MATCH(orders!$D906,products!$A$1:$A$49,0),MATCH(orders!K$1,products!$A$1:$G$1,0))</f>
        <v>2.5</v>
      </c>
      <c r="L906" s="7">
        <f>INDEX(products!$A$1:$G$49,MATCH(orders!$D906,products!$A$1:$A$49,0),MATCH(orders!L$1,products!$A$1:$G$1,0))</f>
        <v>29.784999999999997</v>
      </c>
      <c r="M906" s="7">
        <f t="shared" si="14"/>
        <v>148.92499999999998</v>
      </c>
      <c r="N906" s="4" t="str" cm="1">
        <f t="array" ref="N906">_xlfn.IFS(I906="Rob","Robusta",I906="Exc","Excelsa",I906="Ara","Arabica",I906="Lib","Liberica")</f>
        <v>Arabica</v>
      </c>
      <c r="O906" s="4" t="str" cm="1">
        <f t="array" ref="O906">_xlfn.IFS(J906="M","Medium",J906="L","Light",J906="D","Dark")</f>
        <v>Light</v>
      </c>
      <c r="P906" s="4" t="str">
        <f>_xlfn.XLOOKUP(CoffeeOrderstable[[#This Row],[Customer ID]],customers!$A$1:$A$1001,customers!$I$1:$I$1001,,0)</f>
        <v>No</v>
      </c>
    </row>
    <row r="907" spans="1:16" x14ac:dyDescent="0.3">
      <c r="A907" s="3" t="s">
        <v>5609</v>
      </c>
      <c r="B907" s="5">
        <v>43560</v>
      </c>
      <c r="C907" s="3" t="s">
        <v>5610</v>
      </c>
      <c r="D907" s="4" t="s">
        <v>6157</v>
      </c>
      <c r="E907" s="3">
        <v>6</v>
      </c>
      <c r="F907" s="3" t="str">
        <f>_xlfn.XLOOKUP(C907,customers!$A$1:$A$1001,customers!$B$1:$B$1001,,0)</f>
        <v>Darcy Lochran</v>
      </c>
      <c r="G907" s="3" t="str">
        <f>IF(_xlfn.XLOOKUP(C907,customers!$A$1:$A$1001,customers!$C$1:$C$1001,,0)=0,"", _xlfn.XLOOKUP(C907,customers!$A$1:$A$1001,customers!$C$1:$C$1001,,0))</f>
        <v/>
      </c>
      <c r="H907" s="3" t="str">
        <f>_xlfn.XLOOKUP(C907,customers!$A$1:$A$1001,customers!$G$1:$G$1001,,0)</f>
        <v>United States</v>
      </c>
      <c r="I907" s="4" t="str">
        <f>INDEX(products!$A$1:$G$49,MATCH(orders!$D907,products!$A$1:$A$49,0),MATCH(orders!I$1,products!$A$1:$G$1,0))</f>
        <v>Ara</v>
      </c>
      <c r="J907" s="4" t="str">
        <f>INDEX(products!$A$1:$G$49,MATCH(orders!$D907,products!$A$1:$A$49,0),MATCH(orders!J$1,products!$A$1:$G$1,0))</f>
        <v>M</v>
      </c>
      <c r="K907" s="6">
        <f>INDEX(products!$A$1:$G$49,MATCH(orders!$D907,products!$A$1:$A$49,0),MATCH(orders!K$1,products!$A$1:$G$1,0))</f>
        <v>0.5</v>
      </c>
      <c r="L907" s="7">
        <f>INDEX(products!$A$1:$G$49,MATCH(orders!$D907,products!$A$1:$A$49,0),MATCH(orders!L$1,products!$A$1:$G$1,0))</f>
        <v>6.75</v>
      </c>
      <c r="M907" s="7">
        <f t="shared" si="14"/>
        <v>40.5</v>
      </c>
      <c r="N907" s="4" t="str" cm="1">
        <f t="array" ref="N907">_xlfn.IFS(I907="Rob","Robusta",I907="Exc","Excelsa",I907="Ara","Arabica",I907="Lib","Liberica")</f>
        <v>Arabica</v>
      </c>
      <c r="O907" s="4" t="str" cm="1">
        <f t="array" ref="O907">_xlfn.IFS(J907="M","Medium",J907="L","Light",J907="D","Dark")</f>
        <v>Medium</v>
      </c>
      <c r="P907" s="4" t="str">
        <f>_xlfn.XLOOKUP(CoffeeOrderstable[[#This Row],[Customer ID]],customers!$A$1:$A$1001,customers!$I$1:$I$1001,,0)</f>
        <v>Yes</v>
      </c>
    </row>
    <row r="908" spans="1:16" x14ac:dyDescent="0.3">
      <c r="A908" s="3" t="s">
        <v>5614</v>
      </c>
      <c r="B908" s="5">
        <v>44588</v>
      </c>
      <c r="C908" s="3" t="s">
        <v>5615</v>
      </c>
      <c r="D908" s="4" t="s">
        <v>6157</v>
      </c>
      <c r="E908" s="3">
        <v>4</v>
      </c>
      <c r="F908" s="3" t="str">
        <f>_xlfn.XLOOKUP(C908,customers!$A$1:$A$1001,customers!$B$1:$B$1001,,0)</f>
        <v>Lauritz Ledgley</v>
      </c>
      <c r="G908" s="3" t="str">
        <f>IF(_xlfn.XLOOKUP(C908,customers!$A$1:$A$1001,customers!$C$1:$C$1001,,0)=0,"", _xlfn.XLOOKUP(C908,customers!$A$1:$A$1001,customers!$C$1:$C$1001,,0))</f>
        <v>lledgleyp6@de.vu</v>
      </c>
      <c r="H908" s="3" t="str">
        <f>_xlfn.XLOOKUP(C908,customers!$A$1:$A$1001,customers!$G$1:$G$1001,,0)</f>
        <v>United States</v>
      </c>
      <c r="I908" s="4" t="str">
        <f>INDEX(products!$A$1:$G$49,MATCH(orders!$D908,products!$A$1:$A$49,0),MATCH(orders!I$1,products!$A$1:$G$1,0))</f>
        <v>Ara</v>
      </c>
      <c r="J908" s="4" t="str">
        <f>INDEX(products!$A$1:$G$49,MATCH(orders!$D908,products!$A$1:$A$49,0),MATCH(orders!J$1,products!$A$1:$G$1,0))</f>
        <v>M</v>
      </c>
      <c r="K908" s="6">
        <f>INDEX(products!$A$1:$G$49,MATCH(orders!$D908,products!$A$1:$A$49,0),MATCH(orders!K$1,products!$A$1:$G$1,0))</f>
        <v>0.5</v>
      </c>
      <c r="L908" s="7">
        <f>INDEX(products!$A$1:$G$49,MATCH(orders!$D908,products!$A$1:$A$49,0),MATCH(orders!L$1,products!$A$1:$G$1,0))</f>
        <v>6.75</v>
      </c>
      <c r="M908" s="7">
        <f t="shared" si="14"/>
        <v>27</v>
      </c>
      <c r="N908" s="4" t="str" cm="1">
        <f t="array" ref="N908">_xlfn.IFS(I908="Rob","Robusta",I908="Exc","Excelsa",I908="Ara","Arabica",I908="Lib","Liberica")</f>
        <v>Arabica</v>
      </c>
      <c r="O908" s="4" t="str" cm="1">
        <f t="array" ref="O908">_xlfn.IFS(J908="M","Medium",J908="L","Light",J908="D","Dark")</f>
        <v>Medium</v>
      </c>
      <c r="P908" s="4" t="str">
        <f>_xlfn.XLOOKUP(CoffeeOrderstable[[#This Row],[Customer ID]],customers!$A$1:$A$1001,customers!$I$1:$I$1001,,0)</f>
        <v>Yes</v>
      </c>
    </row>
    <row r="909" spans="1:16" x14ac:dyDescent="0.3">
      <c r="A909" s="3" t="s">
        <v>5620</v>
      </c>
      <c r="B909" s="5">
        <v>44449</v>
      </c>
      <c r="C909" s="3" t="s">
        <v>5621</v>
      </c>
      <c r="D909" s="4" t="s">
        <v>6143</v>
      </c>
      <c r="E909" s="3">
        <v>3</v>
      </c>
      <c r="F909" s="3" t="str">
        <f>_xlfn.XLOOKUP(C909,customers!$A$1:$A$1001,customers!$B$1:$B$1001,,0)</f>
        <v>Tawnya Menary</v>
      </c>
      <c r="G909" s="3" t="str">
        <f>IF(_xlfn.XLOOKUP(C909,customers!$A$1:$A$1001,customers!$C$1:$C$1001,,0)=0,"", _xlfn.XLOOKUP(C909,customers!$A$1:$A$1001,customers!$C$1:$C$1001,,0))</f>
        <v>tmenaryp7@phoca.cz</v>
      </c>
      <c r="H909" s="3" t="str">
        <f>_xlfn.XLOOKUP(C909,customers!$A$1:$A$1001,customers!$G$1:$G$1001,,0)</f>
        <v>United States</v>
      </c>
      <c r="I909" s="4" t="str">
        <f>INDEX(products!$A$1:$G$49,MATCH(orders!$D909,products!$A$1:$A$49,0),MATCH(orders!I$1,products!$A$1:$G$1,0))</f>
        <v>Lib</v>
      </c>
      <c r="J909" s="4" t="str">
        <f>INDEX(products!$A$1:$G$49,MATCH(orders!$D909,products!$A$1:$A$49,0),MATCH(orders!J$1,products!$A$1:$G$1,0))</f>
        <v>D</v>
      </c>
      <c r="K909" s="6">
        <f>INDEX(products!$A$1:$G$49,MATCH(orders!$D909,products!$A$1:$A$49,0),MATCH(orders!K$1,products!$A$1:$G$1,0))</f>
        <v>1</v>
      </c>
      <c r="L909" s="7">
        <f>INDEX(products!$A$1:$G$49,MATCH(orders!$D909,products!$A$1:$A$49,0),MATCH(orders!L$1,products!$A$1:$G$1,0))</f>
        <v>12.95</v>
      </c>
      <c r="M909" s="7">
        <f t="shared" si="14"/>
        <v>38.849999999999994</v>
      </c>
      <c r="N909" s="4" t="str" cm="1">
        <f t="array" ref="N909">_xlfn.IFS(I909="Rob","Robusta",I909="Exc","Excelsa",I909="Ara","Arabica",I909="Lib","Liberica")</f>
        <v>Liberica</v>
      </c>
      <c r="O909" s="4" t="str" cm="1">
        <f t="array" ref="O909">_xlfn.IFS(J909="M","Medium",J909="L","Light",J909="D","Dark")</f>
        <v>Dark</v>
      </c>
      <c r="P909" s="4" t="str">
        <f>_xlfn.XLOOKUP(CoffeeOrderstable[[#This Row],[Customer ID]],customers!$A$1:$A$1001,customers!$I$1:$I$1001,,0)</f>
        <v>No</v>
      </c>
    </row>
    <row r="910" spans="1:16" x14ac:dyDescent="0.3">
      <c r="A910" s="3" t="s">
        <v>5626</v>
      </c>
      <c r="B910" s="5">
        <v>43836</v>
      </c>
      <c r="C910" s="3" t="s">
        <v>5627</v>
      </c>
      <c r="D910" s="4" t="s">
        <v>6179</v>
      </c>
      <c r="E910" s="3">
        <v>5</v>
      </c>
      <c r="F910" s="3" t="str">
        <f>_xlfn.XLOOKUP(C910,customers!$A$1:$A$1001,customers!$B$1:$B$1001,,0)</f>
        <v>Gustaf Ciccotti</v>
      </c>
      <c r="G910" s="3" t="str">
        <f>IF(_xlfn.XLOOKUP(C910,customers!$A$1:$A$1001,customers!$C$1:$C$1001,,0)=0,"", _xlfn.XLOOKUP(C910,customers!$A$1:$A$1001,customers!$C$1:$C$1001,,0))</f>
        <v>gciccottip8@so-net.ne.jp</v>
      </c>
      <c r="H910" s="3" t="str">
        <f>_xlfn.XLOOKUP(C910,customers!$A$1:$A$1001,customers!$G$1:$G$1001,,0)</f>
        <v>United States</v>
      </c>
      <c r="I910" s="4" t="str">
        <f>INDEX(products!$A$1:$G$49,MATCH(orders!$D910,products!$A$1:$A$49,0),MATCH(orders!I$1,products!$A$1:$G$1,0))</f>
        <v>Rob</v>
      </c>
      <c r="J910" s="4" t="str">
        <f>INDEX(products!$A$1:$G$49,MATCH(orders!$D910,products!$A$1:$A$49,0),MATCH(orders!J$1,products!$A$1:$G$1,0))</f>
        <v>L</v>
      </c>
      <c r="K910" s="6">
        <f>INDEX(products!$A$1:$G$49,MATCH(orders!$D910,products!$A$1:$A$49,0),MATCH(orders!K$1,products!$A$1:$G$1,0))</f>
        <v>1</v>
      </c>
      <c r="L910" s="7">
        <f>INDEX(products!$A$1:$G$49,MATCH(orders!$D910,products!$A$1:$A$49,0),MATCH(orders!L$1,products!$A$1:$G$1,0))</f>
        <v>11.95</v>
      </c>
      <c r="M910" s="7">
        <f t="shared" si="14"/>
        <v>59.75</v>
      </c>
      <c r="N910" s="4" t="str" cm="1">
        <f t="array" ref="N910">_xlfn.IFS(I910="Rob","Robusta",I910="Exc","Excelsa",I910="Ara","Arabica",I910="Lib","Liberica")</f>
        <v>Robusta</v>
      </c>
      <c r="O910" s="4" t="str" cm="1">
        <f t="array" ref="O910">_xlfn.IFS(J910="M","Medium",J910="L","Light",J910="D","Dark")</f>
        <v>Light</v>
      </c>
      <c r="P910" s="4" t="str">
        <f>_xlfn.XLOOKUP(CoffeeOrderstable[[#This Row],[Customer ID]],customers!$A$1:$A$1001,customers!$I$1:$I$1001,,0)</f>
        <v>No</v>
      </c>
    </row>
    <row r="911" spans="1:16" x14ac:dyDescent="0.3">
      <c r="A911" s="3" t="s">
        <v>5632</v>
      </c>
      <c r="B911" s="5">
        <v>44635</v>
      </c>
      <c r="C911" s="3" t="s">
        <v>5633</v>
      </c>
      <c r="D911" s="4" t="s">
        <v>6178</v>
      </c>
      <c r="E911" s="3">
        <v>3</v>
      </c>
      <c r="F911" s="3" t="str">
        <f>_xlfn.XLOOKUP(C911,customers!$A$1:$A$1001,customers!$B$1:$B$1001,,0)</f>
        <v>Bobbe Renner</v>
      </c>
      <c r="G911" s="3" t="str">
        <f>IF(_xlfn.XLOOKUP(C911,customers!$A$1:$A$1001,customers!$C$1:$C$1001,,0)=0,"", _xlfn.XLOOKUP(C911,customers!$A$1:$A$1001,customers!$C$1:$C$1001,,0))</f>
        <v/>
      </c>
      <c r="H911" s="3" t="str">
        <f>_xlfn.XLOOKUP(C911,customers!$A$1:$A$1001,customers!$G$1:$G$1001,,0)</f>
        <v>United States</v>
      </c>
      <c r="I911" s="4" t="str">
        <f>INDEX(products!$A$1:$G$49,MATCH(orders!$D911,products!$A$1:$A$49,0),MATCH(orders!I$1,products!$A$1:$G$1,0))</f>
        <v>Rob</v>
      </c>
      <c r="J911" s="4" t="str">
        <f>INDEX(products!$A$1:$G$49,MATCH(orders!$D911,products!$A$1:$A$49,0),MATCH(orders!J$1,products!$A$1:$G$1,0))</f>
        <v>L</v>
      </c>
      <c r="K911" s="6">
        <f>INDEX(products!$A$1:$G$49,MATCH(orders!$D911,products!$A$1:$A$49,0),MATCH(orders!K$1,products!$A$1:$G$1,0))</f>
        <v>0.2</v>
      </c>
      <c r="L911" s="7">
        <f>INDEX(products!$A$1:$G$49,MATCH(orders!$D911,products!$A$1:$A$49,0),MATCH(orders!L$1,products!$A$1:$G$1,0))</f>
        <v>3.5849999999999995</v>
      </c>
      <c r="M911" s="7">
        <f t="shared" si="14"/>
        <v>10.754999999999999</v>
      </c>
      <c r="N911" s="4" t="str" cm="1">
        <f t="array" ref="N911">_xlfn.IFS(I911="Rob","Robusta",I911="Exc","Excelsa",I911="Ara","Arabica",I911="Lib","Liberica")</f>
        <v>Robusta</v>
      </c>
      <c r="O911" s="4" t="str" cm="1">
        <f t="array" ref="O911">_xlfn.IFS(J911="M","Medium",J911="L","Light",J911="D","Dark")</f>
        <v>Light</v>
      </c>
      <c r="P911" s="4" t="str">
        <f>_xlfn.XLOOKUP(CoffeeOrderstable[[#This Row],[Customer ID]],customers!$A$1:$A$1001,customers!$I$1:$I$1001,,0)</f>
        <v>No</v>
      </c>
    </row>
    <row r="912" spans="1:16" x14ac:dyDescent="0.3">
      <c r="A912" s="3" t="s">
        <v>5637</v>
      </c>
      <c r="B912" s="5">
        <v>44447</v>
      </c>
      <c r="C912" s="3" t="s">
        <v>5638</v>
      </c>
      <c r="D912" s="4" t="s">
        <v>6168</v>
      </c>
      <c r="E912" s="3">
        <v>4</v>
      </c>
      <c r="F912" s="3" t="str">
        <f>_xlfn.XLOOKUP(C912,customers!$A$1:$A$1001,customers!$B$1:$B$1001,,0)</f>
        <v>Wilton Jallin</v>
      </c>
      <c r="G912" s="3" t="str">
        <f>IF(_xlfn.XLOOKUP(C912,customers!$A$1:$A$1001,customers!$C$1:$C$1001,,0)=0,"", _xlfn.XLOOKUP(C912,customers!$A$1:$A$1001,customers!$C$1:$C$1001,,0))</f>
        <v>wjallinpa@pcworld.com</v>
      </c>
      <c r="H912" s="3" t="str">
        <f>_xlfn.XLOOKUP(C912,customers!$A$1:$A$1001,customers!$G$1:$G$1001,,0)</f>
        <v>United States</v>
      </c>
      <c r="I912" s="4" t="str">
        <f>INDEX(products!$A$1:$G$49,MATCH(orders!$D912,products!$A$1:$A$49,0),MATCH(orders!I$1,products!$A$1:$G$1,0))</f>
        <v>Ara</v>
      </c>
      <c r="J912" s="4" t="str">
        <f>INDEX(products!$A$1:$G$49,MATCH(orders!$D912,products!$A$1:$A$49,0),MATCH(orders!J$1,products!$A$1:$G$1,0))</f>
        <v>D</v>
      </c>
      <c r="K912" s="6">
        <f>INDEX(products!$A$1:$G$49,MATCH(orders!$D912,products!$A$1:$A$49,0),MATCH(orders!K$1,products!$A$1:$G$1,0))</f>
        <v>2.5</v>
      </c>
      <c r="L912" s="7">
        <f>INDEX(products!$A$1:$G$49,MATCH(orders!$D912,products!$A$1:$A$49,0),MATCH(orders!L$1,products!$A$1:$G$1,0))</f>
        <v>22.884999999999998</v>
      </c>
      <c r="M912" s="7">
        <f t="shared" si="14"/>
        <v>91.539999999999992</v>
      </c>
      <c r="N912" s="4" t="str" cm="1">
        <f t="array" ref="N912">_xlfn.IFS(I912="Rob","Robusta",I912="Exc","Excelsa",I912="Ara","Arabica",I912="Lib","Liberica")</f>
        <v>Arabica</v>
      </c>
      <c r="O912" s="4" t="str" cm="1">
        <f t="array" ref="O912">_xlfn.IFS(J912="M","Medium",J912="L","Light",J912="D","Dark")</f>
        <v>Dark</v>
      </c>
      <c r="P912" s="4" t="str">
        <f>_xlfn.XLOOKUP(CoffeeOrderstable[[#This Row],[Customer ID]],customers!$A$1:$A$1001,customers!$I$1:$I$1001,,0)</f>
        <v>No</v>
      </c>
    </row>
    <row r="913" spans="1:16" x14ac:dyDescent="0.3">
      <c r="A913" s="3" t="s">
        <v>5643</v>
      </c>
      <c r="B913" s="5">
        <v>44511</v>
      </c>
      <c r="C913" s="3" t="s">
        <v>5644</v>
      </c>
      <c r="D913" s="4" t="s">
        <v>6155</v>
      </c>
      <c r="E913" s="3">
        <v>4</v>
      </c>
      <c r="F913" s="3" t="str">
        <f>_xlfn.XLOOKUP(C913,customers!$A$1:$A$1001,customers!$B$1:$B$1001,,0)</f>
        <v>Mindy Bogey</v>
      </c>
      <c r="G913" s="3" t="str">
        <f>IF(_xlfn.XLOOKUP(C913,customers!$A$1:$A$1001,customers!$C$1:$C$1001,,0)=0,"", _xlfn.XLOOKUP(C913,customers!$A$1:$A$1001,customers!$C$1:$C$1001,,0))</f>
        <v>mbogeypb@thetimes.co.uk</v>
      </c>
      <c r="H913" s="3" t="str">
        <f>_xlfn.XLOOKUP(C913,customers!$A$1:$A$1001,customers!$G$1:$G$1001,,0)</f>
        <v>United States</v>
      </c>
      <c r="I913" s="4" t="str">
        <f>INDEX(products!$A$1:$G$49,MATCH(orders!$D913,products!$A$1:$A$49,0),MATCH(orders!I$1,products!$A$1:$G$1,0))</f>
        <v>Ara</v>
      </c>
      <c r="J913" s="4" t="str">
        <f>INDEX(products!$A$1:$G$49,MATCH(orders!$D913,products!$A$1:$A$49,0),MATCH(orders!J$1,products!$A$1:$G$1,0))</f>
        <v>M</v>
      </c>
      <c r="K913" s="6">
        <f>INDEX(products!$A$1:$G$49,MATCH(orders!$D913,products!$A$1:$A$49,0),MATCH(orders!K$1,products!$A$1:$G$1,0))</f>
        <v>1</v>
      </c>
      <c r="L913" s="7">
        <f>INDEX(products!$A$1:$G$49,MATCH(orders!$D913,products!$A$1:$A$49,0),MATCH(orders!L$1,products!$A$1:$G$1,0))</f>
        <v>11.25</v>
      </c>
      <c r="M913" s="7">
        <f t="shared" si="14"/>
        <v>45</v>
      </c>
      <c r="N913" s="4" t="str" cm="1">
        <f t="array" ref="N913">_xlfn.IFS(I913="Rob","Robusta",I913="Exc","Excelsa",I913="Ara","Arabica",I913="Lib","Liberica")</f>
        <v>Arabica</v>
      </c>
      <c r="O913" s="4" t="str" cm="1">
        <f t="array" ref="O913">_xlfn.IFS(J913="M","Medium",J913="L","Light",J913="D","Dark")</f>
        <v>Medium</v>
      </c>
      <c r="P913" s="4" t="str">
        <f>_xlfn.XLOOKUP(CoffeeOrderstable[[#This Row],[Customer ID]],customers!$A$1:$A$1001,customers!$I$1:$I$1001,,0)</f>
        <v>Yes</v>
      </c>
    </row>
    <row r="914" spans="1:16" x14ac:dyDescent="0.3">
      <c r="A914" s="3" t="s">
        <v>5649</v>
      </c>
      <c r="B914" s="5">
        <v>43726</v>
      </c>
      <c r="C914" s="3" t="s">
        <v>5650</v>
      </c>
      <c r="D914" s="4" t="s">
        <v>6151</v>
      </c>
      <c r="E914" s="3">
        <v>6</v>
      </c>
      <c r="F914" s="3" t="str">
        <f>_xlfn.XLOOKUP(C914,customers!$A$1:$A$1001,customers!$B$1:$B$1001,,0)</f>
        <v>Paulie Fonzone</v>
      </c>
      <c r="G914" s="3" t="str">
        <f>IF(_xlfn.XLOOKUP(C914,customers!$A$1:$A$1001,customers!$C$1:$C$1001,,0)=0,"", _xlfn.XLOOKUP(C914,customers!$A$1:$A$1001,customers!$C$1:$C$1001,,0))</f>
        <v/>
      </c>
      <c r="H914" s="3" t="str">
        <f>_xlfn.XLOOKUP(C914,customers!$A$1:$A$1001,customers!$G$1:$G$1001,,0)</f>
        <v>United States</v>
      </c>
      <c r="I914" s="4" t="str">
        <f>INDEX(products!$A$1:$G$49,MATCH(orders!$D914,products!$A$1:$A$49,0),MATCH(orders!I$1,products!$A$1:$G$1,0))</f>
        <v>Rob</v>
      </c>
      <c r="J914" s="4" t="str">
        <f>INDEX(products!$A$1:$G$49,MATCH(orders!$D914,products!$A$1:$A$49,0),MATCH(orders!J$1,products!$A$1:$G$1,0))</f>
        <v>M</v>
      </c>
      <c r="K914" s="6">
        <f>INDEX(products!$A$1:$G$49,MATCH(orders!$D914,products!$A$1:$A$49,0),MATCH(orders!K$1,products!$A$1:$G$1,0))</f>
        <v>2.5</v>
      </c>
      <c r="L914" s="7">
        <f>INDEX(products!$A$1:$G$49,MATCH(orders!$D914,products!$A$1:$A$49,0),MATCH(orders!L$1,products!$A$1:$G$1,0))</f>
        <v>22.884999999999998</v>
      </c>
      <c r="M914" s="7">
        <f t="shared" si="14"/>
        <v>137.31</v>
      </c>
      <c r="N914" s="4" t="str" cm="1">
        <f t="array" ref="N914">_xlfn.IFS(I914="Rob","Robusta",I914="Exc","Excelsa",I914="Ara","Arabica",I914="Lib","Liberica")</f>
        <v>Robusta</v>
      </c>
      <c r="O914" s="4" t="str" cm="1">
        <f t="array" ref="O914">_xlfn.IFS(J914="M","Medium",J914="L","Light",J914="D","Dark")</f>
        <v>Medium</v>
      </c>
      <c r="P914" s="4" t="str">
        <f>_xlfn.XLOOKUP(CoffeeOrderstable[[#This Row],[Customer ID]],customers!$A$1:$A$1001,customers!$I$1:$I$1001,,0)</f>
        <v>Yes</v>
      </c>
    </row>
    <row r="915" spans="1:16" x14ac:dyDescent="0.3">
      <c r="A915" s="3" t="s">
        <v>5654</v>
      </c>
      <c r="B915" s="5">
        <v>44406</v>
      </c>
      <c r="C915" s="3" t="s">
        <v>5655</v>
      </c>
      <c r="D915" s="4" t="s">
        <v>6157</v>
      </c>
      <c r="E915" s="3">
        <v>1</v>
      </c>
      <c r="F915" s="3" t="str">
        <f>_xlfn.XLOOKUP(C915,customers!$A$1:$A$1001,customers!$B$1:$B$1001,,0)</f>
        <v>Merrile Cobbledick</v>
      </c>
      <c r="G915" s="3" t="str">
        <f>IF(_xlfn.XLOOKUP(C915,customers!$A$1:$A$1001,customers!$C$1:$C$1001,,0)=0,"", _xlfn.XLOOKUP(C915,customers!$A$1:$A$1001,customers!$C$1:$C$1001,,0))</f>
        <v>mcobbledickpd@ucsd.edu</v>
      </c>
      <c r="H915" s="3" t="str">
        <f>_xlfn.XLOOKUP(C915,customers!$A$1:$A$1001,customers!$G$1:$G$1001,,0)</f>
        <v>United States</v>
      </c>
      <c r="I915" s="4" t="str">
        <f>INDEX(products!$A$1:$G$49,MATCH(orders!$D915,products!$A$1:$A$49,0),MATCH(orders!I$1,products!$A$1:$G$1,0))</f>
        <v>Ara</v>
      </c>
      <c r="J915" s="4" t="str">
        <f>INDEX(products!$A$1:$G$49,MATCH(orders!$D915,products!$A$1:$A$49,0),MATCH(orders!J$1,products!$A$1:$G$1,0))</f>
        <v>M</v>
      </c>
      <c r="K915" s="6">
        <f>INDEX(products!$A$1:$G$49,MATCH(orders!$D915,products!$A$1:$A$49,0),MATCH(orders!K$1,products!$A$1:$G$1,0))</f>
        <v>0.5</v>
      </c>
      <c r="L915" s="7">
        <f>INDEX(products!$A$1:$G$49,MATCH(orders!$D915,products!$A$1:$A$49,0),MATCH(orders!L$1,products!$A$1:$G$1,0))</f>
        <v>6.75</v>
      </c>
      <c r="M915" s="7">
        <f t="shared" si="14"/>
        <v>6.75</v>
      </c>
      <c r="N915" s="4" t="str" cm="1">
        <f t="array" ref="N915">_xlfn.IFS(I915="Rob","Robusta",I915="Exc","Excelsa",I915="Ara","Arabica",I915="Lib","Liberica")</f>
        <v>Arabica</v>
      </c>
      <c r="O915" s="4" t="str" cm="1">
        <f t="array" ref="O915">_xlfn.IFS(J915="M","Medium",J915="L","Light",J915="D","Dark")</f>
        <v>Medium</v>
      </c>
      <c r="P915" s="4" t="str">
        <f>_xlfn.XLOOKUP(CoffeeOrderstable[[#This Row],[Customer ID]],customers!$A$1:$A$1001,customers!$I$1:$I$1001,,0)</f>
        <v>No</v>
      </c>
    </row>
    <row r="916" spans="1:16" x14ac:dyDescent="0.3">
      <c r="A916" s="3" t="s">
        <v>5660</v>
      </c>
      <c r="B916" s="5">
        <v>44640</v>
      </c>
      <c r="C916" s="3" t="s">
        <v>5661</v>
      </c>
      <c r="D916" s="4" t="s">
        <v>6155</v>
      </c>
      <c r="E916" s="3">
        <v>4</v>
      </c>
      <c r="F916" s="3" t="str">
        <f>_xlfn.XLOOKUP(C916,customers!$A$1:$A$1001,customers!$B$1:$B$1001,,0)</f>
        <v>Antonius Lewry</v>
      </c>
      <c r="G916" s="3" t="str">
        <f>IF(_xlfn.XLOOKUP(C916,customers!$A$1:$A$1001,customers!$C$1:$C$1001,,0)=0,"", _xlfn.XLOOKUP(C916,customers!$A$1:$A$1001,customers!$C$1:$C$1001,,0))</f>
        <v>alewrype@whitehouse.gov</v>
      </c>
      <c r="H916" s="3" t="str">
        <f>_xlfn.XLOOKUP(C916,customers!$A$1:$A$1001,customers!$G$1:$G$1001,,0)</f>
        <v>United States</v>
      </c>
      <c r="I916" s="4" t="str">
        <f>INDEX(products!$A$1:$G$49,MATCH(orders!$D916,products!$A$1:$A$49,0),MATCH(orders!I$1,products!$A$1:$G$1,0))</f>
        <v>Ara</v>
      </c>
      <c r="J916" s="4" t="str">
        <f>INDEX(products!$A$1:$G$49,MATCH(orders!$D916,products!$A$1:$A$49,0),MATCH(orders!J$1,products!$A$1:$G$1,0))</f>
        <v>M</v>
      </c>
      <c r="K916" s="6">
        <f>INDEX(products!$A$1:$G$49,MATCH(orders!$D916,products!$A$1:$A$49,0),MATCH(orders!K$1,products!$A$1:$G$1,0))</f>
        <v>1</v>
      </c>
      <c r="L916" s="7">
        <f>INDEX(products!$A$1:$G$49,MATCH(orders!$D916,products!$A$1:$A$49,0),MATCH(orders!L$1,products!$A$1:$G$1,0))</f>
        <v>11.25</v>
      </c>
      <c r="M916" s="7">
        <f t="shared" si="14"/>
        <v>45</v>
      </c>
      <c r="N916" s="4" t="str" cm="1">
        <f t="array" ref="N916">_xlfn.IFS(I916="Rob","Robusta",I916="Exc","Excelsa",I916="Ara","Arabica",I916="Lib","Liberica")</f>
        <v>Arabica</v>
      </c>
      <c r="O916" s="4" t="str" cm="1">
        <f t="array" ref="O916">_xlfn.IFS(J916="M","Medium",J916="L","Light",J916="D","Dark")</f>
        <v>Medium</v>
      </c>
      <c r="P916" s="4" t="str">
        <f>_xlfn.XLOOKUP(CoffeeOrderstable[[#This Row],[Customer ID]],customers!$A$1:$A$1001,customers!$I$1:$I$1001,,0)</f>
        <v>No</v>
      </c>
    </row>
    <row r="917" spans="1:16" x14ac:dyDescent="0.3">
      <c r="A917" s="3" t="s">
        <v>5666</v>
      </c>
      <c r="B917" s="5">
        <v>43955</v>
      </c>
      <c r="C917" s="3" t="s">
        <v>5667</v>
      </c>
      <c r="D917" s="4" t="s">
        <v>6185</v>
      </c>
      <c r="E917" s="3">
        <v>3</v>
      </c>
      <c r="F917" s="3" t="str">
        <f>_xlfn.XLOOKUP(C917,customers!$A$1:$A$1001,customers!$B$1:$B$1001,,0)</f>
        <v>Isis Hessel</v>
      </c>
      <c r="G917" s="3" t="str">
        <f>IF(_xlfn.XLOOKUP(C917,customers!$A$1:$A$1001,customers!$C$1:$C$1001,,0)=0,"", _xlfn.XLOOKUP(C917,customers!$A$1:$A$1001,customers!$C$1:$C$1001,,0))</f>
        <v>ihesselpf@ox.ac.uk</v>
      </c>
      <c r="H917" s="3" t="str">
        <f>_xlfn.XLOOKUP(C917,customers!$A$1:$A$1001,customers!$G$1:$G$1001,,0)</f>
        <v>United States</v>
      </c>
      <c r="I917" s="4" t="str">
        <f>INDEX(products!$A$1:$G$49,MATCH(orders!$D917,products!$A$1:$A$49,0),MATCH(orders!I$1,products!$A$1:$G$1,0))</f>
        <v>Exc</v>
      </c>
      <c r="J917" s="4" t="str">
        <f>INDEX(products!$A$1:$G$49,MATCH(orders!$D917,products!$A$1:$A$49,0),MATCH(orders!J$1,products!$A$1:$G$1,0))</f>
        <v>D</v>
      </c>
      <c r="K917" s="6">
        <f>INDEX(products!$A$1:$G$49,MATCH(orders!$D917,products!$A$1:$A$49,0),MATCH(orders!K$1,products!$A$1:$G$1,0))</f>
        <v>2.5</v>
      </c>
      <c r="L917" s="7">
        <f>INDEX(products!$A$1:$G$49,MATCH(orders!$D917,products!$A$1:$A$49,0),MATCH(orders!L$1,products!$A$1:$G$1,0))</f>
        <v>27.945</v>
      </c>
      <c r="M917" s="7">
        <f t="shared" si="14"/>
        <v>83.835000000000008</v>
      </c>
      <c r="N917" s="4" t="str" cm="1">
        <f t="array" ref="N917">_xlfn.IFS(I917="Rob","Robusta",I917="Exc","Excelsa",I917="Ara","Arabica",I917="Lib","Liberica")</f>
        <v>Excelsa</v>
      </c>
      <c r="O917" s="4" t="str" cm="1">
        <f t="array" ref="O917">_xlfn.IFS(J917="M","Medium",J917="L","Light",J917="D","Dark")</f>
        <v>Dark</v>
      </c>
      <c r="P917" s="4" t="str">
        <f>_xlfn.XLOOKUP(CoffeeOrderstable[[#This Row],[Customer ID]],customers!$A$1:$A$1001,customers!$I$1:$I$1001,,0)</f>
        <v>Yes</v>
      </c>
    </row>
    <row r="918" spans="1:16" x14ac:dyDescent="0.3">
      <c r="A918" s="3" t="s">
        <v>5672</v>
      </c>
      <c r="B918" s="5">
        <v>44291</v>
      </c>
      <c r="C918" s="3" t="s">
        <v>5673</v>
      </c>
      <c r="D918" s="4" t="s">
        <v>6153</v>
      </c>
      <c r="E918" s="3">
        <v>1</v>
      </c>
      <c r="F918" s="3" t="str">
        <f>_xlfn.XLOOKUP(C918,customers!$A$1:$A$1001,customers!$B$1:$B$1001,,0)</f>
        <v>Harland Trematick</v>
      </c>
      <c r="G918" s="3" t="str">
        <f>IF(_xlfn.XLOOKUP(C918,customers!$A$1:$A$1001,customers!$C$1:$C$1001,,0)=0,"", _xlfn.XLOOKUP(C918,customers!$A$1:$A$1001,customers!$C$1:$C$1001,,0))</f>
        <v/>
      </c>
      <c r="H918" s="3" t="str">
        <f>_xlfn.XLOOKUP(C918,customers!$A$1:$A$1001,customers!$G$1:$G$1001,,0)</f>
        <v>Ireland</v>
      </c>
      <c r="I918" s="4" t="str">
        <f>INDEX(products!$A$1:$G$49,MATCH(orders!$D918,products!$A$1:$A$49,0),MATCH(orders!I$1,products!$A$1:$G$1,0))</f>
        <v>Exc</v>
      </c>
      <c r="J918" s="4" t="str">
        <f>INDEX(products!$A$1:$G$49,MATCH(orders!$D918,products!$A$1:$A$49,0),MATCH(orders!J$1,products!$A$1:$G$1,0))</f>
        <v>D</v>
      </c>
      <c r="K918" s="6">
        <f>INDEX(products!$A$1:$G$49,MATCH(orders!$D918,products!$A$1:$A$49,0),MATCH(orders!K$1,products!$A$1:$G$1,0))</f>
        <v>0.2</v>
      </c>
      <c r="L918" s="7">
        <f>INDEX(products!$A$1:$G$49,MATCH(orders!$D918,products!$A$1:$A$49,0),MATCH(orders!L$1,products!$A$1:$G$1,0))</f>
        <v>3.645</v>
      </c>
      <c r="M918" s="7">
        <f t="shared" si="14"/>
        <v>3.645</v>
      </c>
      <c r="N918" s="4" t="str" cm="1">
        <f t="array" ref="N918">_xlfn.IFS(I918="Rob","Robusta",I918="Exc","Excelsa",I918="Ara","Arabica",I918="Lib","Liberica")</f>
        <v>Excelsa</v>
      </c>
      <c r="O918" s="4" t="str" cm="1">
        <f t="array" ref="O918">_xlfn.IFS(J918="M","Medium",J918="L","Light",J918="D","Dark")</f>
        <v>Dark</v>
      </c>
      <c r="P918" s="4" t="str">
        <f>_xlfn.XLOOKUP(CoffeeOrderstable[[#This Row],[Customer ID]],customers!$A$1:$A$1001,customers!$I$1:$I$1001,,0)</f>
        <v>Yes</v>
      </c>
    </row>
    <row r="919" spans="1:16" x14ac:dyDescent="0.3">
      <c r="A919" s="3" t="s">
        <v>5676</v>
      </c>
      <c r="B919" s="5">
        <v>44573</v>
      </c>
      <c r="C919" s="3" t="s">
        <v>5677</v>
      </c>
      <c r="D919" s="4" t="s">
        <v>6157</v>
      </c>
      <c r="E919" s="3">
        <v>1</v>
      </c>
      <c r="F919" s="3" t="str">
        <f>_xlfn.XLOOKUP(C919,customers!$A$1:$A$1001,customers!$B$1:$B$1001,,0)</f>
        <v>Chloris Sorrell</v>
      </c>
      <c r="G919" s="3" t="str">
        <f>IF(_xlfn.XLOOKUP(C919,customers!$A$1:$A$1001,customers!$C$1:$C$1001,,0)=0,"", _xlfn.XLOOKUP(C919,customers!$A$1:$A$1001,customers!$C$1:$C$1001,,0))</f>
        <v>csorrellph@amazon.com</v>
      </c>
      <c r="H919" s="3" t="str">
        <f>_xlfn.XLOOKUP(C919,customers!$A$1:$A$1001,customers!$G$1:$G$1001,,0)</f>
        <v>United Kingdom</v>
      </c>
      <c r="I919" s="4" t="str">
        <f>INDEX(products!$A$1:$G$49,MATCH(orders!$D919,products!$A$1:$A$49,0),MATCH(orders!I$1,products!$A$1:$G$1,0))</f>
        <v>Ara</v>
      </c>
      <c r="J919" s="4" t="str">
        <f>INDEX(products!$A$1:$G$49,MATCH(orders!$D919,products!$A$1:$A$49,0),MATCH(orders!J$1,products!$A$1:$G$1,0))</f>
        <v>M</v>
      </c>
      <c r="K919" s="6">
        <f>INDEX(products!$A$1:$G$49,MATCH(orders!$D919,products!$A$1:$A$49,0),MATCH(orders!K$1,products!$A$1:$G$1,0))</f>
        <v>0.5</v>
      </c>
      <c r="L919" s="7">
        <f>INDEX(products!$A$1:$G$49,MATCH(orders!$D919,products!$A$1:$A$49,0),MATCH(orders!L$1,products!$A$1:$G$1,0))</f>
        <v>6.75</v>
      </c>
      <c r="M919" s="7">
        <f t="shared" si="14"/>
        <v>6.75</v>
      </c>
      <c r="N919" s="4" t="str" cm="1">
        <f t="array" ref="N919">_xlfn.IFS(I919="Rob","Robusta",I919="Exc","Excelsa",I919="Ara","Arabica",I919="Lib","Liberica")</f>
        <v>Arabica</v>
      </c>
      <c r="O919" s="4" t="str" cm="1">
        <f t="array" ref="O919">_xlfn.IFS(J919="M","Medium",J919="L","Light",J919="D","Dark")</f>
        <v>Medium</v>
      </c>
      <c r="P919" s="4" t="str">
        <f>_xlfn.XLOOKUP(CoffeeOrderstable[[#This Row],[Customer ID]],customers!$A$1:$A$1001,customers!$I$1:$I$1001,,0)</f>
        <v>No</v>
      </c>
    </row>
    <row r="920" spans="1:16" x14ac:dyDescent="0.3">
      <c r="A920" s="3" t="s">
        <v>5676</v>
      </c>
      <c r="B920" s="5">
        <v>44573</v>
      </c>
      <c r="C920" s="3" t="s">
        <v>5677</v>
      </c>
      <c r="D920" s="4" t="s">
        <v>6144</v>
      </c>
      <c r="E920" s="3">
        <v>3</v>
      </c>
      <c r="F920" s="3" t="str">
        <f>_xlfn.XLOOKUP(C920,customers!$A$1:$A$1001,customers!$B$1:$B$1001,,0)</f>
        <v>Chloris Sorrell</v>
      </c>
      <c r="G920" s="3" t="str">
        <f>IF(_xlfn.XLOOKUP(C920,customers!$A$1:$A$1001,customers!$C$1:$C$1001,,0)=0,"", _xlfn.XLOOKUP(C920,customers!$A$1:$A$1001,customers!$C$1:$C$1001,,0))</f>
        <v>csorrellph@amazon.com</v>
      </c>
      <c r="H920" s="3" t="str">
        <f>_xlfn.XLOOKUP(C920,customers!$A$1:$A$1001,customers!$G$1:$G$1001,,0)</f>
        <v>United Kingdom</v>
      </c>
      <c r="I920" s="4" t="str">
        <f>INDEX(products!$A$1:$G$49,MATCH(orders!$D920,products!$A$1:$A$49,0),MATCH(orders!I$1,products!$A$1:$G$1,0))</f>
        <v>Exc</v>
      </c>
      <c r="J920" s="4" t="str">
        <f>INDEX(products!$A$1:$G$49,MATCH(orders!$D920,products!$A$1:$A$49,0),MATCH(orders!J$1,products!$A$1:$G$1,0))</f>
        <v>D</v>
      </c>
      <c r="K920" s="6">
        <f>INDEX(products!$A$1:$G$49,MATCH(orders!$D920,products!$A$1:$A$49,0),MATCH(orders!K$1,products!$A$1:$G$1,0))</f>
        <v>0.5</v>
      </c>
      <c r="L920" s="7">
        <f>INDEX(products!$A$1:$G$49,MATCH(orders!$D920,products!$A$1:$A$49,0),MATCH(orders!L$1,products!$A$1:$G$1,0))</f>
        <v>7.29</v>
      </c>
      <c r="M920" s="7">
        <f t="shared" si="14"/>
        <v>21.87</v>
      </c>
      <c r="N920" s="4" t="str" cm="1">
        <f t="array" ref="N920">_xlfn.IFS(I920="Rob","Robusta",I920="Exc","Excelsa",I920="Ara","Arabica",I920="Lib","Liberica")</f>
        <v>Excelsa</v>
      </c>
      <c r="O920" s="4" t="str" cm="1">
        <f t="array" ref="O920">_xlfn.IFS(J920="M","Medium",J920="L","Light",J920="D","Dark")</f>
        <v>Dark</v>
      </c>
      <c r="P920" s="4" t="str">
        <f>_xlfn.XLOOKUP(CoffeeOrderstable[[#This Row],[Customer ID]],customers!$A$1:$A$1001,customers!$I$1:$I$1001,,0)</f>
        <v>No</v>
      </c>
    </row>
    <row r="921" spans="1:16" x14ac:dyDescent="0.3">
      <c r="A921" s="3" t="s">
        <v>5687</v>
      </c>
      <c r="B921" s="5">
        <v>44181</v>
      </c>
      <c r="C921" s="3" t="s">
        <v>5688</v>
      </c>
      <c r="D921" s="4" t="s">
        <v>6163</v>
      </c>
      <c r="E921" s="3">
        <v>5</v>
      </c>
      <c r="F921" s="3" t="str">
        <f>_xlfn.XLOOKUP(C921,customers!$A$1:$A$1001,customers!$B$1:$B$1001,,0)</f>
        <v>Quintina Heavyside</v>
      </c>
      <c r="G921" s="3" t="str">
        <f>IF(_xlfn.XLOOKUP(C921,customers!$A$1:$A$1001,customers!$C$1:$C$1001,,0)=0,"", _xlfn.XLOOKUP(C921,customers!$A$1:$A$1001,customers!$C$1:$C$1001,,0))</f>
        <v>qheavysidepj@unc.edu</v>
      </c>
      <c r="H921" s="3" t="str">
        <f>_xlfn.XLOOKUP(C921,customers!$A$1:$A$1001,customers!$G$1:$G$1001,,0)</f>
        <v>United States</v>
      </c>
      <c r="I921" s="4" t="str">
        <f>INDEX(products!$A$1:$G$49,MATCH(orders!$D921,products!$A$1:$A$49,0),MATCH(orders!I$1,products!$A$1:$G$1,0))</f>
        <v>Rob</v>
      </c>
      <c r="J921" s="4" t="str">
        <f>INDEX(products!$A$1:$G$49,MATCH(orders!$D921,products!$A$1:$A$49,0),MATCH(orders!J$1,products!$A$1:$G$1,0))</f>
        <v>D</v>
      </c>
      <c r="K921" s="6">
        <f>INDEX(products!$A$1:$G$49,MATCH(orders!$D921,products!$A$1:$A$49,0),MATCH(orders!K$1,products!$A$1:$G$1,0))</f>
        <v>0.2</v>
      </c>
      <c r="L921" s="7">
        <f>INDEX(products!$A$1:$G$49,MATCH(orders!$D921,products!$A$1:$A$49,0),MATCH(orders!L$1,products!$A$1:$G$1,0))</f>
        <v>2.6849999999999996</v>
      </c>
      <c r="M921" s="7">
        <f t="shared" si="14"/>
        <v>13.424999999999997</v>
      </c>
      <c r="N921" s="4" t="str" cm="1">
        <f t="array" ref="N921">_xlfn.IFS(I921="Rob","Robusta",I921="Exc","Excelsa",I921="Ara","Arabica",I921="Lib","Liberica")</f>
        <v>Robusta</v>
      </c>
      <c r="O921" s="4" t="str" cm="1">
        <f t="array" ref="O921">_xlfn.IFS(J921="M","Medium",J921="L","Light",J921="D","Dark")</f>
        <v>Dark</v>
      </c>
      <c r="P921" s="4" t="str">
        <f>_xlfn.XLOOKUP(CoffeeOrderstable[[#This Row],[Customer ID]],customers!$A$1:$A$1001,customers!$I$1:$I$1001,,0)</f>
        <v>Yes</v>
      </c>
    </row>
    <row r="922" spans="1:16" x14ac:dyDescent="0.3">
      <c r="A922" s="3" t="s">
        <v>5693</v>
      </c>
      <c r="B922" s="5">
        <v>44711</v>
      </c>
      <c r="C922" s="3" t="s">
        <v>5694</v>
      </c>
      <c r="D922" s="4" t="s">
        <v>6149</v>
      </c>
      <c r="E922" s="3">
        <v>6</v>
      </c>
      <c r="F922" s="3" t="str">
        <f>_xlfn.XLOOKUP(C922,customers!$A$1:$A$1001,customers!$B$1:$B$1001,,0)</f>
        <v>Hadley Reuven</v>
      </c>
      <c r="G922" s="3" t="str">
        <f>IF(_xlfn.XLOOKUP(C922,customers!$A$1:$A$1001,customers!$C$1:$C$1001,,0)=0,"", _xlfn.XLOOKUP(C922,customers!$A$1:$A$1001,customers!$C$1:$C$1001,,0))</f>
        <v>hreuvenpk@whitehouse.gov</v>
      </c>
      <c r="H922" s="3" t="str">
        <f>_xlfn.XLOOKUP(C922,customers!$A$1:$A$1001,customers!$G$1:$G$1001,,0)</f>
        <v>United States</v>
      </c>
      <c r="I922" s="4" t="str">
        <f>INDEX(products!$A$1:$G$49,MATCH(orders!$D922,products!$A$1:$A$49,0),MATCH(orders!I$1,products!$A$1:$G$1,0))</f>
        <v>Rob</v>
      </c>
      <c r="J922" s="4" t="str">
        <f>INDEX(products!$A$1:$G$49,MATCH(orders!$D922,products!$A$1:$A$49,0),MATCH(orders!J$1,products!$A$1:$G$1,0))</f>
        <v>D</v>
      </c>
      <c r="K922" s="6">
        <f>INDEX(products!$A$1:$G$49,MATCH(orders!$D922,products!$A$1:$A$49,0),MATCH(orders!K$1,products!$A$1:$G$1,0))</f>
        <v>2.5</v>
      </c>
      <c r="L922" s="7">
        <f>INDEX(products!$A$1:$G$49,MATCH(orders!$D922,products!$A$1:$A$49,0),MATCH(orders!L$1,products!$A$1:$G$1,0))</f>
        <v>20.584999999999997</v>
      </c>
      <c r="M922" s="7">
        <f t="shared" si="14"/>
        <v>123.50999999999999</v>
      </c>
      <c r="N922" s="4" t="str" cm="1">
        <f t="array" ref="N922">_xlfn.IFS(I922="Rob","Robusta",I922="Exc","Excelsa",I922="Ara","Arabica",I922="Lib","Liberica")</f>
        <v>Robusta</v>
      </c>
      <c r="O922" s="4" t="str" cm="1">
        <f t="array" ref="O922">_xlfn.IFS(J922="M","Medium",J922="L","Light",J922="D","Dark")</f>
        <v>Dark</v>
      </c>
      <c r="P922" s="4" t="str">
        <f>_xlfn.XLOOKUP(CoffeeOrderstable[[#This Row],[Customer ID]],customers!$A$1:$A$1001,customers!$I$1:$I$1001,,0)</f>
        <v>No</v>
      </c>
    </row>
    <row r="923" spans="1:16" x14ac:dyDescent="0.3">
      <c r="A923" s="3" t="s">
        <v>5699</v>
      </c>
      <c r="B923" s="5">
        <v>44509</v>
      </c>
      <c r="C923" s="3" t="s">
        <v>5700</v>
      </c>
      <c r="D923" s="4" t="s">
        <v>6150</v>
      </c>
      <c r="E923" s="3">
        <v>2</v>
      </c>
      <c r="F923" s="3" t="str">
        <f>_xlfn.XLOOKUP(C923,customers!$A$1:$A$1001,customers!$B$1:$B$1001,,0)</f>
        <v>Mitch Attwool</v>
      </c>
      <c r="G923" s="3" t="str">
        <f>IF(_xlfn.XLOOKUP(C923,customers!$A$1:$A$1001,customers!$C$1:$C$1001,,0)=0,"", _xlfn.XLOOKUP(C923,customers!$A$1:$A$1001,customers!$C$1:$C$1001,,0))</f>
        <v>mattwoolpl@nba.com</v>
      </c>
      <c r="H923" s="3" t="str">
        <f>_xlfn.XLOOKUP(C923,customers!$A$1:$A$1001,customers!$G$1:$G$1001,,0)</f>
        <v>United States</v>
      </c>
      <c r="I923" s="4" t="str">
        <f>INDEX(products!$A$1:$G$49,MATCH(orders!$D923,products!$A$1:$A$49,0),MATCH(orders!I$1,products!$A$1:$G$1,0))</f>
        <v>Lib</v>
      </c>
      <c r="J923" s="4" t="str">
        <f>INDEX(products!$A$1:$G$49,MATCH(orders!$D923,products!$A$1:$A$49,0),MATCH(orders!J$1,products!$A$1:$G$1,0))</f>
        <v>D</v>
      </c>
      <c r="K923" s="6">
        <f>INDEX(products!$A$1:$G$49,MATCH(orders!$D923,products!$A$1:$A$49,0),MATCH(orders!K$1,products!$A$1:$G$1,0))</f>
        <v>0.2</v>
      </c>
      <c r="L923" s="7">
        <f>INDEX(products!$A$1:$G$49,MATCH(orders!$D923,products!$A$1:$A$49,0),MATCH(orders!L$1,products!$A$1:$G$1,0))</f>
        <v>3.8849999999999998</v>
      </c>
      <c r="M923" s="7">
        <f t="shared" si="14"/>
        <v>7.77</v>
      </c>
      <c r="N923" s="4" t="str" cm="1">
        <f t="array" ref="N923">_xlfn.IFS(I923="Rob","Robusta",I923="Exc","Excelsa",I923="Ara","Arabica",I923="Lib","Liberica")</f>
        <v>Liberica</v>
      </c>
      <c r="O923" s="4" t="str" cm="1">
        <f t="array" ref="O923">_xlfn.IFS(J923="M","Medium",J923="L","Light",J923="D","Dark")</f>
        <v>Dark</v>
      </c>
      <c r="P923" s="4" t="str">
        <f>_xlfn.XLOOKUP(CoffeeOrderstable[[#This Row],[Customer ID]],customers!$A$1:$A$1001,customers!$I$1:$I$1001,,0)</f>
        <v>No</v>
      </c>
    </row>
    <row r="924" spans="1:16" x14ac:dyDescent="0.3">
      <c r="A924" s="3" t="s">
        <v>5705</v>
      </c>
      <c r="B924" s="5">
        <v>44659</v>
      </c>
      <c r="C924" s="3" t="s">
        <v>5706</v>
      </c>
      <c r="D924" s="4" t="s">
        <v>6155</v>
      </c>
      <c r="E924" s="3">
        <v>6</v>
      </c>
      <c r="F924" s="3" t="str">
        <f>_xlfn.XLOOKUP(C924,customers!$A$1:$A$1001,customers!$B$1:$B$1001,,0)</f>
        <v>Charin Maplethorp</v>
      </c>
      <c r="G924" s="3" t="str">
        <f>IF(_xlfn.XLOOKUP(C924,customers!$A$1:$A$1001,customers!$C$1:$C$1001,,0)=0,"", _xlfn.XLOOKUP(C924,customers!$A$1:$A$1001,customers!$C$1:$C$1001,,0))</f>
        <v/>
      </c>
      <c r="H924" s="3" t="str">
        <f>_xlfn.XLOOKUP(C924,customers!$A$1:$A$1001,customers!$G$1:$G$1001,,0)</f>
        <v>United States</v>
      </c>
      <c r="I924" s="4" t="str">
        <f>INDEX(products!$A$1:$G$49,MATCH(orders!$D924,products!$A$1:$A$49,0),MATCH(orders!I$1,products!$A$1:$G$1,0))</f>
        <v>Ara</v>
      </c>
      <c r="J924" s="4" t="str">
        <f>INDEX(products!$A$1:$G$49,MATCH(orders!$D924,products!$A$1:$A$49,0),MATCH(orders!J$1,products!$A$1:$G$1,0))</f>
        <v>M</v>
      </c>
      <c r="K924" s="6">
        <f>INDEX(products!$A$1:$G$49,MATCH(orders!$D924,products!$A$1:$A$49,0),MATCH(orders!K$1,products!$A$1:$G$1,0))</f>
        <v>1</v>
      </c>
      <c r="L924" s="7">
        <f>INDEX(products!$A$1:$G$49,MATCH(orders!$D924,products!$A$1:$A$49,0),MATCH(orders!L$1,products!$A$1:$G$1,0))</f>
        <v>11.25</v>
      </c>
      <c r="M924" s="7">
        <f t="shared" si="14"/>
        <v>67.5</v>
      </c>
      <c r="N924" s="4" t="str" cm="1">
        <f t="array" ref="N924">_xlfn.IFS(I924="Rob","Robusta",I924="Exc","Excelsa",I924="Ara","Arabica",I924="Lib","Liberica")</f>
        <v>Arabica</v>
      </c>
      <c r="O924" s="4" t="str" cm="1">
        <f t="array" ref="O924">_xlfn.IFS(J924="M","Medium",J924="L","Light",J924="D","Dark")</f>
        <v>Medium</v>
      </c>
      <c r="P924" s="4" t="str">
        <f>_xlfn.XLOOKUP(CoffeeOrderstable[[#This Row],[Customer ID]],customers!$A$1:$A$1001,customers!$I$1:$I$1001,,0)</f>
        <v>Yes</v>
      </c>
    </row>
    <row r="925" spans="1:16" x14ac:dyDescent="0.3">
      <c r="A925" s="3" t="s">
        <v>5709</v>
      </c>
      <c r="B925" s="5">
        <v>43746</v>
      </c>
      <c r="C925" s="3" t="s">
        <v>5710</v>
      </c>
      <c r="D925" s="4" t="s">
        <v>6185</v>
      </c>
      <c r="E925" s="3">
        <v>1</v>
      </c>
      <c r="F925" s="3" t="str">
        <f>_xlfn.XLOOKUP(C925,customers!$A$1:$A$1001,customers!$B$1:$B$1001,,0)</f>
        <v>Goldie Wynes</v>
      </c>
      <c r="G925" s="3" t="str">
        <f>IF(_xlfn.XLOOKUP(C925,customers!$A$1:$A$1001,customers!$C$1:$C$1001,,0)=0,"", _xlfn.XLOOKUP(C925,customers!$A$1:$A$1001,customers!$C$1:$C$1001,,0))</f>
        <v>gwynespn@dagondesign.com</v>
      </c>
      <c r="H925" s="3" t="str">
        <f>_xlfn.XLOOKUP(C925,customers!$A$1:$A$1001,customers!$G$1:$G$1001,,0)</f>
        <v>United States</v>
      </c>
      <c r="I925" s="4" t="str">
        <f>INDEX(products!$A$1:$G$49,MATCH(orders!$D925,products!$A$1:$A$49,0),MATCH(orders!I$1,products!$A$1:$G$1,0))</f>
        <v>Exc</v>
      </c>
      <c r="J925" s="4" t="str">
        <f>INDEX(products!$A$1:$G$49,MATCH(orders!$D925,products!$A$1:$A$49,0),MATCH(orders!J$1,products!$A$1:$G$1,0))</f>
        <v>D</v>
      </c>
      <c r="K925" s="6">
        <f>INDEX(products!$A$1:$G$49,MATCH(orders!$D925,products!$A$1:$A$49,0),MATCH(orders!K$1,products!$A$1:$G$1,0))</f>
        <v>2.5</v>
      </c>
      <c r="L925" s="7">
        <f>INDEX(products!$A$1:$G$49,MATCH(orders!$D925,products!$A$1:$A$49,0),MATCH(orders!L$1,products!$A$1:$G$1,0))</f>
        <v>27.945</v>
      </c>
      <c r="M925" s="7">
        <f t="shared" si="14"/>
        <v>27.945</v>
      </c>
      <c r="N925" s="4" t="str" cm="1">
        <f t="array" ref="N925">_xlfn.IFS(I925="Rob","Robusta",I925="Exc","Excelsa",I925="Ara","Arabica",I925="Lib","Liberica")</f>
        <v>Excelsa</v>
      </c>
      <c r="O925" s="4" t="str" cm="1">
        <f t="array" ref="O925">_xlfn.IFS(J925="M","Medium",J925="L","Light",J925="D","Dark")</f>
        <v>Dark</v>
      </c>
      <c r="P925" s="4" t="str">
        <f>_xlfn.XLOOKUP(CoffeeOrderstable[[#This Row],[Customer ID]],customers!$A$1:$A$1001,customers!$I$1:$I$1001,,0)</f>
        <v>No</v>
      </c>
    </row>
    <row r="926" spans="1:16" x14ac:dyDescent="0.3">
      <c r="A926" s="3" t="s">
        <v>5715</v>
      </c>
      <c r="B926" s="5">
        <v>44451</v>
      </c>
      <c r="C926" s="3" t="s">
        <v>5716</v>
      </c>
      <c r="D926" s="4" t="s">
        <v>6182</v>
      </c>
      <c r="E926" s="3">
        <v>3</v>
      </c>
      <c r="F926" s="3" t="str">
        <f>_xlfn.XLOOKUP(C926,customers!$A$1:$A$1001,customers!$B$1:$B$1001,,0)</f>
        <v>Celie MacCourt</v>
      </c>
      <c r="G926" s="3" t="str">
        <f>IF(_xlfn.XLOOKUP(C926,customers!$A$1:$A$1001,customers!$C$1:$C$1001,,0)=0,"", _xlfn.XLOOKUP(C926,customers!$A$1:$A$1001,customers!$C$1:$C$1001,,0))</f>
        <v>cmaccourtpo@amazon.com</v>
      </c>
      <c r="H926" s="3" t="str">
        <f>_xlfn.XLOOKUP(C926,customers!$A$1:$A$1001,customers!$G$1:$G$1001,,0)</f>
        <v>United States</v>
      </c>
      <c r="I926" s="4" t="str">
        <f>INDEX(products!$A$1:$G$49,MATCH(orders!$D926,products!$A$1:$A$49,0),MATCH(orders!I$1,products!$A$1:$G$1,0))</f>
        <v>Ara</v>
      </c>
      <c r="J926" s="4" t="str">
        <f>INDEX(products!$A$1:$G$49,MATCH(orders!$D926,products!$A$1:$A$49,0),MATCH(orders!J$1,products!$A$1:$G$1,0))</f>
        <v>L</v>
      </c>
      <c r="K926" s="6">
        <f>INDEX(products!$A$1:$G$49,MATCH(orders!$D926,products!$A$1:$A$49,0),MATCH(orders!K$1,products!$A$1:$G$1,0))</f>
        <v>2.5</v>
      </c>
      <c r="L926" s="7">
        <f>INDEX(products!$A$1:$G$49,MATCH(orders!$D926,products!$A$1:$A$49,0),MATCH(orders!L$1,products!$A$1:$G$1,0))</f>
        <v>29.784999999999997</v>
      </c>
      <c r="M926" s="7">
        <f t="shared" si="14"/>
        <v>89.35499999999999</v>
      </c>
      <c r="N926" s="4" t="str" cm="1">
        <f t="array" ref="N926">_xlfn.IFS(I926="Rob","Robusta",I926="Exc","Excelsa",I926="Ara","Arabica",I926="Lib","Liberica")</f>
        <v>Arabica</v>
      </c>
      <c r="O926" s="4" t="str" cm="1">
        <f t="array" ref="O926">_xlfn.IFS(J926="M","Medium",J926="L","Light",J926="D","Dark")</f>
        <v>Light</v>
      </c>
      <c r="P926" s="4" t="str">
        <f>_xlfn.XLOOKUP(CoffeeOrderstable[[#This Row],[Customer ID]],customers!$A$1:$A$1001,customers!$I$1:$I$1001,,0)</f>
        <v>No</v>
      </c>
    </row>
    <row r="927" spans="1:16" x14ac:dyDescent="0.3">
      <c r="A927" s="3" t="s">
        <v>5720</v>
      </c>
      <c r="B927" s="5">
        <v>44770</v>
      </c>
      <c r="C927" s="3" t="s">
        <v>5554</v>
      </c>
      <c r="D927" s="4" t="s">
        <v>6157</v>
      </c>
      <c r="E927" s="3">
        <v>3</v>
      </c>
      <c r="F927" s="3" t="str">
        <f>_xlfn.XLOOKUP(C927,customers!$A$1:$A$1001,customers!$B$1:$B$1001,,0)</f>
        <v>Derick Snow</v>
      </c>
      <c r="G927" s="3" t="str">
        <f>IF(_xlfn.XLOOKUP(C927,customers!$A$1:$A$1001,customers!$C$1:$C$1001,,0)=0,"", _xlfn.XLOOKUP(C927,customers!$A$1:$A$1001,customers!$C$1:$C$1001,,0))</f>
        <v/>
      </c>
      <c r="H927" s="3" t="str">
        <f>_xlfn.XLOOKUP(C927,customers!$A$1:$A$1001,customers!$G$1:$G$1001,,0)</f>
        <v>United States</v>
      </c>
      <c r="I927" s="4" t="str">
        <f>INDEX(products!$A$1:$G$49,MATCH(orders!$D927,products!$A$1:$A$49,0),MATCH(orders!I$1,products!$A$1:$G$1,0))</f>
        <v>Ara</v>
      </c>
      <c r="J927" s="4" t="str">
        <f>INDEX(products!$A$1:$G$49,MATCH(orders!$D927,products!$A$1:$A$49,0),MATCH(orders!J$1,products!$A$1:$G$1,0))</f>
        <v>M</v>
      </c>
      <c r="K927" s="6">
        <f>INDEX(products!$A$1:$G$49,MATCH(orders!$D927,products!$A$1:$A$49,0),MATCH(orders!K$1,products!$A$1:$G$1,0))</f>
        <v>0.5</v>
      </c>
      <c r="L927" s="7">
        <f>INDEX(products!$A$1:$G$49,MATCH(orders!$D927,products!$A$1:$A$49,0),MATCH(orders!L$1,products!$A$1:$G$1,0))</f>
        <v>6.75</v>
      </c>
      <c r="M927" s="7">
        <f t="shared" si="14"/>
        <v>20.25</v>
      </c>
      <c r="N927" s="4" t="str" cm="1">
        <f t="array" ref="N927">_xlfn.IFS(I927="Rob","Robusta",I927="Exc","Excelsa",I927="Ara","Arabica",I927="Lib","Liberica")</f>
        <v>Arabica</v>
      </c>
      <c r="O927" s="4" t="str" cm="1">
        <f t="array" ref="O927">_xlfn.IFS(J927="M","Medium",J927="L","Light",J927="D","Dark")</f>
        <v>Medium</v>
      </c>
      <c r="P927" s="4" t="str">
        <f>_xlfn.XLOOKUP(CoffeeOrderstable[[#This Row],[Customer ID]],customers!$A$1:$A$1001,customers!$I$1:$I$1001,,0)</f>
        <v>No</v>
      </c>
    </row>
    <row r="928" spans="1:16" x14ac:dyDescent="0.3">
      <c r="A928" s="3" t="s">
        <v>5725</v>
      </c>
      <c r="B928" s="5">
        <v>44012</v>
      </c>
      <c r="C928" s="3" t="s">
        <v>5726</v>
      </c>
      <c r="D928" s="4" t="s">
        <v>6157</v>
      </c>
      <c r="E928" s="3">
        <v>5</v>
      </c>
      <c r="F928" s="3" t="str">
        <f>_xlfn.XLOOKUP(C928,customers!$A$1:$A$1001,customers!$B$1:$B$1001,,0)</f>
        <v>Evy Wilsone</v>
      </c>
      <c r="G928" s="3" t="str">
        <f>IF(_xlfn.XLOOKUP(C928,customers!$A$1:$A$1001,customers!$C$1:$C$1001,,0)=0,"", _xlfn.XLOOKUP(C928,customers!$A$1:$A$1001,customers!$C$1:$C$1001,,0))</f>
        <v>ewilsonepq@eepurl.com</v>
      </c>
      <c r="H928" s="3" t="str">
        <f>_xlfn.XLOOKUP(C928,customers!$A$1:$A$1001,customers!$G$1:$G$1001,,0)</f>
        <v>United States</v>
      </c>
      <c r="I928" s="4" t="str">
        <f>INDEX(products!$A$1:$G$49,MATCH(orders!$D928,products!$A$1:$A$49,0),MATCH(orders!I$1,products!$A$1:$G$1,0))</f>
        <v>Ara</v>
      </c>
      <c r="J928" s="4" t="str">
        <f>INDEX(products!$A$1:$G$49,MATCH(orders!$D928,products!$A$1:$A$49,0),MATCH(orders!J$1,products!$A$1:$G$1,0))</f>
        <v>M</v>
      </c>
      <c r="K928" s="6">
        <f>INDEX(products!$A$1:$G$49,MATCH(orders!$D928,products!$A$1:$A$49,0),MATCH(orders!K$1,products!$A$1:$G$1,0))</f>
        <v>0.5</v>
      </c>
      <c r="L928" s="7">
        <f>INDEX(products!$A$1:$G$49,MATCH(orders!$D928,products!$A$1:$A$49,0),MATCH(orders!L$1,products!$A$1:$G$1,0))</f>
        <v>6.75</v>
      </c>
      <c r="M928" s="7">
        <f t="shared" si="14"/>
        <v>33.75</v>
      </c>
      <c r="N928" s="4" t="str" cm="1">
        <f t="array" ref="N928">_xlfn.IFS(I928="Rob","Robusta",I928="Exc","Excelsa",I928="Ara","Arabica",I928="Lib","Liberica")</f>
        <v>Arabica</v>
      </c>
      <c r="O928" s="4" t="str" cm="1">
        <f t="array" ref="O928">_xlfn.IFS(J928="M","Medium",J928="L","Light",J928="D","Dark")</f>
        <v>Medium</v>
      </c>
      <c r="P928" s="4" t="str">
        <f>_xlfn.XLOOKUP(CoffeeOrderstable[[#This Row],[Customer ID]],customers!$A$1:$A$1001,customers!$I$1:$I$1001,,0)</f>
        <v>Yes</v>
      </c>
    </row>
    <row r="929" spans="1:16" x14ac:dyDescent="0.3">
      <c r="A929" s="3" t="s">
        <v>5731</v>
      </c>
      <c r="B929" s="5">
        <v>43474</v>
      </c>
      <c r="C929" s="3" t="s">
        <v>5732</v>
      </c>
      <c r="D929" s="4" t="s">
        <v>6185</v>
      </c>
      <c r="E929" s="3">
        <v>4</v>
      </c>
      <c r="F929" s="3" t="str">
        <f>_xlfn.XLOOKUP(C929,customers!$A$1:$A$1001,customers!$B$1:$B$1001,,0)</f>
        <v>Dolores Duffie</v>
      </c>
      <c r="G929" s="3" t="str">
        <f>IF(_xlfn.XLOOKUP(C929,customers!$A$1:$A$1001,customers!$C$1:$C$1001,,0)=0,"", _xlfn.XLOOKUP(C929,customers!$A$1:$A$1001,customers!$C$1:$C$1001,,0))</f>
        <v>dduffiepr@time.com</v>
      </c>
      <c r="H929" s="3" t="str">
        <f>_xlfn.XLOOKUP(C929,customers!$A$1:$A$1001,customers!$G$1:$G$1001,,0)</f>
        <v>United States</v>
      </c>
      <c r="I929" s="4" t="str">
        <f>INDEX(products!$A$1:$G$49,MATCH(orders!$D929,products!$A$1:$A$49,0),MATCH(orders!I$1,products!$A$1:$G$1,0))</f>
        <v>Exc</v>
      </c>
      <c r="J929" s="4" t="str">
        <f>INDEX(products!$A$1:$G$49,MATCH(orders!$D929,products!$A$1:$A$49,0),MATCH(orders!J$1,products!$A$1:$G$1,0))</f>
        <v>D</v>
      </c>
      <c r="K929" s="6">
        <f>INDEX(products!$A$1:$G$49,MATCH(orders!$D929,products!$A$1:$A$49,0),MATCH(orders!K$1,products!$A$1:$G$1,0))</f>
        <v>2.5</v>
      </c>
      <c r="L929" s="7">
        <f>INDEX(products!$A$1:$G$49,MATCH(orders!$D929,products!$A$1:$A$49,0),MATCH(orders!L$1,products!$A$1:$G$1,0))</f>
        <v>27.945</v>
      </c>
      <c r="M929" s="7">
        <f t="shared" si="14"/>
        <v>111.78</v>
      </c>
      <c r="N929" s="4" t="str" cm="1">
        <f t="array" ref="N929">_xlfn.IFS(I929="Rob","Robusta",I929="Exc","Excelsa",I929="Ara","Arabica",I929="Lib","Liberica")</f>
        <v>Excelsa</v>
      </c>
      <c r="O929" s="4" t="str" cm="1">
        <f t="array" ref="O929">_xlfn.IFS(J929="M","Medium",J929="L","Light",J929="D","Dark")</f>
        <v>Dark</v>
      </c>
      <c r="P929" s="4" t="str">
        <f>_xlfn.XLOOKUP(CoffeeOrderstable[[#This Row],[Customer ID]],customers!$A$1:$A$1001,customers!$I$1:$I$1001,,0)</f>
        <v>No</v>
      </c>
    </row>
    <row r="930" spans="1:16" x14ac:dyDescent="0.3">
      <c r="A930" s="3" t="s">
        <v>5737</v>
      </c>
      <c r="B930" s="5">
        <v>44754</v>
      </c>
      <c r="C930" s="3" t="s">
        <v>5738</v>
      </c>
      <c r="D930" s="4" t="s">
        <v>6166</v>
      </c>
      <c r="E930" s="3">
        <v>2</v>
      </c>
      <c r="F930" s="3" t="str">
        <f>_xlfn.XLOOKUP(C930,customers!$A$1:$A$1001,customers!$B$1:$B$1001,,0)</f>
        <v>Mathilda Matiasek</v>
      </c>
      <c r="G930" s="3" t="str">
        <f>IF(_xlfn.XLOOKUP(C930,customers!$A$1:$A$1001,customers!$C$1:$C$1001,,0)=0,"", _xlfn.XLOOKUP(C930,customers!$A$1:$A$1001,customers!$C$1:$C$1001,,0))</f>
        <v>mmatiasekps@ucoz.ru</v>
      </c>
      <c r="H930" s="3" t="str">
        <f>_xlfn.XLOOKUP(C930,customers!$A$1:$A$1001,customers!$G$1:$G$1001,,0)</f>
        <v>United States</v>
      </c>
      <c r="I930" s="4" t="str">
        <f>INDEX(products!$A$1:$G$49,MATCH(orders!$D930,products!$A$1:$A$49,0),MATCH(orders!I$1,products!$A$1:$G$1,0))</f>
        <v>Exc</v>
      </c>
      <c r="J930" s="4" t="str">
        <f>INDEX(products!$A$1:$G$49,MATCH(orders!$D930,products!$A$1:$A$49,0),MATCH(orders!J$1,products!$A$1:$G$1,0))</f>
        <v>M</v>
      </c>
      <c r="K930" s="6">
        <f>INDEX(products!$A$1:$G$49,MATCH(orders!$D930,products!$A$1:$A$49,0),MATCH(orders!K$1,products!$A$1:$G$1,0))</f>
        <v>2.5</v>
      </c>
      <c r="L930" s="7">
        <f>INDEX(products!$A$1:$G$49,MATCH(orders!$D930,products!$A$1:$A$49,0),MATCH(orders!L$1,products!$A$1:$G$1,0))</f>
        <v>31.624999999999996</v>
      </c>
      <c r="M930" s="7">
        <f t="shared" si="14"/>
        <v>63.249999999999993</v>
      </c>
      <c r="N930" s="4" t="str" cm="1">
        <f t="array" ref="N930">_xlfn.IFS(I930="Rob","Robusta",I930="Exc","Excelsa",I930="Ara","Arabica",I930="Lib","Liberica")</f>
        <v>Excelsa</v>
      </c>
      <c r="O930" s="4" t="str" cm="1">
        <f t="array" ref="O930">_xlfn.IFS(J930="M","Medium",J930="L","Light",J930="D","Dark")</f>
        <v>Medium</v>
      </c>
      <c r="P930" s="4" t="str">
        <f>_xlfn.XLOOKUP(CoffeeOrderstable[[#This Row],[Customer ID]],customers!$A$1:$A$1001,customers!$I$1:$I$1001,,0)</f>
        <v>Yes</v>
      </c>
    </row>
    <row r="931" spans="1:16" x14ac:dyDescent="0.3">
      <c r="A931" s="3" t="s">
        <v>5742</v>
      </c>
      <c r="B931" s="5">
        <v>44165</v>
      </c>
      <c r="C931" s="3" t="s">
        <v>5743</v>
      </c>
      <c r="D931" s="4" t="s">
        <v>6184</v>
      </c>
      <c r="E931" s="3">
        <v>2</v>
      </c>
      <c r="F931" s="3" t="str">
        <f>_xlfn.XLOOKUP(C931,customers!$A$1:$A$1001,customers!$B$1:$B$1001,,0)</f>
        <v>Jarred Camillo</v>
      </c>
      <c r="G931" s="3" t="str">
        <f>IF(_xlfn.XLOOKUP(C931,customers!$A$1:$A$1001,customers!$C$1:$C$1001,,0)=0,"", _xlfn.XLOOKUP(C931,customers!$A$1:$A$1001,customers!$C$1:$C$1001,,0))</f>
        <v>jcamillopt@shinystat.com</v>
      </c>
      <c r="H931" s="3" t="str">
        <f>_xlfn.XLOOKUP(C931,customers!$A$1:$A$1001,customers!$G$1:$G$1001,,0)</f>
        <v>United States</v>
      </c>
      <c r="I931" s="4" t="str">
        <f>INDEX(products!$A$1:$G$49,MATCH(orders!$D931,products!$A$1:$A$49,0),MATCH(orders!I$1,products!$A$1:$G$1,0))</f>
        <v>Exc</v>
      </c>
      <c r="J931" s="4" t="str">
        <f>INDEX(products!$A$1:$G$49,MATCH(orders!$D931,products!$A$1:$A$49,0),MATCH(orders!J$1,products!$A$1:$G$1,0))</f>
        <v>L</v>
      </c>
      <c r="K931" s="6">
        <f>INDEX(products!$A$1:$G$49,MATCH(orders!$D931,products!$A$1:$A$49,0),MATCH(orders!K$1,products!$A$1:$G$1,0))</f>
        <v>0.2</v>
      </c>
      <c r="L931" s="7">
        <f>INDEX(products!$A$1:$G$49,MATCH(orders!$D931,products!$A$1:$A$49,0),MATCH(orders!L$1,products!$A$1:$G$1,0))</f>
        <v>4.4550000000000001</v>
      </c>
      <c r="M931" s="7">
        <f t="shared" si="14"/>
        <v>8.91</v>
      </c>
      <c r="N931" s="4" t="str" cm="1">
        <f t="array" ref="N931">_xlfn.IFS(I931="Rob","Robusta",I931="Exc","Excelsa",I931="Ara","Arabica",I931="Lib","Liberica")</f>
        <v>Excelsa</v>
      </c>
      <c r="O931" s="4" t="str" cm="1">
        <f t="array" ref="O931">_xlfn.IFS(J931="M","Medium",J931="L","Light",J931="D","Dark")</f>
        <v>Light</v>
      </c>
      <c r="P931" s="4" t="str">
        <f>_xlfn.XLOOKUP(CoffeeOrderstable[[#This Row],[Customer ID]],customers!$A$1:$A$1001,customers!$I$1:$I$1001,,0)</f>
        <v>Yes</v>
      </c>
    </row>
    <row r="932" spans="1:16" x14ac:dyDescent="0.3">
      <c r="A932" s="3" t="s">
        <v>5748</v>
      </c>
      <c r="B932" s="5">
        <v>43546</v>
      </c>
      <c r="C932" s="3" t="s">
        <v>5749</v>
      </c>
      <c r="D932" s="4" t="s">
        <v>6183</v>
      </c>
      <c r="E932" s="3">
        <v>1</v>
      </c>
      <c r="F932" s="3" t="str">
        <f>_xlfn.XLOOKUP(C932,customers!$A$1:$A$1001,customers!$B$1:$B$1001,,0)</f>
        <v>Kameko Philbrick</v>
      </c>
      <c r="G932" s="3" t="str">
        <f>IF(_xlfn.XLOOKUP(C932,customers!$A$1:$A$1001,customers!$C$1:$C$1001,,0)=0,"", _xlfn.XLOOKUP(C932,customers!$A$1:$A$1001,customers!$C$1:$C$1001,,0))</f>
        <v>kphilbrickpu@cdc.gov</v>
      </c>
      <c r="H932" s="3" t="str">
        <f>_xlfn.XLOOKUP(C932,customers!$A$1:$A$1001,customers!$G$1:$G$1001,,0)</f>
        <v>United States</v>
      </c>
      <c r="I932" s="4" t="str">
        <f>INDEX(products!$A$1:$G$49,MATCH(orders!$D932,products!$A$1:$A$49,0),MATCH(orders!I$1,products!$A$1:$G$1,0))</f>
        <v>Exc</v>
      </c>
      <c r="J932" s="4" t="str">
        <f>INDEX(products!$A$1:$G$49,MATCH(orders!$D932,products!$A$1:$A$49,0),MATCH(orders!J$1,products!$A$1:$G$1,0))</f>
        <v>D</v>
      </c>
      <c r="K932" s="6">
        <f>INDEX(products!$A$1:$G$49,MATCH(orders!$D932,products!$A$1:$A$49,0),MATCH(orders!K$1,products!$A$1:$G$1,0))</f>
        <v>1</v>
      </c>
      <c r="L932" s="7">
        <f>INDEX(products!$A$1:$G$49,MATCH(orders!$D932,products!$A$1:$A$49,0),MATCH(orders!L$1,products!$A$1:$G$1,0))</f>
        <v>12.15</v>
      </c>
      <c r="M932" s="7">
        <f t="shared" si="14"/>
        <v>12.15</v>
      </c>
      <c r="N932" s="4" t="str" cm="1">
        <f t="array" ref="N932">_xlfn.IFS(I932="Rob","Robusta",I932="Exc","Excelsa",I932="Ara","Arabica",I932="Lib","Liberica")</f>
        <v>Excelsa</v>
      </c>
      <c r="O932" s="4" t="str" cm="1">
        <f t="array" ref="O932">_xlfn.IFS(J932="M","Medium",J932="L","Light",J932="D","Dark")</f>
        <v>Dark</v>
      </c>
      <c r="P932" s="4" t="str">
        <f>_xlfn.XLOOKUP(CoffeeOrderstable[[#This Row],[Customer ID]],customers!$A$1:$A$1001,customers!$I$1:$I$1001,,0)</f>
        <v>Yes</v>
      </c>
    </row>
    <row r="933" spans="1:16" x14ac:dyDescent="0.3">
      <c r="A933" s="3" t="s">
        <v>5753</v>
      </c>
      <c r="B933" s="5">
        <v>44607</v>
      </c>
      <c r="C933" s="3" t="s">
        <v>5754</v>
      </c>
      <c r="D933" s="4" t="s">
        <v>6158</v>
      </c>
      <c r="E933" s="3">
        <v>4</v>
      </c>
      <c r="F933" s="3" t="str">
        <f>_xlfn.XLOOKUP(C933,customers!$A$1:$A$1001,customers!$B$1:$B$1001,,0)</f>
        <v>Mallory Shrimpling</v>
      </c>
      <c r="G933" s="3" t="str">
        <f>IF(_xlfn.XLOOKUP(C933,customers!$A$1:$A$1001,customers!$C$1:$C$1001,,0)=0,"", _xlfn.XLOOKUP(C933,customers!$A$1:$A$1001,customers!$C$1:$C$1001,,0))</f>
        <v/>
      </c>
      <c r="H933" s="3" t="str">
        <f>_xlfn.XLOOKUP(C933,customers!$A$1:$A$1001,customers!$G$1:$G$1001,,0)</f>
        <v>United States</v>
      </c>
      <c r="I933" s="4" t="str">
        <f>INDEX(products!$A$1:$G$49,MATCH(orders!$D933,products!$A$1:$A$49,0),MATCH(orders!I$1,products!$A$1:$G$1,0))</f>
        <v>Ara</v>
      </c>
      <c r="J933" s="4" t="str">
        <f>INDEX(products!$A$1:$G$49,MATCH(orders!$D933,products!$A$1:$A$49,0),MATCH(orders!J$1,products!$A$1:$G$1,0))</f>
        <v>D</v>
      </c>
      <c r="K933" s="6">
        <f>INDEX(products!$A$1:$G$49,MATCH(orders!$D933,products!$A$1:$A$49,0),MATCH(orders!K$1,products!$A$1:$G$1,0))</f>
        <v>0.5</v>
      </c>
      <c r="L933" s="7">
        <f>INDEX(products!$A$1:$G$49,MATCH(orders!$D933,products!$A$1:$A$49,0),MATCH(orders!L$1,products!$A$1:$G$1,0))</f>
        <v>5.97</v>
      </c>
      <c r="M933" s="7">
        <f t="shared" si="14"/>
        <v>23.88</v>
      </c>
      <c r="N933" s="4" t="str" cm="1">
        <f t="array" ref="N933">_xlfn.IFS(I933="Rob","Robusta",I933="Exc","Excelsa",I933="Ara","Arabica",I933="Lib","Liberica")</f>
        <v>Arabica</v>
      </c>
      <c r="O933" s="4" t="str" cm="1">
        <f t="array" ref="O933">_xlfn.IFS(J933="M","Medium",J933="L","Light",J933="D","Dark")</f>
        <v>Dark</v>
      </c>
      <c r="P933" s="4" t="str">
        <f>_xlfn.XLOOKUP(CoffeeOrderstable[[#This Row],[Customer ID]],customers!$A$1:$A$1001,customers!$I$1:$I$1001,,0)</f>
        <v>Yes</v>
      </c>
    </row>
    <row r="934" spans="1:16" x14ac:dyDescent="0.3">
      <c r="A934" s="3" t="s">
        <v>5757</v>
      </c>
      <c r="B934" s="5">
        <v>44117</v>
      </c>
      <c r="C934" s="3" t="s">
        <v>5758</v>
      </c>
      <c r="D934" s="4" t="s">
        <v>6141</v>
      </c>
      <c r="E934" s="3">
        <v>4</v>
      </c>
      <c r="F934" s="3" t="str">
        <f>_xlfn.XLOOKUP(C934,customers!$A$1:$A$1001,customers!$B$1:$B$1001,,0)</f>
        <v>Barnett Sillis</v>
      </c>
      <c r="G934" s="3" t="str">
        <f>IF(_xlfn.XLOOKUP(C934,customers!$A$1:$A$1001,customers!$C$1:$C$1001,,0)=0,"", _xlfn.XLOOKUP(C934,customers!$A$1:$A$1001,customers!$C$1:$C$1001,,0))</f>
        <v>bsillispw@istockphoto.com</v>
      </c>
      <c r="H934" s="3" t="str">
        <f>_xlfn.XLOOKUP(C934,customers!$A$1:$A$1001,customers!$G$1:$G$1001,,0)</f>
        <v>United States</v>
      </c>
      <c r="I934" s="4" t="str">
        <f>INDEX(products!$A$1:$G$49,MATCH(orders!$D934,products!$A$1:$A$49,0),MATCH(orders!I$1,products!$A$1:$G$1,0))</f>
        <v>Exc</v>
      </c>
      <c r="J934" s="4" t="str">
        <f>INDEX(products!$A$1:$G$49,MATCH(orders!$D934,products!$A$1:$A$49,0),MATCH(orders!J$1,products!$A$1:$G$1,0))</f>
        <v>M</v>
      </c>
      <c r="K934" s="6">
        <f>INDEX(products!$A$1:$G$49,MATCH(orders!$D934,products!$A$1:$A$49,0),MATCH(orders!K$1,products!$A$1:$G$1,0))</f>
        <v>1</v>
      </c>
      <c r="L934" s="7">
        <f>INDEX(products!$A$1:$G$49,MATCH(orders!$D934,products!$A$1:$A$49,0),MATCH(orders!L$1,products!$A$1:$G$1,0))</f>
        <v>13.75</v>
      </c>
      <c r="M934" s="7">
        <f t="shared" si="14"/>
        <v>55</v>
      </c>
      <c r="N934" s="4" t="str" cm="1">
        <f t="array" ref="N934">_xlfn.IFS(I934="Rob","Robusta",I934="Exc","Excelsa",I934="Ara","Arabica",I934="Lib","Liberica")</f>
        <v>Excelsa</v>
      </c>
      <c r="O934" s="4" t="str" cm="1">
        <f t="array" ref="O934">_xlfn.IFS(J934="M","Medium",J934="L","Light",J934="D","Dark")</f>
        <v>Medium</v>
      </c>
      <c r="P934" s="4" t="str">
        <f>_xlfn.XLOOKUP(CoffeeOrderstable[[#This Row],[Customer ID]],customers!$A$1:$A$1001,customers!$I$1:$I$1001,,0)</f>
        <v>No</v>
      </c>
    </row>
    <row r="935" spans="1:16" x14ac:dyDescent="0.3">
      <c r="A935" s="3" t="s">
        <v>5763</v>
      </c>
      <c r="B935" s="5">
        <v>44557</v>
      </c>
      <c r="C935" s="3" t="s">
        <v>5764</v>
      </c>
      <c r="D935" s="4" t="s">
        <v>6177</v>
      </c>
      <c r="E935" s="3">
        <v>3</v>
      </c>
      <c r="F935" s="3" t="str">
        <f>_xlfn.XLOOKUP(C935,customers!$A$1:$A$1001,customers!$B$1:$B$1001,,0)</f>
        <v>Brenn Dundredge</v>
      </c>
      <c r="G935" s="3" t="str">
        <f>IF(_xlfn.XLOOKUP(C935,customers!$A$1:$A$1001,customers!$C$1:$C$1001,,0)=0,"", _xlfn.XLOOKUP(C935,customers!$A$1:$A$1001,customers!$C$1:$C$1001,,0))</f>
        <v/>
      </c>
      <c r="H935" s="3" t="str">
        <f>_xlfn.XLOOKUP(C935,customers!$A$1:$A$1001,customers!$G$1:$G$1001,,0)</f>
        <v>United States</v>
      </c>
      <c r="I935" s="4" t="str">
        <f>INDEX(products!$A$1:$G$49,MATCH(orders!$D935,products!$A$1:$A$49,0),MATCH(orders!I$1,products!$A$1:$G$1,0))</f>
        <v>Rob</v>
      </c>
      <c r="J935" s="4" t="str">
        <f>INDEX(products!$A$1:$G$49,MATCH(orders!$D935,products!$A$1:$A$49,0),MATCH(orders!J$1,products!$A$1:$G$1,0))</f>
        <v>D</v>
      </c>
      <c r="K935" s="6">
        <f>INDEX(products!$A$1:$G$49,MATCH(orders!$D935,products!$A$1:$A$49,0),MATCH(orders!K$1,products!$A$1:$G$1,0))</f>
        <v>1</v>
      </c>
      <c r="L935" s="7">
        <f>INDEX(products!$A$1:$G$49,MATCH(orders!$D935,products!$A$1:$A$49,0),MATCH(orders!L$1,products!$A$1:$G$1,0))</f>
        <v>8.9499999999999993</v>
      </c>
      <c r="M935" s="7">
        <f t="shared" si="14"/>
        <v>26.849999999999998</v>
      </c>
      <c r="N935" s="4" t="str" cm="1">
        <f t="array" ref="N935">_xlfn.IFS(I935="Rob","Robusta",I935="Exc","Excelsa",I935="Ara","Arabica",I935="Lib","Liberica")</f>
        <v>Robusta</v>
      </c>
      <c r="O935" s="4" t="str" cm="1">
        <f t="array" ref="O935">_xlfn.IFS(J935="M","Medium",J935="L","Light",J935="D","Dark")</f>
        <v>Dark</v>
      </c>
      <c r="P935" s="4" t="str">
        <f>_xlfn.XLOOKUP(CoffeeOrderstable[[#This Row],[Customer ID]],customers!$A$1:$A$1001,customers!$I$1:$I$1001,,0)</f>
        <v>Yes</v>
      </c>
    </row>
    <row r="936" spans="1:16" x14ac:dyDescent="0.3">
      <c r="A936" s="3" t="s">
        <v>5768</v>
      </c>
      <c r="B936" s="5">
        <v>44409</v>
      </c>
      <c r="C936" s="3" t="s">
        <v>5769</v>
      </c>
      <c r="D936" s="4" t="s">
        <v>6151</v>
      </c>
      <c r="E936" s="3">
        <v>5</v>
      </c>
      <c r="F936" s="3" t="str">
        <f>_xlfn.XLOOKUP(C936,customers!$A$1:$A$1001,customers!$B$1:$B$1001,,0)</f>
        <v>Read Cutts</v>
      </c>
      <c r="G936" s="3" t="str">
        <f>IF(_xlfn.XLOOKUP(C936,customers!$A$1:$A$1001,customers!$C$1:$C$1001,,0)=0,"", _xlfn.XLOOKUP(C936,customers!$A$1:$A$1001,customers!$C$1:$C$1001,,0))</f>
        <v>rcuttspy@techcrunch.com</v>
      </c>
      <c r="H936" s="3" t="str">
        <f>_xlfn.XLOOKUP(C936,customers!$A$1:$A$1001,customers!$G$1:$G$1001,,0)</f>
        <v>United States</v>
      </c>
      <c r="I936" s="4" t="str">
        <f>INDEX(products!$A$1:$G$49,MATCH(orders!$D936,products!$A$1:$A$49,0),MATCH(orders!I$1,products!$A$1:$G$1,0))</f>
        <v>Rob</v>
      </c>
      <c r="J936" s="4" t="str">
        <f>INDEX(products!$A$1:$G$49,MATCH(orders!$D936,products!$A$1:$A$49,0),MATCH(orders!J$1,products!$A$1:$G$1,0))</f>
        <v>M</v>
      </c>
      <c r="K936" s="6">
        <f>INDEX(products!$A$1:$G$49,MATCH(orders!$D936,products!$A$1:$A$49,0),MATCH(orders!K$1,products!$A$1:$G$1,0))</f>
        <v>2.5</v>
      </c>
      <c r="L936" s="7">
        <f>INDEX(products!$A$1:$G$49,MATCH(orders!$D936,products!$A$1:$A$49,0),MATCH(orders!L$1,products!$A$1:$G$1,0))</f>
        <v>22.884999999999998</v>
      </c>
      <c r="M936" s="7">
        <f t="shared" si="14"/>
        <v>114.42499999999998</v>
      </c>
      <c r="N936" s="4" t="str" cm="1">
        <f t="array" ref="N936">_xlfn.IFS(I936="Rob","Robusta",I936="Exc","Excelsa",I936="Ara","Arabica",I936="Lib","Liberica")</f>
        <v>Robusta</v>
      </c>
      <c r="O936" s="4" t="str" cm="1">
        <f t="array" ref="O936">_xlfn.IFS(J936="M","Medium",J936="L","Light",J936="D","Dark")</f>
        <v>Medium</v>
      </c>
      <c r="P936" s="4" t="str">
        <f>_xlfn.XLOOKUP(CoffeeOrderstable[[#This Row],[Customer ID]],customers!$A$1:$A$1001,customers!$I$1:$I$1001,,0)</f>
        <v>No</v>
      </c>
    </row>
    <row r="937" spans="1:16" x14ac:dyDescent="0.3">
      <c r="A937" s="3" t="s">
        <v>5774</v>
      </c>
      <c r="B937" s="5">
        <v>44153</v>
      </c>
      <c r="C937" s="3" t="s">
        <v>5775</v>
      </c>
      <c r="D937" s="4" t="s">
        <v>6175</v>
      </c>
      <c r="E937" s="3">
        <v>6</v>
      </c>
      <c r="F937" s="3" t="str">
        <f>_xlfn.XLOOKUP(C937,customers!$A$1:$A$1001,customers!$B$1:$B$1001,,0)</f>
        <v>Michale Delves</v>
      </c>
      <c r="G937" s="3" t="str">
        <f>IF(_xlfn.XLOOKUP(C937,customers!$A$1:$A$1001,customers!$C$1:$C$1001,,0)=0,"", _xlfn.XLOOKUP(C937,customers!$A$1:$A$1001,customers!$C$1:$C$1001,,0))</f>
        <v>mdelvespz@nature.com</v>
      </c>
      <c r="H937" s="3" t="str">
        <f>_xlfn.XLOOKUP(C937,customers!$A$1:$A$1001,customers!$G$1:$G$1001,,0)</f>
        <v>United States</v>
      </c>
      <c r="I937" s="4" t="str">
        <f>INDEX(products!$A$1:$G$49,MATCH(orders!$D937,products!$A$1:$A$49,0),MATCH(orders!I$1,products!$A$1:$G$1,0))</f>
        <v>Ara</v>
      </c>
      <c r="J937" s="4" t="str">
        <f>INDEX(products!$A$1:$G$49,MATCH(orders!$D937,products!$A$1:$A$49,0),MATCH(orders!J$1,products!$A$1:$G$1,0))</f>
        <v>M</v>
      </c>
      <c r="K937" s="6">
        <f>INDEX(products!$A$1:$G$49,MATCH(orders!$D937,products!$A$1:$A$49,0),MATCH(orders!K$1,products!$A$1:$G$1,0))</f>
        <v>2.5</v>
      </c>
      <c r="L937" s="7">
        <f>INDEX(products!$A$1:$G$49,MATCH(orders!$D937,products!$A$1:$A$49,0),MATCH(orders!L$1,products!$A$1:$G$1,0))</f>
        <v>25.874999999999996</v>
      </c>
      <c r="M937" s="7">
        <f t="shared" si="14"/>
        <v>155.24999999999997</v>
      </c>
      <c r="N937" s="4" t="str" cm="1">
        <f t="array" ref="N937">_xlfn.IFS(I937="Rob","Robusta",I937="Exc","Excelsa",I937="Ara","Arabica",I937="Lib","Liberica")</f>
        <v>Arabica</v>
      </c>
      <c r="O937" s="4" t="str" cm="1">
        <f t="array" ref="O937">_xlfn.IFS(J937="M","Medium",J937="L","Light",J937="D","Dark")</f>
        <v>Medium</v>
      </c>
      <c r="P937" s="4" t="str">
        <f>_xlfn.XLOOKUP(CoffeeOrderstable[[#This Row],[Customer ID]],customers!$A$1:$A$1001,customers!$I$1:$I$1001,,0)</f>
        <v>Yes</v>
      </c>
    </row>
    <row r="938" spans="1:16" x14ac:dyDescent="0.3">
      <c r="A938" s="3" t="s">
        <v>5780</v>
      </c>
      <c r="B938" s="5">
        <v>44493</v>
      </c>
      <c r="C938" s="3" t="s">
        <v>5781</v>
      </c>
      <c r="D938" s="4" t="s">
        <v>6169</v>
      </c>
      <c r="E938" s="3">
        <v>3</v>
      </c>
      <c r="F938" s="3" t="str">
        <f>_xlfn.XLOOKUP(C938,customers!$A$1:$A$1001,customers!$B$1:$B$1001,,0)</f>
        <v>Devland Gritton</v>
      </c>
      <c r="G938" s="3" t="str">
        <f>IF(_xlfn.XLOOKUP(C938,customers!$A$1:$A$1001,customers!$C$1:$C$1001,,0)=0,"", _xlfn.XLOOKUP(C938,customers!$A$1:$A$1001,customers!$C$1:$C$1001,,0))</f>
        <v>dgrittonq0@nydailynews.com</v>
      </c>
      <c r="H938" s="3" t="str">
        <f>_xlfn.XLOOKUP(C938,customers!$A$1:$A$1001,customers!$G$1:$G$1001,,0)</f>
        <v>United States</v>
      </c>
      <c r="I938" s="4" t="str">
        <f>INDEX(products!$A$1:$G$49,MATCH(orders!$D938,products!$A$1:$A$49,0),MATCH(orders!I$1,products!$A$1:$G$1,0))</f>
        <v>Lib</v>
      </c>
      <c r="J938" s="4" t="str">
        <f>INDEX(products!$A$1:$G$49,MATCH(orders!$D938,products!$A$1:$A$49,0),MATCH(orders!J$1,products!$A$1:$G$1,0))</f>
        <v>D</v>
      </c>
      <c r="K938" s="6">
        <f>INDEX(products!$A$1:$G$49,MATCH(orders!$D938,products!$A$1:$A$49,0),MATCH(orders!K$1,products!$A$1:$G$1,0))</f>
        <v>0.5</v>
      </c>
      <c r="L938" s="7">
        <f>INDEX(products!$A$1:$G$49,MATCH(orders!$D938,products!$A$1:$A$49,0),MATCH(orders!L$1,products!$A$1:$G$1,0))</f>
        <v>7.77</v>
      </c>
      <c r="M938" s="7">
        <f t="shared" si="14"/>
        <v>23.31</v>
      </c>
      <c r="N938" s="4" t="str" cm="1">
        <f t="array" ref="N938">_xlfn.IFS(I938="Rob","Robusta",I938="Exc","Excelsa",I938="Ara","Arabica",I938="Lib","Liberica")</f>
        <v>Liberica</v>
      </c>
      <c r="O938" s="4" t="str" cm="1">
        <f t="array" ref="O938">_xlfn.IFS(J938="M","Medium",J938="L","Light",J938="D","Dark")</f>
        <v>Dark</v>
      </c>
      <c r="P938" s="4" t="str">
        <f>_xlfn.XLOOKUP(CoffeeOrderstable[[#This Row],[Customer ID]],customers!$A$1:$A$1001,customers!$I$1:$I$1001,,0)</f>
        <v>Yes</v>
      </c>
    </row>
    <row r="939" spans="1:16" x14ac:dyDescent="0.3">
      <c r="A939" s="3" t="s">
        <v>5780</v>
      </c>
      <c r="B939" s="5">
        <v>44493</v>
      </c>
      <c r="C939" s="3" t="s">
        <v>5781</v>
      </c>
      <c r="D939" s="4" t="s">
        <v>6151</v>
      </c>
      <c r="E939" s="3">
        <v>4</v>
      </c>
      <c r="F939" s="3" t="str">
        <f>_xlfn.XLOOKUP(C939,customers!$A$1:$A$1001,customers!$B$1:$B$1001,,0)</f>
        <v>Devland Gritton</v>
      </c>
      <c r="G939" s="3" t="str">
        <f>IF(_xlfn.XLOOKUP(C939,customers!$A$1:$A$1001,customers!$C$1:$C$1001,,0)=0,"", _xlfn.XLOOKUP(C939,customers!$A$1:$A$1001,customers!$C$1:$C$1001,,0))</f>
        <v>dgrittonq0@nydailynews.com</v>
      </c>
      <c r="H939" s="3" t="str">
        <f>_xlfn.XLOOKUP(C939,customers!$A$1:$A$1001,customers!$G$1:$G$1001,,0)</f>
        <v>United States</v>
      </c>
      <c r="I939" s="4" t="str">
        <f>INDEX(products!$A$1:$G$49,MATCH(orders!$D939,products!$A$1:$A$49,0),MATCH(orders!I$1,products!$A$1:$G$1,0))</f>
        <v>Rob</v>
      </c>
      <c r="J939" s="4" t="str">
        <f>INDEX(products!$A$1:$G$49,MATCH(orders!$D939,products!$A$1:$A$49,0),MATCH(orders!J$1,products!$A$1:$G$1,0))</f>
        <v>M</v>
      </c>
      <c r="K939" s="6">
        <f>INDEX(products!$A$1:$G$49,MATCH(orders!$D939,products!$A$1:$A$49,0),MATCH(orders!K$1,products!$A$1:$G$1,0))</f>
        <v>2.5</v>
      </c>
      <c r="L939" s="7">
        <f>INDEX(products!$A$1:$G$49,MATCH(orders!$D939,products!$A$1:$A$49,0),MATCH(orders!L$1,products!$A$1:$G$1,0))</f>
        <v>22.884999999999998</v>
      </c>
      <c r="M939" s="7">
        <f t="shared" si="14"/>
        <v>91.539999999999992</v>
      </c>
      <c r="N939" s="4" t="str" cm="1">
        <f t="array" ref="N939">_xlfn.IFS(I939="Rob","Robusta",I939="Exc","Excelsa",I939="Ara","Arabica",I939="Lib","Liberica")</f>
        <v>Robusta</v>
      </c>
      <c r="O939" s="4" t="str" cm="1">
        <f t="array" ref="O939">_xlfn.IFS(J939="M","Medium",J939="L","Light",J939="D","Dark")</f>
        <v>Medium</v>
      </c>
      <c r="P939" s="4" t="str">
        <f>_xlfn.XLOOKUP(CoffeeOrderstable[[#This Row],[Customer ID]],customers!$A$1:$A$1001,customers!$I$1:$I$1001,,0)</f>
        <v>Yes</v>
      </c>
    </row>
    <row r="940" spans="1:16" x14ac:dyDescent="0.3">
      <c r="A940" s="3" t="s">
        <v>5791</v>
      </c>
      <c r="B940" s="5">
        <v>43829</v>
      </c>
      <c r="C940" s="3" t="s">
        <v>5792</v>
      </c>
      <c r="D940" s="4" t="s">
        <v>6171</v>
      </c>
      <c r="E940" s="3">
        <v>5</v>
      </c>
      <c r="F940" s="3" t="str">
        <f>_xlfn.XLOOKUP(C940,customers!$A$1:$A$1001,customers!$B$1:$B$1001,,0)</f>
        <v>Dell Gut</v>
      </c>
      <c r="G940" s="3" t="str">
        <f>IF(_xlfn.XLOOKUP(C940,customers!$A$1:$A$1001,customers!$C$1:$C$1001,,0)=0,"", _xlfn.XLOOKUP(C940,customers!$A$1:$A$1001,customers!$C$1:$C$1001,,0))</f>
        <v>dgutq2@umich.edu</v>
      </c>
      <c r="H940" s="3" t="str">
        <f>_xlfn.XLOOKUP(C940,customers!$A$1:$A$1001,customers!$G$1:$G$1001,,0)</f>
        <v>United States</v>
      </c>
      <c r="I940" s="4" t="str">
        <f>INDEX(products!$A$1:$G$49,MATCH(orders!$D940,products!$A$1:$A$49,0),MATCH(orders!I$1,products!$A$1:$G$1,0))</f>
        <v>Exc</v>
      </c>
      <c r="J940" s="4" t="str">
        <f>INDEX(products!$A$1:$G$49,MATCH(orders!$D940,products!$A$1:$A$49,0),MATCH(orders!J$1,products!$A$1:$G$1,0))</f>
        <v>L</v>
      </c>
      <c r="K940" s="6">
        <f>INDEX(products!$A$1:$G$49,MATCH(orders!$D940,products!$A$1:$A$49,0),MATCH(orders!K$1,products!$A$1:$G$1,0))</f>
        <v>1</v>
      </c>
      <c r="L940" s="7">
        <f>INDEX(products!$A$1:$G$49,MATCH(orders!$D940,products!$A$1:$A$49,0),MATCH(orders!L$1,products!$A$1:$G$1,0))</f>
        <v>14.85</v>
      </c>
      <c r="M940" s="7">
        <f t="shared" si="14"/>
        <v>74.25</v>
      </c>
      <c r="N940" s="4" t="str" cm="1">
        <f t="array" ref="N940">_xlfn.IFS(I940="Rob","Robusta",I940="Exc","Excelsa",I940="Ara","Arabica",I940="Lib","Liberica")</f>
        <v>Excelsa</v>
      </c>
      <c r="O940" s="4" t="str" cm="1">
        <f t="array" ref="O940">_xlfn.IFS(J940="M","Medium",J940="L","Light",J940="D","Dark")</f>
        <v>Light</v>
      </c>
      <c r="P940" s="4" t="str">
        <f>_xlfn.XLOOKUP(CoffeeOrderstable[[#This Row],[Customer ID]],customers!$A$1:$A$1001,customers!$I$1:$I$1001,,0)</f>
        <v>Yes</v>
      </c>
    </row>
    <row r="941" spans="1:16" x14ac:dyDescent="0.3">
      <c r="A941" s="3" t="s">
        <v>5797</v>
      </c>
      <c r="B941" s="5">
        <v>44229</v>
      </c>
      <c r="C941" s="3" t="s">
        <v>5798</v>
      </c>
      <c r="D941" s="4" t="s">
        <v>6145</v>
      </c>
      <c r="E941" s="3">
        <v>6</v>
      </c>
      <c r="F941" s="3" t="str">
        <f>_xlfn.XLOOKUP(C941,customers!$A$1:$A$1001,customers!$B$1:$B$1001,,0)</f>
        <v>Willy Pummery</v>
      </c>
      <c r="G941" s="3" t="str">
        <f>IF(_xlfn.XLOOKUP(C941,customers!$A$1:$A$1001,customers!$C$1:$C$1001,,0)=0,"", _xlfn.XLOOKUP(C941,customers!$A$1:$A$1001,customers!$C$1:$C$1001,,0))</f>
        <v>wpummeryq3@topsy.com</v>
      </c>
      <c r="H941" s="3" t="str">
        <f>_xlfn.XLOOKUP(C941,customers!$A$1:$A$1001,customers!$G$1:$G$1001,,0)</f>
        <v>United States</v>
      </c>
      <c r="I941" s="4" t="str">
        <f>INDEX(products!$A$1:$G$49,MATCH(orders!$D941,products!$A$1:$A$49,0),MATCH(orders!I$1,products!$A$1:$G$1,0))</f>
        <v>Lib</v>
      </c>
      <c r="J941" s="4" t="str">
        <f>INDEX(products!$A$1:$G$49,MATCH(orders!$D941,products!$A$1:$A$49,0),MATCH(orders!J$1,products!$A$1:$G$1,0))</f>
        <v>L</v>
      </c>
      <c r="K941" s="6">
        <f>INDEX(products!$A$1:$G$49,MATCH(orders!$D941,products!$A$1:$A$49,0),MATCH(orders!K$1,products!$A$1:$G$1,0))</f>
        <v>0.2</v>
      </c>
      <c r="L941" s="7">
        <f>INDEX(products!$A$1:$G$49,MATCH(orders!$D941,products!$A$1:$A$49,0),MATCH(orders!L$1,products!$A$1:$G$1,0))</f>
        <v>4.7549999999999999</v>
      </c>
      <c r="M941" s="7">
        <f t="shared" si="14"/>
        <v>28.53</v>
      </c>
      <c r="N941" s="4" t="str" cm="1">
        <f t="array" ref="N941">_xlfn.IFS(I941="Rob","Robusta",I941="Exc","Excelsa",I941="Ara","Arabica",I941="Lib","Liberica")</f>
        <v>Liberica</v>
      </c>
      <c r="O941" s="4" t="str" cm="1">
        <f t="array" ref="O941">_xlfn.IFS(J941="M","Medium",J941="L","Light",J941="D","Dark")</f>
        <v>Light</v>
      </c>
      <c r="P941" s="4" t="str">
        <f>_xlfn.XLOOKUP(CoffeeOrderstable[[#This Row],[Customer ID]],customers!$A$1:$A$1001,customers!$I$1:$I$1001,,0)</f>
        <v>No</v>
      </c>
    </row>
    <row r="942" spans="1:16" x14ac:dyDescent="0.3">
      <c r="A942" s="3" t="s">
        <v>5803</v>
      </c>
      <c r="B942" s="5">
        <v>44332</v>
      </c>
      <c r="C942" s="3" t="s">
        <v>5804</v>
      </c>
      <c r="D942" s="4" t="s">
        <v>6173</v>
      </c>
      <c r="E942" s="3">
        <v>2</v>
      </c>
      <c r="F942" s="3" t="str">
        <f>_xlfn.XLOOKUP(C942,customers!$A$1:$A$1001,customers!$B$1:$B$1001,,0)</f>
        <v>Geoffrey Siuda</v>
      </c>
      <c r="G942" s="3" t="str">
        <f>IF(_xlfn.XLOOKUP(C942,customers!$A$1:$A$1001,customers!$C$1:$C$1001,,0)=0,"", _xlfn.XLOOKUP(C942,customers!$A$1:$A$1001,customers!$C$1:$C$1001,,0))</f>
        <v>gsiudaq4@nytimes.com</v>
      </c>
      <c r="H942" s="3" t="str">
        <f>_xlfn.XLOOKUP(C942,customers!$A$1:$A$1001,customers!$G$1:$G$1001,,0)</f>
        <v>United States</v>
      </c>
      <c r="I942" s="4" t="str">
        <f>INDEX(products!$A$1:$G$49,MATCH(orders!$D942,products!$A$1:$A$49,0),MATCH(orders!I$1,products!$A$1:$G$1,0))</f>
        <v>Rob</v>
      </c>
      <c r="J942" s="4" t="str">
        <f>INDEX(products!$A$1:$G$49,MATCH(orders!$D942,products!$A$1:$A$49,0),MATCH(orders!J$1,products!$A$1:$G$1,0))</f>
        <v>L</v>
      </c>
      <c r="K942" s="6">
        <f>INDEX(products!$A$1:$G$49,MATCH(orders!$D942,products!$A$1:$A$49,0),MATCH(orders!K$1,products!$A$1:$G$1,0))</f>
        <v>0.5</v>
      </c>
      <c r="L942" s="7">
        <f>INDEX(products!$A$1:$G$49,MATCH(orders!$D942,products!$A$1:$A$49,0),MATCH(orders!L$1,products!$A$1:$G$1,0))</f>
        <v>7.169999999999999</v>
      </c>
      <c r="M942" s="7">
        <f t="shared" si="14"/>
        <v>14.339999999999998</v>
      </c>
      <c r="N942" s="4" t="str" cm="1">
        <f t="array" ref="N942">_xlfn.IFS(I942="Rob","Robusta",I942="Exc","Excelsa",I942="Ara","Arabica",I942="Lib","Liberica")</f>
        <v>Robusta</v>
      </c>
      <c r="O942" s="4" t="str" cm="1">
        <f t="array" ref="O942">_xlfn.IFS(J942="M","Medium",J942="L","Light",J942="D","Dark")</f>
        <v>Light</v>
      </c>
      <c r="P942" s="4" t="str">
        <f>_xlfn.XLOOKUP(CoffeeOrderstable[[#This Row],[Customer ID]],customers!$A$1:$A$1001,customers!$I$1:$I$1001,,0)</f>
        <v>Yes</v>
      </c>
    </row>
    <row r="943" spans="1:16" x14ac:dyDescent="0.3">
      <c r="A943" s="3" t="s">
        <v>5809</v>
      </c>
      <c r="B943" s="5">
        <v>44674</v>
      </c>
      <c r="C943" s="3" t="s">
        <v>5810</v>
      </c>
      <c r="D943" s="4" t="s">
        <v>6180</v>
      </c>
      <c r="E943" s="3">
        <v>2</v>
      </c>
      <c r="F943" s="3" t="str">
        <f>_xlfn.XLOOKUP(C943,customers!$A$1:$A$1001,customers!$B$1:$B$1001,,0)</f>
        <v>Henderson Crowne</v>
      </c>
      <c r="G943" s="3" t="str">
        <f>IF(_xlfn.XLOOKUP(C943,customers!$A$1:$A$1001,customers!$C$1:$C$1001,,0)=0,"", _xlfn.XLOOKUP(C943,customers!$A$1:$A$1001,customers!$C$1:$C$1001,,0))</f>
        <v>hcrowneq5@wufoo.com</v>
      </c>
      <c r="H943" s="3" t="str">
        <f>_xlfn.XLOOKUP(C943,customers!$A$1:$A$1001,customers!$G$1:$G$1001,,0)</f>
        <v>Ireland</v>
      </c>
      <c r="I943" s="4" t="str">
        <f>INDEX(products!$A$1:$G$49,MATCH(orders!$D943,products!$A$1:$A$49,0),MATCH(orders!I$1,products!$A$1:$G$1,0))</f>
        <v>Ara</v>
      </c>
      <c r="J943" s="4" t="str">
        <f>INDEX(products!$A$1:$G$49,MATCH(orders!$D943,products!$A$1:$A$49,0),MATCH(orders!J$1,products!$A$1:$G$1,0))</f>
        <v>L</v>
      </c>
      <c r="K943" s="6">
        <f>INDEX(products!$A$1:$G$49,MATCH(orders!$D943,products!$A$1:$A$49,0),MATCH(orders!K$1,products!$A$1:$G$1,0))</f>
        <v>0.5</v>
      </c>
      <c r="L943" s="7">
        <f>INDEX(products!$A$1:$G$49,MATCH(orders!$D943,products!$A$1:$A$49,0),MATCH(orders!L$1,products!$A$1:$G$1,0))</f>
        <v>7.77</v>
      </c>
      <c r="M943" s="7">
        <f t="shared" si="14"/>
        <v>15.54</v>
      </c>
      <c r="N943" s="4" t="str" cm="1">
        <f t="array" ref="N943">_xlfn.IFS(I943="Rob","Robusta",I943="Exc","Excelsa",I943="Ara","Arabica",I943="Lib","Liberica")</f>
        <v>Arabica</v>
      </c>
      <c r="O943" s="4" t="str" cm="1">
        <f t="array" ref="O943">_xlfn.IFS(J943="M","Medium",J943="L","Light",J943="D","Dark")</f>
        <v>Light</v>
      </c>
      <c r="P943" s="4" t="str">
        <f>_xlfn.XLOOKUP(CoffeeOrderstable[[#This Row],[Customer ID]],customers!$A$1:$A$1001,customers!$I$1:$I$1001,,0)</f>
        <v>Yes</v>
      </c>
    </row>
    <row r="944" spans="1:16" x14ac:dyDescent="0.3">
      <c r="A944" s="3" t="s">
        <v>5816</v>
      </c>
      <c r="B944" s="5">
        <v>44464</v>
      </c>
      <c r="C944" s="3" t="s">
        <v>5817</v>
      </c>
      <c r="D944" s="4" t="s">
        <v>6179</v>
      </c>
      <c r="E944" s="3">
        <v>3</v>
      </c>
      <c r="F944" s="3" t="str">
        <f>_xlfn.XLOOKUP(C944,customers!$A$1:$A$1001,customers!$B$1:$B$1001,,0)</f>
        <v>Vernor Pawsey</v>
      </c>
      <c r="G944" s="3" t="str">
        <f>IF(_xlfn.XLOOKUP(C944,customers!$A$1:$A$1001,customers!$C$1:$C$1001,,0)=0,"", _xlfn.XLOOKUP(C944,customers!$A$1:$A$1001,customers!$C$1:$C$1001,,0))</f>
        <v>vpawseyq6@tiny.cc</v>
      </c>
      <c r="H944" s="3" t="str">
        <f>_xlfn.XLOOKUP(C944,customers!$A$1:$A$1001,customers!$G$1:$G$1001,,0)</f>
        <v>United States</v>
      </c>
      <c r="I944" s="4" t="str">
        <f>INDEX(products!$A$1:$G$49,MATCH(orders!$D944,products!$A$1:$A$49,0),MATCH(orders!I$1,products!$A$1:$G$1,0))</f>
        <v>Rob</v>
      </c>
      <c r="J944" s="4" t="str">
        <f>INDEX(products!$A$1:$G$49,MATCH(orders!$D944,products!$A$1:$A$49,0),MATCH(orders!J$1,products!$A$1:$G$1,0))</f>
        <v>L</v>
      </c>
      <c r="K944" s="6">
        <f>INDEX(products!$A$1:$G$49,MATCH(orders!$D944,products!$A$1:$A$49,0),MATCH(orders!K$1,products!$A$1:$G$1,0))</f>
        <v>1</v>
      </c>
      <c r="L944" s="7">
        <f>INDEX(products!$A$1:$G$49,MATCH(orders!$D944,products!$A$1:$A$49,0),MATCH(orders!L$1,products!$A$1:$G$1,0))</f>
        <v>11.95</v>
      </c>
      <c r="M944" s="7">
        <f t="shared" si="14"/>
        <v>35.849999999999994</v>
      </c>
      <c r="N944" s="4" t="str" cm="1">
        <f t="array" ref="N944">_xlfn.IFS(I944="Rob","Robusta",I944="Exc","Excelsa",I944="Ara","Arabica",I944="Lib","Liberica")</f>
        <v>Robusta</v>
      </c>
      <c r="O944" s="4" t="str" cm="1">
        <f t="array" ref="O944">_xlfn.IFS(J944="M","Medium",J944="L","Light",J944="D","Dark")</f>
        <v>Light</v>
      </c>
      <c r="P944" s="4" t="str">
        <f>_xlfn.XLOOKUP(CoffeeOrderstable[[#This Row],[Customer ID]],customers!$A$1:$A$1001,customers!$I$1:$I$1001,,0)</f>
        <v>No</v>
      </c>
    </row>
    <row r="945" spans="1:16" x14ac:dyDescent="0.3">
      <c r="A945" s="3" t="s">
        <v>5822</v>
      </c>
      <c r="B945" s="5">
        <v>44719</v>
      </c>
      <c r="C945" s="3" t="s">
        <v>5823</v>
      </c>
      <c r="D945" s="4" t="s">
        <v>6180</v>
      </c>
      <c r="E945" s="3">
        <v>6</v>
      </c>
      <c r="F945" s="3" t="str">
        <f>_xlfn.XLOOKUP(C945,customers!$A$1:$A$1001,customers!$B$1:$B$1001,,0)</f>
        <v>Augustin Waterhouse</v>
      </c>
      <c r="G945" s="3" t="str">
        <f>IF(_xlfn.XLOOKUP(C945,customers!$A$1:$A$1001,customers!$C$1:$C$1001,,0)=0,"", _xlfn.XLOOKUP(C945,customers!$A$1:$A$1001,customers!$C$1:$C$1001,,0))</f>
        <v>awaterhouseq7@istockphoto.com</v>
      </c>
      <c r="H945" s="3" t="str">
        <f>_xlfn.XLOOKUP(C945,customers!$A$1:$A$1001,customers!$G$1:$G$1001,,0)</f>
        <v>United States</v>
      </c>
      <c r="I945" s="4" t="str">
        <f>INDEX(products!$A$1:$G$49,MATCH(orders!$D945,products!$A$1:$A$49,0),MATCH(orders!I$1,products!$A$1:$G$1,0))</f>
        <v>Ara</v>
      </c>
      <c r="J945" s="4" t="str">
        <f>INDEX(products!$A$1:$G$49,MATCH(orders!$D945,products!$A$1:$A$49,0),MATCH(orders!J$1,products!$A$1:$G$1,0))</f>
        <v>L</v>
      </c>
      <c r="K945" s="6">
        <f>INDEX(products!$A$1:$G$49,MATCH(orders!$D945,products!$A$1:$A$49,0),MATCH(orders!K$1,products!$A$1:$G$1,0))</f>
        <v>0.5</v>
      </c>
      <c r="L945" s="7">
        <f>INDEX(products!$A$1:$G$49,MATCH(orders!$D945,products!$A$1:$A$49,0),MATCH(orders!L$1,products!$A$1:$G$1,0))</f>
        <v>7.77</v>
      </c>
      <c r="M945" s="7">
        <f t="shared" si="14"/>
        <v>46.62</v>
      </c>
      <c r="N945" s="4" t="str" cm="1">
        <f t="array" ref="N945">_xlfn.IFS(I945="Rob","Robusta",I945="Exc","Excelsa",I945="Ara","Arabica",I945="Lib","Liberica")</f>
        <v>Arabica</v>
      </c>
      <c r="O945" s="4" t="str" cm="1">
        <f t="array" ref="O945">_xlfn.IFS(J945="M","Medium",J945="L","Light",J945="D","Dark")</f>
        <v>Light</v>
      </c>
      <c r="P945" s="4" t="str">
        <f>_xlfn.XLOOKUP(CoffeeOrderstable[[#This Row],[Customer ID]],customers!$A$1:$A$1001,customers!$I$1:$I$1001,,0)</f>
        <v>No</v>
      </c>
    </row>
    <row r="946" spans="1:16" x14ac:dyDescent="0.3">
      <c r="A946" s="3" t="s">
        <v>5828</v>
      </c>
      <c r="B946" s="5">
        <v>44054</v>
      </c>
      <c r="C946" s="3" t="s">
        <v>5829</v>
      </c>
      <c r="D946" s="4" t="s">
        <v>6173</v>
      </c>
      <c r="E946" s="3">
        <v>5</v>
      </c>
      <c r="F946" s="3" t="str">
        <f>_xlfn.XLOOKUP(C946,customers!$A$1:$A$1001,customers!$B$1:$B$1001,,0)</f>
        <v>Fanchon Haughian</v>
      </c>
      <c r="G946" s="3" t="str">
        <f>IF(_xlfn.XLOOKUP(C946,customers!$A$1:$A$1001,customers!$C$1:$C$1001,,0)=0,"", _xlfn.XLOOKUP(C946,customers!$A$1:$A$1001,customers!$C$1:$C$1001,,0))</f>
        <v>fhaughianq8@1688.com</v>
      </c>
      <c r="H946" s="3" t="str">
        <f>_xlfn.XLOOKUP(C946,customers!$A$1:$A$1001,customers!$G$1:$G$1001,,0)</f>
        <v>United States</v>
      </c>
      <c r="I946" s="4" t="str">
        <f>INDEX(products!$A$1:$G$49,MATCH(orders!$D946,products!$A$1:$A$49,0),MATCH(orders!I$1,products!$A$1:$G$1,0))</f>
        <v>Rob</v>
      </c>
      <c r="J946" s="4" t="str">
        <f>INDEX(products!$A$1:$G$49,MATCH(orders!$D946,products!$A$1:$A$49,0),MATCH(orders!J$1,products!$A$1:$G$1,0))</f>
        <v>L</v>
      </c>
      <c r="K946" s="6">
        <f>INDEX(products!$A$1:$G$49,MATCH(orders!$D946,products!$A$1:$A$49,0),MATCH(orders!K$1,products!$A$1:$G$1,0))</f>
        <v>0.5</v>
      </c>
      <c r="L946" s="7">
        <f>INDEX(products!$A$1:$G$49,MATCH(orders!$D946,products!$A$1:$A$49,0),MATCH(orders!L$1,products!$A$1:$G$1,0))</f>
        <v>7.169999999999999</v>
      </c>
      <c r="M946" s="7">
        <f t="shared" si="14"/>
        <v>35.849999999999994</v>
      </c>
      <c r="N946" s="4" t="str" cm="1">
        <f t="array" ref="N946">_xlfn.IFS(I946="Rob","Robusta",I946="Exc","Excelsa",I946="Ara","Arabica",I946="Lib","Liberica")</f>
        <v>Robusta</v>
      </c>
      <c r="O946" s="4" t="str" cm="1">
        <f t="array" ref="O946">_xlfn.IFS(J946="M","Medium",J946="L","Light",J946="D","Dark")</f>
        <v>Light</v>
      </c>
      <c r="P946" s="4" t="str">
        <f>_xlfn.XLOOKUP(CoffeeOrderstable[[#This Row],[Customer ID]],customers!$A$1:$A$1001,customers!$I$1:$I$1001,,0)</f>
        <v>No</v>
      </c>
    </row>
    <row r="947" spans="1:16" x14ac:dyDescent="0.3">
      <c r="A947" s="3" t="s">
        <v>5834</v>
      </c>
      <c r="B947" s="5">
        <v>43524</v>
      </c>
      <c r="C947" s="3" t="s">
        <v>5835</v>
      </c>
      <c r="D947" s="4" t="s">
        <v>6165</v>
      </c>
      <c r="E947" s="3">
        <v>4</v>
      </c>
      <c r="F947" s="3" t="str">
        <f>_xlfn.XLOOKUP(C947,customers!$A$1:$A$1001,customers!$B$1:$B$1001,,0)</f>
        <v>Jaimie Hatz</v>
      </c>
      <c r="G947" s="3" t="str">
        <f>IF(_xlfn.XLOOKUP(C947,customers!$A$1:$A$1001,customers!$C$1:$C$1001,,0)=0,"", _xlfn.XLOOKUP(C947,customers!$A$1:$A$1001,customers!$C$1:$C$1001,,0))</f>
        <v/>
      </c>
      <c r="H947" s="3" t="str">
        <f>_xlfn.XLOOKUP(C947,customers!$A$1:$A$1001,customers!$G$1:$G$1001,,0)</f>
        <v>United States</v>
      </c>
      <c r="I947" s="4" t="str">
        <f>INDEX(products!$A$1:$G$49,MATCH(orders!$D947,products!$A$1:$A$49,0),MATCH(orders!I$1,products!$A$1:$G$1,0))</f>
        <v>Lib</v>
      </c>
      <c r="J947" s="4" t="str">
        <f>INDEX(products!$A$1:$G$49,MATCH(orders!$D947,products!$A$1:$A$49,0),MATCH(orders!J$1,products!$A$1:$G$1,0))</f>
        <v>D</v>
      </c>
      <c r="K947" s="6">
        <f>INDEX(products!$A$1:$G$49,MATCH(orders!$D947,products!$A$1:$A$49,0),MATCH(orders!K$1,products!$A$1:$G$1,0))</f>
        <v>2.5</v>
      </c>
      <c r="L947" s="7">
        <f>INDEX(products!$A$1:$G$49,MATCH(orders!$D947,products!$A$1:$A$49,0),MATCH(orders!L$1,products!$A$1:$G$1,0))</f>
        <v>29.784999999999997</v>
      </c>
      <c r="M947" s="7">
        <f t="shared" si="14"/>
        <v>119.13999999999999</v>
      </c>
      <c r="N947" s="4" t="str" cm="1">
        <f t="array" ref="N947">_xlfn.IFS(I947="Rob","Robusta",I947="Exc","Excelsa",I947="Ara","Arabica",I947="Lib","Liberica")</f>
        <v>Liberica</v>
      </c>
      <c r="O947" s="4" t="str" cm="1">
        <f t="array" ref="O947">_xlfn.IFS(J947="M","Medium",J947="L","Light",J947="D","Dark")</f>
        <v>Dark</v>
      </c>
      <c r="P947" s="4" t="str">
        <f>_xlfn.XLOOKUP(CoffeeOrderstable[[#This Row],[Customer ID]],customers!$A$1:$A$1001,customers!$I$1:$I$1001,,0)</f>
        <v>No</v>
      </c>
    </row>
    <row r="948" spans="1:16" x14ac:dyDescent="0.3">
      <c r="A948" s="3" t="s">
        <v>5839</v>
      </c>
      <c r="B948" s="5">
        <v>43719</v>
      </c>
      <c r="C948" s="3" t="s">
        <v>5840</v>
      </c>
      <c r="D948" s="4" t="s">
        <v>6169</v>
      </c>
      <c r="E948" s="3">
        <v>3</v>
      </c>
      <c r="F948" s="3" t="str">
        <f>_xlfn.XLOOKUP(C948,customers!$A$1:$A$1001,customers!$B$1:$B$1001,,0)</f>
        <v>Edeline Edney</v>
      </c>
      <c r="G948" s="3" t="str">
        <f>IF(_xlfn.XLOOKUP(C948,customers!$A$1:$A$1001,customers!$C$1:$C$1001,,0)=0,"", _xlfn.XLOOKUP(C948,customers!$A$1:$A$1001,customers!$C$1:$C$1001,,0))</f>
        <v/>
      </c>
      <c r="H948" s="3" t="str">
        <f>_xlfn.XLOOKUP(C948,customers!$A$1:$A$1001,customers!$G$1:$G$1001,,0)</f>
        <v>United States</v>
      </c>
      <c r="I948" s="4" t="str">
        <f>INDEX(products!$A$1:$G$49,MATCH(orders!$D948,products!$A$1:$A$49,0),MATCH(orders!I$1,products!$A$1:$G$1,0))</f>
        <v>Lib</v>
      </c>
      <c r="J948" s="4" t="str">
        <f>INDEX(products!$A$1:$G$49,MATCH(orders!$D948,products!$A$1:$A$49,0),MATCH(orders!J$1,products!$A$1:$G$1,0))</f>
        <v>D</v>
      </c>
      <c r="K948" s="6">
        <f>INDEX(products!$A$1:$G$49,MATCH(orders!$D948,products!$A$1:$A$49,0),MATCH(orders!K$1,products!$A$1:$G$1,0))</f>
        <v>0.5</v>
      </c>
      <c r="L948" s="7">
        <f>INDEX(products!$A$1:$G$49,MATCH(orders!$D948,products!$A$1:$A$49,0),MATCH(orders!L$1,products!$A$1:$G$1,0))</f>
        <v>7.77</v>
      </c>
      <c r="M948" s="7">
        <f t="shared" si="14"/>
        <v>23.31</v>
      </c>
      <c r="N948" s="4" t="str" cm="1">
        <f t="array" ref="N948">_xlfn.IFS(I948="Rob","Robusta",I948="Exc","Excelsa",I948="Ara","Arabica",I948="Lib","Liberica")</f>
        <v>Liberica</v>
      </c>
      <c r="O948" s="4" t="str" cm="1">
        <f t="array" ref="O948">_xlfn.IFS(J948="M","Medium",J948="L","Light",J948="D","Dark")</f>
        <v>Dark</v>
      </c>
      <c r="P948" s="4" t="str">
        <f>_xlfn.XLOOKUP(CoffeeOrderstable[[#This Row],[Customer ID]],customers!$A$1:$A$1001,customers!$I$1:$I$1001,,0)</f>
        <v>No</v>
      </c>
    </row>
    <row r="949" spans="1:16" x14ac:dyDescent="0.3">
      <c r="A949" s="3" t="s">
        <v>5844</v>
      </c>
      <c r="B949" s="5">
        <v>44294</v>
      </c>
      <c r="C949" s="3" t="s">
        <v>5845</v>
      </c>
      <c r="D949" s="4" t="s">
        <v>6155</v>
      </c>
      <c r="E949" s="3">
        <v>1</v>
      </c>
      <c r="F949" s="3" t="str">
        <f>_xlfn.XLOOKUP(C949,customers!$A$1:$A$1001,customers!$B$1:$B$1001,,0)</f>
        <v>Rickie Faltin</v>
      </c>
      <c r="G949" s="3" t="str">
        <f>IF(_xlfn.XLOOKUP(C949,customers!$A$1:$A$1001,customers!$C$1:$C$1001,,0)=0,"", _xlfn.XLOOKUP(C949,customers!$A$1:$A$1001,customers!$C$1:$C$1001,,0))</f>
        <v>rfaltinqb@topsy.com</v>
      </c>
      <c r="H949" s="3" t="str">
        <f>_xlfn.XLOOKUP(C949,customers!$A$1:$A$1001,customers!$G$1:$G$1001,,0)</f>
        <v>Ireland</v>
      </c>
      <c r="I949" s="4" t="str">
        <f>INDEX(products!$A$1:$G$49,MATCH(orders!$D949,products!$A$1:$A$49,0),MATCH(orders!I$1,products!$A$1:$G$1,0))</f>
        <v>Ara</v>
      </c>
      <c r="J949" s="4" t="str">
        <f>INDEX(products!$A$1:$G$49,MATCH(orders!$D949,products!$A$1:$A$49,0),MATCH(orders!J$1,products!$A$1:$G$1,0))</f>
        <v>M</v>
      </c>
      <c r="K949" s="6">
        <f>INDEX(products!$A$1:$G$49,MATCH(orders!$D949,products!$A$1:$A$49,0),MATCH(orders!K$1,products!$A$1:$G$1,0))</f>
        <v>1</v>
      </c>
      <c r="L949" s="7">
        <f>INDEX(products!$A$1:$G$49,MATCH(orders!$D949,products!$A$1:$A$49,0),MATCH(orders!L$1,products!$A$1:$G$1,0))</f>
        <v>11.25</v>
      </c>
      <c r="M949" s="7">
        <f t="shared" si="14"/>
        <v>11.25</v>
      </c>
      <c r="N949" s="4" t="str" cm="1">
        <f t="array" ref="N949">_xlfn.IFS(I949="Rob","Robusta",I949="Exc","Excelsa",I949="Ara","Arabica",I949="Lib","Liberica")</f>
        <v>Arabica</v>
      </c>
      <c r="O949" s="4" t="str" cm="1">
        <f t="array" ref="O949">_xlfn.IFS(J949="M","Medium",J949="L","Light",J949="D","Dark")</f>
        <v>Medium</v>
      </c>
      <c r="P949" s="4" t="str">
        <f>_xlfn.XLOOKUP(CoffeeOrderstable[[#This Row],[Customer ID]],customers!$A$1:$A$1001,customers!$I$1:$I$1001,,0)</f>
        <v>No</v>
      </c>
    </row>
    <row r="950" spans="1:16" x14ac:dyDescent="0.3">
      <c r="A950" s="3" t="s">
        <v>5849</v>
      </c>
      <c r="B950" s="5">
        <v>44445</v>
      </c>
      <c r="C950" s="3" t="s">
        <v>5850</v>
      </c>
      <c r="D950" s="4" t="s">
        <v>6185</v>
      </c>
      <c r="E950" s="3">
        <v>3</v>
      </c>
      <c r="F950" s="3" t="str">
        <f>_xlfn.XLOOKUP(C950,customers!$A$1:$A$1001,customers!$B$1:$B$1001,,0)</f>
        <v>Gnni Cheeke</v>
      </c>
      <c r="G950" s="3" t="str">
        <f>IF(_xlfn.XLOOKUP(C950,customers!$A$1:$A$1001,customers!$C$1:$C$1001,,0)=0,"", _xlfn.XLOOKUP(C950,customers!$A$1:$A$1001,customers!$C$1:$C$1001,,0))</f>
        <v>gcheekeqc@sitemeter.com</v>
      </c>
      <c r="H950" s="3" t="str">
        <f>_xlfn.XLOOKUP(C950,customers!$A$1:$A$1001,customers!$G$1:$G$1001,,0)</f>
        <v>United Kingdom</v>
      </c>
      <c r="I950" s="4" t="str">
        <f>INDEX(products!$A$1:$G$49,MATCH(orders!$D950,products!$A$1:$A$49,0),MATCH(orders!I$1,products!$A$1:$G$1,0))</f>
        <v>Exc</v>
      </c>
      <c r="J950" s="4" t="str">
        <f>INDEX(products!$A$1:$G$49,MATCH(orders!$D950,products!$A$1:$A$49,0),MATCH(orders!J$1,products!$A$1:$G$1,0))</f>
        <v>D</v>
      </c>
      <c r="K950" s="6">
        <f>INDEX(products!$A$1:$G$49,MATCH(orders!$D950,products!$A$1:$A$49,0),MATCH(orders!K$1,products!$A$1:$G$1,0))</f>
        <v>2.5</v>
      </c>
      <c r="L950" s="7">
        <f>INDEX(products!$A$1:$G$49,MATCH(orders!$D950,products!$A$1:$A$49,0),MATCH(orders!L$1,products!$A$1:$G$1,0))</f>
        <v>27.945</v>
      </c>
      <c r="M950" s="7">
        <f t="shared" si="14"/>
        <v>83.835000000000008</v>
      </c>
      <c r="N950" s="4" t="str" cm="1">
        <f t="array" ref="N950">_xlfn.IFS(I950="Rob","Robusta",I950="Exc","Excelsa",I950="Ara","Arabica",I950="Lib","Liberica")</f>
        <v>Excelsa</v>
      </c>
      <c r="O950" s="4" t="str" cm="1">
        <f t="array" ref="O950">_xlfn.IFS(J950="M","Medium",J950="L","Light",J950="D","Dark")</f>
        <v>Dark</v>
      </c>
      <c r="P950" s="4" t="str">
        <f>_xlfn.XLOOKUP(CoffeeOrderstable[[#This Row],[Customer ID]],customers!$A$1:$A$1001,customers!$I$1:$I$1001,,0)</f>
        <v>Yes</v>
      </c>
    </row>
    <row r="951" spans="1:16" x14ac:dyDescent="0.3">
      <c r="A951" s="3" t="s">
        <v>5855</v>
      </c>
      <c r="B951" s="5">
        <v>44449</v>
      </c>
      <c r="C951" s="3" t="s">
        <v>5856</v>
      </c>
      <c r="D951" s="4" t="s">
        <v>6142</v>
      </c>
      <c r="E951" s="3">
        <v>4</v>
      </c>
      <c r="F951" s="3" t="str">
        <f>_xlfn.XLOOKUP(C951,customers!$A$1:$A$1001,customers!$B$1:$B$1001,,0)</f>
        <v>Gwenni Ratt</v>
      </c>
      <c r="G951" s="3" t="str">
        <f>IF(_xlfn.XLOOKUP(C951,customers!$A$1:$A$1001,customers!$C$1:$C$1001,,0)=0,"", _xlfn.XLOOKUP(C951,customers!$A$1:$A$1001,customers!$C$1:$C$1001,,0))</f>
        <v>grattqd@phpbb.com</v>
      </c>
      <c r="H951" s="3" t="str">
        <f>_xlfn.XLOOKUP(C951,customers!$A$1:$A$1001,customers!$G$1:$G$1001,,0)</f>
        <v>Ireland</v>
      </c>
      <c r="I951" s="4" t="str">
        <f>INDEX(products!$A$1:$G$49,MATCH(orders!$D951,products!$A$1:$A$49,0),MATCH(orders!I$1,products!$A$1:$G$1,0))</f>
        <v>Rob</v>
      </c>
      <c r="J951" s="4" t="str">
        <f>INDEX(products!$A$1:$G$49,MATCH(orders!$D951,products!$A$1:$A$49,0),MATCH(orders!J$1,products!$A$1:$G$1,0))</f>
        <v>L</v>
      </c>
      <c r="K951" s="6">
        <f>INDEX(products!$A$1:$G$49,MATCH(orders!$D951,products!$A$1:$A$49,0),MATCH(orders!K$1,products!$A$1:$G$1,0))</f>
        <v>2.5</v>
      </c>
      <c r="L951" s="7">
        <f>INDEX(products!$A$1:$G$49,MATCH(orders!$D951,products!$A$1:$A$49,0),MATCH(orders!L$1,products!$A$1:$G$1,0))</f>
        <v>27.484999999999996</v>
      </c>
      <c r="M951" s="7">
        <f t="shared" si="14"/>
        <v>109.93999999999998</v>
      </c>
      <c r="N951" s="4" t="str" cm="1">
        <f t="array" ref="N951">_xlfn.IFS(I951="Rob","Robusta",I951="Exc","Excelsa",I951="Ara","Arabica",I951="Lib","Liberica")</f>
        <v>Robusta</v>
      </c>
      <c r="O951" s="4" t="str" cm="1">
        <f t="array" ref="O951">_xlfn.IFS(J951="M","Medium",J951="L","Light",J951="D","Dark")</f>
        <v>Light</v>
      </c>
      <c r="P951" s="4" t="str">
        <f>_xlfn.XLOOKUP(CoffeeOrderstable[[#This Row],[Customer ID]],customers!$A$1:$A$1001,customers!$I$1:$I$1001,,0)</f>
        <v>No</v>
      </c>
    </row>
    <row r="952" spans="1:16" x14ac:dyDescent="0.3">
      <c r="A952" s="3" t="s">
        <v>5861</v>
      </c>
      <c r="B952" s="5">
        <v>44703</v>
      </c>
      <c r="C952" s="3" t="s">
        <v>5862</v>
      </c>
      <c r="D952" s="4" t="s">
        <v>6178</v>
      </c>
      <c r="E952" s="3">
        <v>4</v>
      </c>
      <c r="F952" s="3" t="str">
        <f>_xlfn.XLOOKUP(C952,customers!$A$1:$A$1001,customers!$B$1:$B$1001,,0)</f>
        <v>Johnath Fairebrother</v>
      </c>
      <c r="G952" s="3" t="str">
        <f>IF(_xlfn.XLOOKUP(C952,customers!$A$1:$A$1001,customers!$C$1:$C$1001,,0)=0,"", _xlfn.XLOOKUP(C952,customers!$A$1:$A$1001,customers!$C$1:$C$1001,,0))</f>
        <v/>
      </c>
      <c r="H952" s="3" t="str">
        <f>_xlfn.XLOOKUP(C952,customers!$A$1:$A$1001,customers!$G$1:$G$1001,,0)</f>
        <v>United States</v>
      </c>
      <c r="I952" s="4" t="str">
        <f>INDEX(products!$A$1:$G$49,MATCH(orders!$D952,products!$A$1:$A$49,0),MATCH(orders!I$1,products!$A$1:$G$1,0))</f>
        <v>Rob</v>
      </c>
      <c r="J952" s="4" t="str">
        <f>INDEX(products!$A$1:$G$49,MATCH(orders!$D952,products!$A$1:$A$49,0),MATCH(orders!J$1,products!$A$1:$G$1,0))</f>
        <v>L</v>
      </c>
      <c r="K952" s="6">
        <f>INDEX(products!$A$1:$G$49,MATCH(orders!$D952,products!$A$1:$A$49,0),MATCH(orders!K$1,products!$A$1:$G$1,0))</f>
        <v>0.2</v>
      </c>
      <c r="L952" s="7">
        <f>INDEX(products!$A$1:$G$49,MATCH(orders!$D952,products!$A$1:$A$49,0),MATCH(orders!L$1,products!$A$1:$G$1,0))</f>
        <v>3.5849999999999995</v>
      </c>
      <c r="M952" s="7">
        <f t="shared" si="14"/>
        <v>14.339999999999998</v>
      </c>
      <c r="N952" s="4" t="str" cm="1">
        <f t="array" ref="N952">_xlfn.IFS(I952="Rob","Robusta",I952="Exc","Excelsa",I952="Ara","Arabica",I952="Lib","Liberica")</f>
        <v>Robusta</v>
      </c>
      <c r="O952" s="4" t="str" cm="1">
        <f t="array" ref="O952">_xlfn.IFS(J952="M","Medium",J952="L","Light",J952="D","Dark")</f>
        <v>Light</v>
      </c>
      <c r="P952" s="4" t="str">
        <f>_xlfn.XLOOKUP(CoffeeOrderstable[[#This Row],[Customer ID]],customers!$A$1:$A$1001,customers!$I$1:$I$1001,,0)</f>
        <v>Yes</v>
      </c>
    </row>
    <row r="953" spans="1:16" x14ac:dyDescent="0.3">
      <c r="A953" s="3" t="s">
        <v>5866</v>
      </c>
      <c r="B953" s="5">
        <v>44092</v>
      </c>
      <c r="C953" s="3" t="s">
        <v>5867</v>
      </c>
      <c r="D953" s="4" t="s">
        <v>6178</v>
      </c>
      <c r="E953" s="3">
        <v>6</v>
      </c>
      <c r="F953" s="3" t="str">
        <f>_xlfn.XLOOKUP(C953,customers!$A$1:$A$1001,customers!$B$1:$B$1001,,0)</f>
        <v>Ingamar Eberlein</v>
      </c>
      <c r="G953" s="3" t="str">
        <f>IF(_xlfn.XLOOKUP(C953,customers!$A$1:$A$1001,customers!$C$1:$C$1001,,0)=0,"", _xlfn.XLOOKUP(C953,customers!$A$1:$A$1001,customers!$C$1:$C$1001,,0))</f>
        <v>ieberleinqf@hc360.com</v>
      </c>
      <c r="H953" s="3" t="str">
        <f>_xlfn.XLOOKUP(C953,customers!$A$1:$A$1001,customers!$G$1:$G$1001,,0)</f>
        <v>United States</v>
      </c>
      <c r="I953" s="4" t="str">
        <f>INDEX(products!$A$1:$G$49,MATCH(orders!$D953,products!$A$1:$A$49,0),MATCH(orders!I$1,products!$A$1:$G$1,0))</f>
        <v>Rob</v>
      </c>
      <c r="J953" s="4" t="str">
        <f>INDEX(products!$A$1:$G$49,MATCH(orders!$D953,products!$A$1:$A$49,0),MATCH(orders!J$1,products!$A$1:$G$1,0))</f>
        <v>L</v>
      </c>
      <c r="K953" s="6">
        <f>INDEX(products!$A$1:$G$49,MATCH(orders!$D953,products!$A$1:$A$49,0),MATCH(orders!K$1,products!$A$1:$G$1,0))</f>
        <v>0.2</v>
      </c>
      <c r="L953" s="7">
        <f>INDEX(products!$A$1:$G$49,MATCH(orders!$D953,products!$A$1:$A$49,0),MATCH(orders!L$1,products!$A$1:$G$1,0))</f>
        <v>3.5849999999999995</v>
      </c>
      <c r="M953" s="7">
        <f t="shared" si="14"/>
        <v>21.509999999999998</v>
      </c>
      <c r="N953" s="4" t="str" cm="1">
        <f t="array" ref="N953">_xlfn.IFS(I953="Rob","Robusta",I953="Exc","Excelsa",I953="Ara","Arabica",I953="Lib","Liberica")</f>
        <v>Robusta</v>
      </c>
      <c r="O953" s="4" t="str" cm="1">
        <f t="array" ref="O953">_xlfn.IFS(J953="M","Medium",J953="L","Light",J953="D","Dark")</f>
        <v>Light</v>
      </c>
      <c r="P953" s="4" t="str">
        <f>_xlfn.XLOOKUP(CoffeeOrderstable[[#This Row],[Customer ID]],customers!$A$1:$A$1001,customers!$I$1:$I$1001,,0)</f>
        <v>No</v>
      </c>
    </row>
    <row r="954" spans="1:16" x14ac:dyDescent="0.3">
      <c r="A954" s="3" t="s">
        <v>5872</v>
      </c>
      <c r="B954" s="5">
        <v>44439</v>
      </c>
      <c r="C954" s="3" t="s">
        <v>5873</v>
      </c>
      <c r="D954" s="4" t="s">
        <v>6155</v>
      </c>
      <c r="E954" s="3">
        <v>2</v>
      </c>
      <c r="F954" s="3" t="str">
        <f>_xlfn.XLOOKUP(C954,customers!$A$1:$A$1001,customers!$B$1:$B$1001,,0)</f>
        <v>Jilly Dreng</v>
      </c>
      <c r="G954" s="3" t="str">
        <f>IF(_xlfn.XLOOKUP(C954,customers!$A$1:$A$1001,customers!$C$1:$C$1001,,0)=0,"", _xlfn.XLOOKUP(C954,customers!$A$1:$A$1001,customers!$C$1:$C$1001,,0))</f>
        <v>jdrengqg@uiuc.edu</v>
      </c>
      <c r="H954" s="3" t="str">
        <f>_xlfn.XLOOKUP(C954,customers!$A$1:$A$1001,customers!$G$1:$G$1001,,0)</f>
        <v>Ireland</v>
      </c>
      <c r="I954" s="4" t="str">
        <f>INDEX(products!$A$1:$G$49,MATCH(orders!$D954,products!$A$1:$A$49,0),MATCH(orders!I$1,products!$A$1:$G$1,0))</f>
        <v>Ara</v>
      </c>
      <c r="J954" s="4" t="str">
        <f>INDEX(products!$A$1:$G$49,MATCH(orders!$D954,products!$A$1:$A$49,0),MATCH(orders!J$1,products!$A$1:$G$1,0))</f>
        <v>M</v>
      </c>
      <c r="K954" s="6">
        <f>INDEX(products!$A$1:$G$49,MATCH(orders!$D954,products!$A$1:$A$49,0),MATCH(orders!K$1,products!$A$1:$G$1,0))</f>
        <v>1</v>
      </c>
      <c r="L954" s="7">
        <f>INDEX(products!$A$1:$G$49,MATCH(orders!$D954,products!$A$1:$A$49,0),MATCH(orders!L$1,products!$A$1:$G$1,0))</f>
        <v>11.25</v>
      </c>
      <c r="M954" s="7">
        <f t="shared" si="14"/>
        <v>22.5</v>
      </c>
      <c r="N954" s="4" t="str" cm="1">
        <f t="array" ref="N954">_xlfn.IFS(I954="Rob","Robusta",I954="Exc","Excelsa",I954="Ara","Arabica",I954="Lib","Liberica")</f>
        <v>Arabica</v>
      </c>
      <c r="O954" s="4" t="str" cm="1">
        <f t="array" ref="O954">_xlfn.IFS(J954="M","Medium",J954="L","Light",J954="D","Dark")</f>
        <v>Medium</v>
      </c>
      <c r="P954" s="4" t="str">
        <f>_xlfn.XLOOKUP(CoffeeOrderstable[[#This Row],[Customer ID]],customers!$A$1:$A$1001,customers!$I$1:$I$1001,,0)</f>
        <v>Yes</v>
      </c>
    </row>
    <row r="955" spans="1:16" x14ac:dyDescent="0.3">
      <c r="A955" s="3" t="s">
        <v>5878</v>
      </c>
      <c r="B955" s="5">
        <v>44582</v>
      </c>
      <c r="C955" s="3" t="s">
        <v>5764</v>
      </c>
      <c r="D955" s="4" t="s">
        <v>6167</v>
      </c>
      <c r="E955" s="3">
        <v>1</v>
      </c>
      <c r="F955" s="3" t="str">
        <f>_xlfn.XLOOKUP(C955,customers!$A$1:$A$1001,customers!$B$1:$B$1001,,0)</f>
        <v>Brenn Dundredge</v>
      </c>
      <c r="G955" s="3" t="str">
        <f>IF(_xlfn.XLOOKUP(C955,customers!$A$1:$A$1001,customers!$C$1:$C$1001,,0)=0,"", _xlfn.XLOOKUP(C955,customers!$A$1:$A$1001,customers!$C$1:$C$1001,,0))</f>
        <v/>
      </c>
      <c r="H955" s="3" t="str">
        <f>_xlfn.XLOOKUP(C955,customers!$A$1:$A$1001,customers!$G$1:$G$1001,,0)</f>
        <v>United States</v>
      </c>
      <c r="I955" s="4" t="str">
        <f>INDEX(products!$A$1:$G$49,MATCH(orders!$D955,products!$A$1:$A$49,0),MATCH(orders!I$1,products!$A$1:$G$1,0))</f>
        <v>Ara</v>
      </c>
      <c r="J955" s="4" t="str">
        <f>INDEX(products!$A$1:$G$49,MATCH(orders!$D955,products!$A$1:$A$49,0),MATCH(orders!J$1,products!$A$1:$G$1,0))</f>
        <v>L</v>
      </c>
      <c r="K955" s="6">
        <f>INDEX(products!$A$1:$G$49,MATCH(orders!$D955,products!$A$1:$A$49,0),MATCH(orders!K$1,products!$A$1:$G$1,0))</f>
        <v>0.2</v>
      </c>
      <c r="L955" s="7">
        <f>INDEX(products!$A$1:$G$49,MATCH(orders!$D955,products!$A$1:$A$49,0),MATCH(orders!L$1,products!$A$1:$G$1,0))</f>
        <v>3.8849999999999998</v>
      </c>
      <c r="M955" s="7">
        <f t="shared" si="14"/>
        <v>3.8849999999999998</v>
      </c>
      <c r="N955" s="4" t="str" cm="1">
        <f t="array" ref="N955">_xlfn.IFS(I955="Rob","Robusta",I955="Exc","Excelsa",I955="Ara","Arabica",I955="Lib","Liberica")</f>
        <v>Arabica</v>
      </c>
      <c r="O955" s="4" t="str" cm="1">
        <f t="array" ref="O955">_xlfn.IFS(J955="M","Medium",J955="L","Light",J955="D","Dark")</f>
        <v>Light</v>
      </c>
      <c r="P955" s="4" t="str">
        <f>_xlfn.XLOOKUP(CoffeeOrderstable[[#This Row],[Customer ID]],customers!$A$1:$A$1001,customers!$I$1:$I$1001,,0)</f>
        <v>Yes</v>
      </c>
    </row>
    <row r="956" spans="1:16" x14ac:dyDescent="0.3">
      <c r="A956" s="3" t="s">
        <v>5884</v>
      </c>
      <c r="B956" s="5">
        <v>44722</v>
      </c>
      <c r="C956" s="3" t="s">
        <v>5764</v>
      </c>
      <c r="D956" s="4" t="s">
        <v>6185</v>
      </c>
      <c r="E956" s="3">
        <v>1</v>
      </c>
      <c r="F956" s="3" t="str">
        <f>_xlfn.XLOOKUP(C956,customers!$A$1:$A$1001,customers!$B$1:$B$1001,,0)</f>
        <v>Brenn Dundredge</v>
      </c>
      <c r="G956" s="3" t="str">
        <f>IF(_xlfn.XLOOKUP(C956,customers!$A$1:$A$1001,customers!$C$1:$C$1001,,0)=0,"", _xlfn.XLOOKUP(C956,customers!$A$1:$A$1001,customers!$C$1:$C$1001,,0))</f>
        <v/>
      </c>
      <c r="H956" s="3" t="str">
        <f>_xlfn.XLOOKUP(C956,customers!$A$1:$A$1001,customers!$G$1:$G$1001,,0)</f>
        <v>United States</v>
      </c>
      <c r="I956" s="4" t="str">
        <f>INDEX(products!$A$1:$G$49,MATCH(orders!$D956,products!$A$1:$A$49,0),MATCH(orders!I$1,products!$A$1:$G$1,0))</f>
        <v>Exc</v>
      </c>
      <c r="J956" s="4" t="str">
        <f>INDEX(products!$A$1:$G$49,MATCH(orders!$D956,products!$A$1:$A$49,0),MATCH(orders!J$1,products!$A$1:$G$1,0))</f>
        <v>D</v>
      </c>
      <c r="K956" s="6">
        <f>INDEX(products!$A$1:$G$49,MATCH(orders!$D956,products!$A$1:$A$49,0),MATCH(orders!K$1,products!$A$1:$G$1,0))</f>
        <v>2.5</v>
      </c>
      <c r="L956" s="7">
        <f>INDEX(products!$A$1:$G$49,MATCH(orders!$D956,products!$A$1:$A$49,0),MATCH(orders!L$1,products!$A$1:$G$1,0))</f>
        <v>27.945</v>
      </c>
      <c r="M956" s="7">
        <f t="shared" si="14"/>
        <v>27.945</v>
      </c>
      <c r="N956" s="4" t="str" cm="1">
        <f t="array" ref="N956">_xlfn.IFS(I956="Rob","Robusta",I956="Exc","Excelsa",I956="Ara","Arabica",I956="Lib","Liberica")</f>
        <v>Excelsa</v>
      </c>
      <c r="O956" s="4" t="str" cm="1">
        <f t="array" ref="O956">_xlfn.IFS(J956="M","Medium",J956="L","Light",J956="D","Dark")</f>
        <v>Dark</v>
      </c>
      <c r="P956" s="4" t="str">
        <f>_xlfn.XLOOKUP(CoffeeOrderstable[[#This Row],[Customer ID]],customers!$A$1:$A$1001,customers!$I$1:$I$1001,,0)</f>
        <v>Yes</v>
      </c>
    </row>
    <row r="957" spans="1:16" x14ac:dyDescent="0.3">
      <c r="A957" s="3" t="s">
        <v>5890</v>
      </c>
      <c r="B957" s="5">
        <v>43582</v>
      </c>
      <c r="C957" s="3" t="s">
        <v>5764</v>
      </c>
      <c r="D957" s="4" t="s">
        <v>6148</v>
      </c>
      <c r="E957" s="3">
        <v>5</v>
      </c>
      <c r="F957" s="3" t="str">
        <f>_xlfn.XLOOKUP(C957,customers!$A$1:$A$1001,customers!$B$1:$B$1001,,0)</f>
        <v>Brenn Dundredge</v>
      </c>
      <c r="G957" s="3" t="str">
        <f>IF(_xlfn.XLOOKUP(C957,customers!$A$1:$A$1001,customers!$C$1:$C$1001,,0)=0,"", _xlfn.XLOOKUP(C957,customers!$A$1:$A$1001,customers!$C$1:$C$1001,,0))</f>
        <v/>
      </c>
      <c r="H957" s="3" t="str">
        <f>_xlfn.XLOOKUP(C957,customers!$A$1:$A$1001,customers!$G$1:$G$1001,,0)</f>
        <v>United States</v>
      </c>
      <c r="I957" s="4" t="str">
        <f>INDEX(products!$A$1:$G$49,MATCH(orders!$D957,products!$A$1:$A$49,0),MATCH(orders!I$1,products!$A$1:$G$1,0))</f>
        <v>Exc</v>
      </c>
      <c r="J957" s="4" t="str">
        <f>INDEX(products!$A$1:$G$49,MATCH(orders!$D957,products!$A$1:$A$49,0),MATCH(orders!J$1,products!$A$1:$G$1,0))</f>
        <v>L</v>
      </c>
      <c r="K957" s="6">
        <f>INDEX(products!$A$1:$G$49,MATCH(orders!$D957,products!$A$1:$A$49,0),MATCH(orders!K$1,products!$A$1:$G$1,0))</f>
        <v>2.5</v>
      </c>
      <c r="L957" s="7">
        <f>INDEX(products!$A$1:$G$49,MATCH(orders!$D957,products!$A$1:$A$49,0),MATCH(orders!L$1,products!$A$1:$G$1,0))</f>
        <v>34.154999999999994</v>
      </c>
      <c r="M957" s="7">
        <f t="shared" si="14"/>
        <v>170.77499999999998</v>
      </c>
      <c r="N957" s="4" t="str" cm="1">
        <f t="array" ref="N957">_xlfn.IFS(I957="Rob","Robusta",I957="Exc","Excelsa",I957="Ara","Arabica",I957="Lib","Liberica")</f>
        <v>Excelsa</v>
      </c>
      <c r="O957" s="4" t="str" cm="1">
        <f t="array" ref="O957">_xlfn.IFS(J957="M","Medium",J957="L","Light",J957="D","Dark")</f>
        <v>Light</v>
      </c>
      <c r="P957" s="4" t="str">
        <f>_xlfn.XLOOKUP(CoffeeOrderstable[[#This Row],[Customer ID]],customers!$A$1:$A$1001,customers!$I$1:$I$1001,,0)</f>
        <v>Yes</v>
      </c>
    </row>
    <row r="958" spans="1:16" x14ac:dyDescent="0.3">
      <c r="A958" s="3" t="s">
        <v>5890</v>
      </c>
      <c r="B958" s="5">
        <v>43582</v>
      </c>
      <c r="C958" s="3" t="s">
        <v>5764</v>
      </c>
      <c r="D958" s="4" t="s">
        <v>6142</v>
      </c>
      <c r="E958" s="3">
        <v>2</v>
      </c>
      <c r="F958" s="3" t="str">
        <f>_xlfn.XLOOKUP(C958,customers!$A$1:$A$1001,customers!$B$1:$B$1001,,0)</f>
        <v>Brenn Dundredge</v>
      </c>
      <c r="G958" s="3" t="str">
        <f>IF(_xlfn.XLOOKUP(C958,customers!$A$1:$A$1001,customers!$C$1:$C$1001,,0)=0,"", _xlfn.XLOOKUP(C958,customers!$A$1:$A$1001,customers!$C$1:$C$1001,,0))</f>
        <v/>
      </c>
      <c r="H958" s="3" t="str">
        <f>_xlfn.XLOOKUP(C958,customers!$A$1:$A$1001,customers!$G$1:$G$1001,,0)</f>
        <v>United States</v>
      </c>
      <c r="I958" s="4" t="str">
        <f>INDEX(products!$A$1:$G$49,MATCH(orders!$D958,products!$A$1:$A$49,0),MATCH(orders!I$1,products!$A$1:$G$1,0))</f>
        <v>Rob</v>
      </c>
      <c r="J958" s="4" t="str">
        <f>INDEX(products!$A$1:$G$49,MATCH(orders!$D958,products!$A$1:$A$49,0),MATCH(orders!J$1,products!$A$1:$G$1,0))</f>
        <v>L</v>
      </c>
      <c r="K958" s="6">
        <f>INDEX(products!$A$1:$G$49,MATCH(orders!$D958,products!$A$1:$A$49,0),MATCH(orders!K$1,products!$A$1:$G$1,0))</f>
        <v>2.5</v>
      </c>
      <c r="L958" s="7">
        <f>INDEX(products!$A$1:$G$49,MATCH(orders!$D958,products!$A$1:$A$49,0),MATCH(orders!L$1,products!$A$1:$G$1,0))</f>
        <v>27.484999999999996</v>
      </c>
      <c r="M958" s="7">
        <f t="shared" si="14"/>
        <v>54.969999999999992</v>
      </c>
      <c r="N958" s="4" t="str" cm="1">
        <f t="array" ref="N958">_xlfn.IFS(I958="Rob","Robusta",I958="Exc","Excelsa",I958="Ara","Arabica",I958="Lib","Liberica")</f>
        <v>Robusta</v>
      </c>
      <c r="O958" s="4" t="str" cm="1">
        <f t="array" ref="O958">_xlfn.IFS(J958="M","Medium",J958="L","Light",J958="D","Dark")</f>
        <v>Light</v>
      </c>
      <c r="P958" s="4" t="str">
        <f>_xlfn.XLOOKUP(CoffeeOrderstable[[#This Row],[Customer ID]],customers!$A$1:$A$1001,customers!$I$1:$I$1001,,0)</f>
        <v>Yes</v>
      </c>
    </row>
    <row r="959" spans="1:16" x14ac:dyDescent="0.3">
      <c r="A959" s="3" t="s">
        <v>5890</v>
      </c>
      <c r="B959" s="5">
        <v>43582</v>
      </c>
      <c r="C959" s="3" t="s">
        <v>5764</v>
      </c>
      <c r="D959" s="4" t="s">
        <v>6171</v>
      </c>
      <c r="E959" s="3">
        <v>1</v>
      </c>
      <c r="F959" s="3" t="str">
        <f>_xlfn.XLOOKUP(C959,customers!$A$1:$A$1001,customers!$B$1:$B$1001,,0)</f>
        <v>Brenn Dundredge</v>
      </c>
      <c r="G959" s="3" t="str">
        <f>IF(_xlfn.XLOOKUP(C959,customers!$A$1:$A$1001,customers!$C$1:$C$1001,,0)=0,"", _xlfn.XLOOKUP(C959,customers!$A$1:$A$1001,customers!$C$1:$C$1001,,0))</f>
        <v/>
      </c>
      <c r="H959" s="3" t="str">
        <f>_xlfn.XLOOKUP(C959,customers!$A$1:$A$1001,customers!$G$1:$G$1001,,0)</f>
        <v>United States</v>
      </c>
      <c r="I959" s="4" t="str">
        <f>INDEX(products!$A$1:$G$49,MATCH(orders!$D959,products!$A$1:$A$49,0),MATCH(orders!I$1,products!$A$1:$G$1,0))</f>
        <v>Exc</v>
      </c>
      <c r="J959" s="4" t="str">
        <f>INDEX(products!$A$1:$G$49,MATCH(orders!$D959,products!$A$1:$A$49,0),MATCH(orders!J$1,products!$A$1:$G$1,0))</f>
        <v>L</v>
      </c>
      <c r="K959" s="6">
        <f>INDEX(products!$A$1:$G$49,MATCH(orders!$D959,products!$A$1:$A$49,0),MATCH(orders!K$1,products!$A$1:$G$1,0))</f>
        <v>1</v>
      </c>
      <c r="L959" s="7">
        <f>INDEX(products!$A$1:$G$49,MATCH(orders!$D959,products!$A$1:$A$49,0),MATCH(orders!L$1,products!$A$1:$G$1,0))</f>
        <v>14.85</v>
      </c>
      <c r="M959" s="7">
        <f t="shared" si="14"/>
        <v>14.85</v>
      </c>
      <c r="N959" s="4" t="str" cm="1">
        <f t="array" ref="N959">_xlfn.IFS(I959="Rob","Robusta",I959="Exc","Excelsa",I959="Ara","Arabica",I959="Lib","Liberica")</f>
        <v>Excelsa</v>
      </c>
      <c r="O959" s="4" t="str" cm="1">
        <f t="array" ref="O959">_xlfn.IFS(J959="M","Medium",J959="L","Light",J959="D","Dark")</f>
        <v>Light</v>
      </c>
      <c r="P959" s="4" t="str">
        <f>_xlfn.XLOOKUP(CoffeeOrderstable[[#This Row],[Customer ID]],customers!$A$1:$A$1001,customers!$I$1:$I$1001,,0)</f>
        <v>Yes</v>
      </c>
    </row>
    <row r="960" spans="1:16" x14ac:dyDescent="0.3">
      <c r="A960" s="3" t="s">
        <v>5890</v>
      </c>
      <c r="B960" s="5">
        <v>43582</v>
      </c>
      <c r="C960" s="3" t="s">
        <v>5764</v>
      </c>
      <c r="D960" s="4" t="s">
        <v>6167</v>
      </c>
      <c r="E960" s="3">
        <v>2</v>
      </c>
      <c r="F960" s="3" t="str">
        <f>_xlfn.XLOOKUP(C960,customers!$A$1:$A$1001,customers!$B$1:$B$1001,,0)</f>
        <v>Brenn Dundredge</v>
      </c>
      <c r="G960" s="3" t="str">
        <f>IF(_xlfn.XLOOKUP(C960,customers!$A$1:$A$1001,customers!$C$1:$C$1001,,0)=0,"", _xlfn.XLOOKUP(C960,customers!$A$1:$A$1001,customers!$C$1:$C$1001,,0))</f>
        <v/>
      </c>
      <c r="H960" s="3" t="str">
        <f>_xlfn.XLOOKUP(C960,customers!$A$1:$A$1001,customers!$G$1:$G$1001,,0)</f>
        <v>United States</v>
      </c>
      <c r="I960" s="4" t="str">
        <f>INDEX(products!$A$1:$G$49,MATCH(orders!$D960,products!$A$1:$A$49,0),MATCH(orders!I$1,products!$A$1:$G$1,0))</f>
        <v>Ara</v>
      </c>
      <c r="J960" s="4" t="str">
        <f>INDEX(products!$A$1:$G$49,MATCH(orders!$D960,products!$A$1:$A$49,0),MATCH(orders!J$1,products!$A$1:$G$1,0))</f>
        <v>L</v>
      </c>
      <c r="K960" s="6">
        <f>INDEX(products!$A$1:$G$49,MATCH(orders!$D960,products!$A$1:$A$49,0),MATCH(orders!K$1,products!$A$1:$G$1,0))</f>
        <v>0.2</v>
      </c>
      <c r="L960" s="7">
        <f>INDEX(products!$A$1:$G$49,MATCH(orders!$D960,products!$A$1:$A$49,0),MATCH(orders!L$1,products!$A$1:$G$1,0))</f>
        <v>3.8849999999999998</v>
      </c>
      <c r="M960" s="7">
        <f t="shared" si="14"/>
        <v>7.77</v>
      </c>
      <c r="N960" s="4" t="str" cm="1">
        <f t="array" ref="N960">_xlfn.IFS(I960="Rob","Robusta",I960="Exc","Excelsa",I960="Ara","Arabica",I960="Lib","Liberica")</f>
        <v>Arabica</v>
      </c>
      <c r="O960" s="4" t="str" cm="1">
        <f t="array" ref="O960">_xlfn.IFS(J960="M","Medium",J960="L","Light",J960="D","Dark")</f>
        <v>Light</v>
      </c>
      <c r="P960" s="4" t="str">
        <f>_xlfn.XLOOKUP(CoffeeOrderstable[[#This Row],[Customer ID]],customers!$A$1:$A$1001,customers!$I$1:$I$1001,,0)</f>
        <v>Yes</v>
      </c>
    </row>
    <row r="961" spans="1:16" x14ac:dyDescent="0.3">
      <c r="A961" s="3" t="s">
        <v>5910</v>
      </c>
      <c r="B961" s="5">
        <v>44598</v>
      </c>
      <c r="C961" s="3" t="s">
        <v>5911</v>
      </c>
      <c r="D961" s="4" t="s">
        <v>6145</v>
      </c>
      <c r="E961" s="3">
        <v>5</v>
      </c>
      <c r="F961" s="3" t="str">
        <f>_xlfn.XLOOKUP(C961,customers!$A$1:$A$1001,customers!$B$1:$B$1001,,0)</f>
        <v>Rhodie Strathern</v>
      </c>
      <c r="G961" s="3" t="str">
        <f>IF(_xlfn.XLOOKUP(C961,customers!$A$1:$A$1001,customers!$C$1:$C$1001,,0)=0,"", _xlfn.XLOOKUP(C961,customers!$A$1:$A$1001,customers!$C$1:$C$1001,,0))</f>
        <v>rstrathernqn@devhub.com</v>
      </c>
      <c r="H961" s="3" t="str">
        <f>_xlfn.XLOOKUP(C961,customers!$A$1:$A$1001,customers!$G$1:$G$1001,,0)</f>
        <v>United States</v>
      </c>
      <c r="I961" s="4" t="str">
        <f>INDEX(products!$A$1:$G$49,MATCH(orders!$D961,products!$A$1:$A$49,0),MATCH(orders!I$1,products!$A$1:$G$1,0))</f>
        <v>Lib</v>
      </c>
      <c r="J961" s="4" t="str">
        <f>INDEX(products!$A$1:$G$49,MATCH(orders!$D961,products!$A$1:$A$49,0),MATCH(orders!J$1,products!$A$1:$G$1,0))</f>
        <v>L</v>
      </c>
      <c r="K961" s="6">
        <f>INDEX(products!$A$1:$G$49,MATCH(orders!$D961,products!$A$1:$A$49,0),MATCH(orders!K$1,products!$A$1:$G$1,0))</f>
        <v>0.2</v>
      </c>
      <c r="L961" s="7">
        <f>INDEX(products!$A$1:$G$49,MATCH(orders!$D961,products!$A$1:$A$49,0),MATCH(orders!L$1,products!$A$1:$G$1,0))</f>
        <v>4.7549999999999999</v>
      </c>
      <c r="M961" s="7">
        <f t="shared" si="14"/>
        <v>23.774999999999999</v>
      </c>
      <c r="N961" s="4" t="str" cm="1">
        <f t="array" ref="N961">_xlfn.IFS(I961="Rob","Robusta",I961="Exc","Excelsa",I961="Ara","Arabica",I961="Lib","Liberica")</f>
        <v>Liberica</v>
      </c>
      <c r="O961" s="4" t="str" cm="1">
        <f t="array" ref="O961">_xlfn.IFS(J961="M","Medium",J961="L","Light",J961="D","Dark")</f>
        <v>Light</v>
      </c>
      <c r="P961" s="4" t="str">
        <f>_xlfn.XLOOKUP(CoffeeOrderstable[[#This Row],[Customer ID]],customers!$A$1:$A$1001,customers!$I$1:$I$1001,,0)</f>
        <v>Yes</v>
      </c>
    </row>
    <row r="962" spans="1:16" x14ac:dyDescent="0.3">
      <c r="A962" s="3" t="s">
        <v>5915</v>
      </c>
      <c r="B962" s="5">
        <v>44591</v>
      </c>
      <c r="C962" s="3" t="s">
        <v>5916</v>
      </c>
      <c r="D962" s="4" t="s">
        <v>6170</v>
      </c>
      <c r="E962" s="3">
        <v>5</v>
      </c>
      <c r="F962" s="3" t="str">
        <f>_xlfn.XLOOKUP(C962,customers!$A$1:$A$1001,customers!$B$1:$B$1001,,0)</f>
        <v>Chad Miguel</v>
      </c>
      <c r="G962" s="3" t="str">
        <f>IF(_xlfn.XLOOKUP(C962,customers!$A$1:$A$1001,customers!$C$1:$C$1001,,0)=0,"", _xlfn.XLOOKUP(C962,customers!$A$1:$A$1001,customers!$C$1:$C$1001,,0))</f>
        <v>cmiguelqo@exblog.jp</v>
      </c>
      <c r="H962" s="3" t="str">
        <f>_xlfn.XLOOKUP(C962,customers!$A$1:$A$1001,customers!$G$1:$G$1001,,0)</f>
        <v>United States</v>
      </c>
      <c r="I962" s="4" t="str">
        <f>INDEX(products!$A$1:$G$49,MATCH(orders!$D962,products!$A$1:$A$49,0),MATCH(orders!I$1,products!$A$1:$G$1,0))</f>
        <v>Lib</v>
      </c>
      <c r="J962" s="4" t="str">
        <f>INDEX(products!$A$1:$G$49,MATCH(orders!$D962,products!$A$1:$A$49,0),MATCH(orders!J$1,products!$A$1:$G$1,0))</f>
        <v>L</v>
      </c>
      <c r="K962" s="6">
        <f>INDEX(products!$A$1:$G$49,MATCH(orders!$D962,products!$A$1:$A$49,0),MATCH(orders!K$1,products!$A$1:$G$1,0))</f>
        <v>1</v>
      </c>
      <c r="L962" s="7">
        <f>INDEX(products!$A$1:$G$49,MATCH(orders!$D962,products!$A$1:$A$49,0),MATCH(orders!L$1,products!$A$1:$G$1,0))</f>
        <v>15.85</v>
      </c>
      <c r="M962" s="7">
        <f t="shared" si="14"/>
        <v>79.25</v>
      </c>
      <c r="N962" s="4" t="str" cm="1">
        <f t="array" ref="N962">_xlfn.IFS(I962="Rob","Robusta",I962="Exc","Excelsa",I962="Ara","Arabica",I962="Lib","Liberica")</f>
        <v>Liberica</v>
      </c>
      <c r="O962" s="4" t="str" cm="1">
        <f t="array" ref="O962">_xlfn.IFS(J962="M","Medium",J962="L","Light",J962="D","Dark")</f>
        <v>Light</v>
      </c>
      <c r="P962" s="4" t="str">
        <f>_xlfn.XLOOKUP(CoffeeOrderstable[[#This Row],[Customer ID]],customers!$A$1:$A$1001,customers!$I$1:$I$1001,,0)</f>
        <v>Yes</v>
      </c>
    </row>
    <row r="963" spans="1:16" x14ac:dyDescent="0.3">
      <c r="A963" s="3" t="s">
        <v>5921</v>
      </c>
      <c r="B963" s="5">
        <v>44158</v>
      </c>
      <c r="C963" s="3" t="s">
        <v>5922</v>
      </c>
      <c r="D963" s="4" t="s">
        <v>6168</v>
      </c>
      <c r="E963" s="3">
        <v>2</v>
      </c>
      <c r="F963" s="3" t="str">
        <f>_xlfn.XLOOKUP(C963,customers!$A$1:$A$1001,customers!$B$1:$B$1001,,0)</f>
        <v>Florinda Matusovsky</v>
      </c>
      <c r="G963" s="3" t="str">
        <f>IF(_xlfn.XLOOKUP(C963,customers!$A$1:$A$1001,customers!$C$1:$C$1001,,0)=0,"", _xlfn.XLOOKUP(C963,customers!$A$1:$A$1001,customers!$C$1:$C$1001,,0))</f>
        <v/>
      </c>
      <c r="H963" s="3" t="str">
        <f>_xlfn.XLOOKUP(C963,customers!$A$1:$A$1001,customers!$G$1:$G$1001,,0)</f>
        <v>United States</v>
      </c>
      <c r="I963" s="4" t="str">
        <f>INDEX(products!$A$1:$G$49,MATCH(orders!$D963,products!$A$1:$A$49,0),MATCH(orders!I$1,products!$A$1:$G$1,0))</f>
        <v>Ara</v>
      </c>
      <c r="J963" s="4" t="str">
        <f>INDEX(products!$A$1:$G$49,MATCH(orders!$D963,products!$A$1:$A$49,0),MATCH(orders!J$1,products!$A$1:$G$1,0))</f>
        <v>D</v>
      </c>
      <c r="K963" s="6">
        <f>INDEX(products!$A$1:$G$49,MATCH(orders!$D963,products!$A$1:$A$49,0),MATCH(orders!K$1,products!$A$1:$G$1,0))</f>
        <v>2.5</v>
      </c>
      <c r="L963" s="7">
        <f>INDEX(products!$A$1:$G$49,MATCH(orders!$D963,products!$A$1:$A$49,0),MATCH(orders!L$1,products!$A$1:$G$1,0))</f>
        <v>22.884999999999998</v>
      </c>
      <c r="M963" s="7">
        <f t="shared" ref="M963:M1001" si="15">L963*E963</f>
        <v>45.769999999999996</v>
      </c>
      <c r="N963" s="4" t="str" cm="1">
        <f t="array" ref="N963">_xlfn.IFS(I963="Rob","Robusta",I963="Exc","Excelsa",I963="Ara","Arabica",I963="Lib","Liberica")</f>
        <v>Arabica</v>
      </c>
      <c r="O963" s="4" t="str" cm="1">
        <f t="array" ref="O963">_xlfn.IFS(J963="M","Medium",J963="L","Light",J963="D","Dark")</f>
        <v>Dark</v>
      </c>
      <c r="P963" s="4" t="str">
        <f>_xlfn.XLOOKUP(CoffeeOrderstable[[#This Row],[Customer ID]],customers!$A$1:$A$1001,customers!$I$1:$I$1001,,0)</f>
        <v>Yes</v>
      </c>
    </row>
    <row r="964" spans="1:16" x14ac:dyDescent="0.3">
      <c r="A964" s="3" t="s">
        <v>5926</v>
      </c>
      <c r="B964" s="5">
        <v>44664</v>
      </c>
      <c r="C964" s="3" t="s">
        <v>5927</v>
      </c>
      <c r="D964" s="4" t="s">
        <v>6177</v>
      </c>
      <c r="E964" s="3">
        <v>1</v>
      </c>
      <c r="F964" s="3" t="str">
        <f>_xlfn.XLOOKUP(C964,customers!$A$1:$A$1001,customers!$B$1:$B$1001,,0)</f>
        <v>Morly Rocks</v>
      </c>
      <c r="G964" s="3" t="str">
        <f>IF(_xlfn.XLOOKUP(C964,customers!$A$1:$A$1001,customers!$C$1:$C$1001,,0)=0,"", _xlfn.XLOOKUP(C964,customers!$A$1:$A$1001,customers!$C$1:$C$1001,,0))</f>
        <v>mrocksqq@exblog.jp</v>
      </c>
      <c r="H964" s="3" t="str">
        <f>_xlfn.XLOOKUP(C964,customers!$A$1:$A$1001,customers!$G$1:$G$1001,,0)</f>
        <v>Ireland</v>
      </c>
      <c r="I964" s="4" t="str">
        <f>INDEX(products!$A$1:$G$49,MATCH(orders!$D964,products!$A$1:$A$49,0),MATCH(orders!I$1,products!$A$1:$G$1,0))</f>
        <v>Rob</v>
      </c>
      <c r="J964" s="4" t="str">
        <f>INDEX(products!$A$1:$G$49,MATCH(orders!$D964,products!$A$1:$A$49,0),MATCH(orders!J$1,products!$A$1:$G$1,0))</f>
        <v>D</v>
      </c>
      <c r="K964" s="6">
        <f>INDEX(products!$A$1:$G$49,MATCH(orders!$D964,products!$A$1:$A$49,0),MATCH(orders!K$1,products!$A$1:$G$1,0))</f>
        <v>1</v>
      </c>
      <c r="L964" s="7">
        <f>INDEX(products!$A$1:$G$49,MATCH(orders!$D964,products!$A$1:$A$49,0),MATCH(orders!L$1,products!$A$1:$G$1,0))</f>
        <v>8.9499999999999993</v>
      </c>
      <c r="M964" s="7">
        <f t="shared" si="15"/>
        <v>8.9499999999999993</v>
      </c>
      <c r="N964" s="4" t="str" cm="1">
        <f t="array" ref="N964">_xlfn.IFS(I964="Rob","Robusta",I964="Exc","Excelsa",I964="Ara","Arabica",I964="Lib","Liberica")</f>
        <v>Robusta</v>
      </c>
      <c r="O964" s="4" t="str" cm="1">
        <f t="array" ref="O964">_xlfn.IFS(J964="M","Medium",J964="L","Light",J964="D","Dark")</f>
        <v>Dark</v>
      </c>
      <c r="P964" s="4" t="str">
        <f>_xlfn.XLOOKUP(CoffeeOrderstable[[#This Row],[Customer ID]],customers!$A$1:$A$1001,customers!$I$1:$I$1001,,0)</f>
        <v>Yes</v>
      </c>
    </row>
    <row r="965" spans="1:16" x14ac:dyDescent="0.3">
      <c r="A965" s="3" t="s">
        <v>5932</v>
      </c>
      <c r="B965" s="5">
        <v>44203</v>
      </c>
      <c r="C965" s="3" t="s">
        <v>5933</v>
      </c>
      <c r="D965" s="4" t="s">
        <v>6146</v>
      </c>
      <c r="E965" s="3">
        <v>4</v>
      </c>
      <c r="F965" s="3" t="str">
        <f>_xlfn.XLOOKUP(C965,customers!$A$1:$A$1001,customers!$B$1:$B$1001,,0)</f>
        <v>Yuri Burrells</v>
      </c>
      <c r="G965" s="3" t="str">
        <f>IF(_xlfn.XLOOKUP(C965,customers!$A$1:$A$1001,customers!$C$1:$C$1001,,0)=0,"", _xlfn.XLOOKUP(C965,customers!$A$1:$A$1001,customers!$C$1:$C$1001,,0))</f>
        <v>yburrellsqr@vinaora.com</v>
      </c>
      <c r="H965" s="3" t="str">
        <f>_xlfn.XLOOKUP(C965,customers!$A$1:$A$1001,customers!$G$1:$G$1001,,0)</f>
        <v>United States</v>
      </c>
      <c r="I965" s="4" t="str">
        <f>INDEX(products!$A$1:$G$49,MATCH(orders!$D965,products!$A$1:$A$49,0),MATCH(orders!I$1,products!$A$1:$G$1,0))</f>
        <v>Rob</v>
      </c>
      <c r="J965" s="4" t="str">
        <f>INDEX(products!$A$1:$G$49,MATCH(orders!$D965,products!$A$1:$A$49,0),MATCH(orders!J$1,products!$A$1:$G$1,0))</f>
        <v>M</v>
      </c>
      <c r="K965" s="6">
        <f>INDEX(products!$A$1:$G$49,MATCH(orders!$D965,products!$A$1:$A$49,0),MATCH(orders!K$1,products!$A$1:$G$1,0))</f>
        <v>0.5</v>
      </c>
      <c r="L965" s="7">
        <f>INDEX(products!$A$1:$G$49,MATCH(orders!$D965,products!$A$1:$A$49,0),MATCH(orders!L$1,products!$A$1:$G$1,0))</f>
        <v>5.97</v>
      </c>
      <c r="M965" s="7">
        <f t="shared" si="15"/>
        <v>23.88</v>
      </c>
      <c r="N965" s="4" t="str" cm="1">
        <f t="array" ref="N965">_xlfn.IFS(I965="Rob","Robusta",I965="Exc","Excelsa",I965="Ara","Arabica",I965="Lib","Liberica")</f>
        <v>Robusta</v>
      </c>
      <c r="O965" s="4" t="str" cm="1">
        <f t="array" ref="O965">_xlfn.IFS(J965="M","Medium",J965="L","Light",J965="D","Dark")</f>
        <v>Medium</v>
      </c>
      <c r="P965" s="4" t="str">
        <f>_xlfn.XLOOKUP(CoffeeOrderstable[[#This Row],[Customer ID]],customers!$A$1:$A$1001,customers!$I$1:$I$1001,,0)</f>
        <v>Yes</v>
      </c>
    </row>
    <row r="966" spans="1:16" x14ac:dyDescent="0.3">
      <c r="A966" s="3" t="s">
        <v>5938</v>
      </c>
      <c r="B966" s="5">
        <v>43865</v>
      </c>
      <c r="C966" s="3" t="s">
        <v>5939</v>
      </c>
      <c r="D966" s="4" t="s">
        <v>6184</v>
      </c>
      <c r="E966" s="3">
        <v>5</v>
      </c>
      <c r="F966" s="3" t="str">
        <f>_xlfn.XLOOKUP(C966,customers!$A$1:$A$1001,customers!$B$1:$B$1001,,0)</f>
        <v>Cleopatra Goodrum</v>
      </c>
      <c r="G966" s="3" t="str">
        <f>IF(_xlfn.XLOOKUP(C966,customers!$A$1:$A$1001,customers!$C$1:$C$1001,,0)=0,"", _xlfn.XLOOKUP(C966,customers!$A$1:$A$1001,customers!$C$1:$C$1001,,0))</f>
        <v>cgoodrumqs@goodreads.com</v>
      </c>
      <c r="H966" s="3" t="str">
        <f>_xlfn.XLOOKUP(C966,customers!$A$1:$A$1001,customers!$G$1:$G$1001,,0)</f>
        <v>United States</v>
      </c>
      <c r="I966" s="4" t="str">
        <f>INDEX(products!$A$1:$G$49,MATCH(orders!$D966,products!$A$1:$A$49,0),MATCH(orders!I$1,products!$A$1:$G$1,0))</f>
        <v>Exc</v>
      </c>
      <c r="J966" s="4" t="str">
        <f>INDEX(products!$A$1:$G$49,MATCH(orders!$D966,products!$A$1:$A$49,0),MATCH(orders!J$1,products!$A$1:$G$1,0))</f>
        <v>L</v>
      </c>
      <c r="K966" s="6">
        <f>INDEX(products!$A$1:$G$49,MATCH(orders!$D966,products!$A$1:$A$49,0),MATCH(orders!K$1,products!$A$1:$G$1,0))</f>
        <v>0.2</v>
      </c>
      <c r="L966" s="7">
        <f>INDEX(products!$A$1:$G$49,MATCH(orders!$D966,products!$A$1:$A$49,0),MATCH(orders!L$1,products!$A$1:$G$1,0))</f>
        <v>4.4550000000000001</v>
      </c>
      <c r="M966" s="7">
        <f t="shared" si="15"/>
        <v>22.274999999999999</v>
      </c>
      <c r="N966" s="4" t="str" cm="1">
        <f t="array" ref="N966">_xlfn.IFS(I966="Rob","Robusta",I966="Exc","Excelsa",I966="Ara","Arabica",I966="Lib","Liberica")</f>
        <v>Excelsa</v>
      </c>
      <c r="O966" s="4" t="str" cm="1">
        <f t="array" ref="O966">_xlfn.IFS(J966="M","Medium",J966="L","Light",J966="D","Dark")</f>
        <v>Light</v>
      </c>
      <c r="P966" s="4" t="str">
        <f>_xlfn.XLOOKUP(CoffeeOrderstable[[#This Row],[Customer ID]],customers!$A$1:$A$1001,customers!$I$1:$I$1001,,0)</f>
        <v>No</v>
      </c>
    </row>
    <row r="967" spans="1:16" x14ac:dyDescent="0.3">
      <c r="A967" s="3" t="s">
        <v>5944</v>
      </c>
      <c r="B967" s="5">
        <v>43724</v>
      </c>
      <c r="C967" s="3" t="s">
        <v>5945</v>
      </c>
      <c r="D967" s="4" t="s">
        <v>6138</v>
      </c>
      <c r="E967" s="3">
        <v>3</v>
      </c>
      <c r="F967" s="3" t="str">
        <f>_xlfn.XLOOKUP(C967,customers!$A$1:$A$1001,customers!$B$1:$B$1001,,0)</f>
        <v>Joey Jefferys</v>
      </c>
      <c r="G967" s="3" t="str">
        <f>IF(_xlfn.XLOOKUP(C967,customers!$A$1:$A$1001,customers!$C$1:$C$1001,,0)=0,"", _xlfn.XLOOKUP(C967,customers!$A$1:$A$1001,customers!$C$1:$C$1001,,0))</f>
        <v>jjefferysqt@blog.com</v>
      </c>
      <c r="H967" s="3" t="str">
        <f>_xlfn.XLOOKUP(C967,customers!$A$1:$A$1001,customers!$G$1:$G$1001,,0)</f>
        <v>United States</v>
      </c>
      <c r="I967" s="4" t="str">
        <f>INDEX(products!$A$1:$G$49,MATCH(orders!$D967,products!$A$1:$A$49,0),MATCH(orders!I$1,products!$A$1:$G$1,0))</f>
        <v>Rob</v>
      </c>
      <c r="J967" s="4" t="str">
        <f>INDEX(products!$A$1:$G$49,MATCH(orders!$D967,products!$A$1:$A$49,0),MATCH(orders!J$1,products!$A$1:$G$1,0))</f>
        <v>M</v>
      </c>
      <c r="K967" s="6">
        <f>INDEX(products!$A$1:$G$49,MATCH(orders!$D967,products!$A$1:$A$49,0),MATCH(orders!K$1,products!$A$1:$G$1,0))</f>
        <v>1</v>
      </c>
      <c r="L967" s="7">
        <f>INDEX(products!$A$1:$G$49,MATCH(orders!$D967,products!$A$1:$A$49,0),MATCH(orders!L$1,products!$A$1:$G$1,0))</f>
        <v>9.9499999999999993</v>
      </c>
      <c r="M967" s="7">
        <f t="shared" si="15"/>
        <v>29.849999999999998</v>
      </c>
      <c r="N967" s="4" t="str" cm="1">
        <f t="array" ref="N967">_xlfn.IFS(I967="Rob","Robusta",I967="Exc","Excelsa",I967="Ara","Arabica",I967="Lib","Liberica")</f>
        <v>Robusta</v>
      </c>
      <c r="O967" s="4" t="str" cm="1">
        <f t="array" ref="O967">_xlfn.IFS(J967="M","Medium",J967="L","Light",J967="D","Dark")</f>
        <v>Medium</v>
      </c>
      <c r="P967" s="4" t="str">
        <f>_xlfn.XLOOKUP(CoffeeOrderstable[[#This Row],[Customer ID]],customers!$A$1:$A$1001,customers!$I$1:$I$1001,,0)</f>
        <v>Yes</v>
      </c>
    </row>
    <row r="968" spans="1:16" x14ac:dyDescent="0.3">
      <c r="A968" s="3" t="s">
        <v>5949</v>
      </c>
      <c r="B968" s="5">
        <v>43491</v>
      </c>
      <c r="C968" s="3" t="s">
        <v>5950</v>
      </c>
      <c r="D968" s="4" t="s">
        <v>6176</v>
      </c>
      <c r="E968" s="3">
        <v>6</v>
      </c>
      <c r="F968" s="3" t="str">
        <f>_xlfn.XLOOKUP(C968,customers!$A$1:$A$1001,customers!$B$1:$B$1001,,0)</f>
        <v>Bearnard Wardell</v>
      </c>
      <c r="G968" s="3" t="str">
        <f>IF(_xlfn.XLOOKUP(C968,customers!$A$1:$A$1001,customers!$C$1:$C$1001,,0)=0,"", _xlfn.XLOOKUP(C968,customers!$A$1:$A$1001,customers!$C$1:$C$1001,,0))</f>
        <v>bwardellqu@adobe.com</v>
      </c>
      <c r="H968" s="3" t="str">
        <f>_xlfn.XLOOKUP(C968,customers!$A$1:$A$1001,customers!$G$1:$G$1001,,0)</f>
        <v>United States</v>
      </c>
      <c r="I968" s="4" t="str">
        <f>INDEX(products!$A$1:$G$49,MATCH(orders!$D968,products!$A$1:$A$49,0),MATCH(orders!I$1,products!$A$1:$G$1,0))</f>
        <v>Exc</v>
      </c>
      <c r="J968" s="4" t="str">
        <f>INDEX(products!$A$1:$G$49,MATCH(orders!$D968,products!$A$1:$A$49,0),MATCH(orders!J$1,products!$A$1:$G$1,0))</f>
        <v>L</v>
      </c>
      <c r="K968" s="6">
        <f>INDEX(products!$A$1:$G$49,MATCH(orders!$D968,products!$A$1:$A$49,0),MATCH(orders!K$1,products!$A$1:$G$1,0))</f>
        <v>0.5</v>
      </c>
      <c r="L968" s="7">
        <f>INDEX(products!$A$1:$G$49,MATCH(orders!$D968,products!$A$1:$A$49,0),MATCH(orders!L$1,products!$A$1:$G$1,0))</f>
        <v>8.91</v>
      </c>
      <c r="M968" s="7">
        <f t="shared" si="15"/>
        <v>53.46</v>
      </c>
      <c r="N968" s="4" t="str" cm="1">
        <f t="array" ref="N968">_xlfn.IFS(I968="Rob","Robusta",I968="Exc","Excelsa",I968="Ara","Arabica",I968="Lib","Liberica")</f>
        <v>Excelsa</v>
      </c>
      <c r="O968" s="4" t="str" cm="1">
        <f t="array" ref="O968">_xlfn.IFS(J968="M","Medium",J968="L","Light",J968="D","Dark")</f>
        <v>Light</v>
      </c>
      <c r="P968" s="4" t="str">
        <f>_xlfn.XLOOKUP(CoffeeOrderstable[[#This Row],[Customer ID]],customers!$A$1:$A$1001,customers!$I$1:$I$1001,,0)</f>
        <v>Yes</v>
      </c>
    </row>
    <row r="969" spans="1:16" x14ac:dyDescent="0.3">
      <c r="A969" s="3" t="s">
        <v>5955</v>
      </c>
      <c r="B969" s="5">
        <v>44246</v>
      </c>
      <c r="C969" s="3" t="s">
        <v>5956</v>
      </c>
      <c r="D969" s="4" t="s">
        <v>6163</v>
      </c>
      <c r="E969" s="3">
        <v>1</v>
      </c>
      <c r="F969" s="3" t="str">
        <f>_xlfn.XLOOKUP(C969,customers!$A$1:$A$1001,customers!$B$1:$B$1001,,0)</f>
        <v>Zeke Walisiak</v>
      </c>
      <c r="G969" s="3" t="str">
        <f>IF(_xlfn.XLOOKUP(C969,customers!$A$1:$A$1001,customers!$C$1:$C$1001,,0)=0,"", _xlfn.XLOOKUP(C969,customers!$A$1:$A$1001,customers!$C$1:$C$1001,,0))</f>
        <v>zwalisiakqv@ucsd.edu</v>
      </c>
      <c r="H969" s="3" t="str">
        <f>_xlfn.XLOOKUP(C969,customers!$A$1:$A$1001,customers!$G$1:$G$1001,,0)</f>
        <v>Ireland</v>
      </c>
      <c r="I969" s="4" t="str">
        <f>INDEX(products!$A$1:$G$49,MATCH(orders!$D969,products!$A$1:$A$49,0),MATCH(orders!I$1,products!$A$1:$G$1,0))</f>
        <v>Rob</v>
      </c>
      <c r="J969" s="4" t="str">
        <f>INDEX(products!$A$1:$G$49,MATCH(orders!$D969,products!$A$1:$A$49,0),MATCH(orders!J$1,products!$A$1:$G$1,0))</f>
        <v>D</v>
      </c>
      <c r="K969" s="6">
        <f>INDEX(products!$A$1:$G$49,MATCH(orders!$D969,products!$A$1:$A$49,0),MATCH(orders!K$1,products!$A$1:$G$1,0))</f>
        <v>0.2</v>
      </c>
      <c r="L969" s="7">
        <f>INDEX(products!$A$1:$G$49,MATCH(orders!$D969,products!$A$1:$A$49,0),MATCH(orders!L$1,products!$A$1:$G$1,0))</f>
        <v>2.6849999999999996</v>
      </c>
      <c r="M969" s="7">
        <f t="shared" si="15"/>
        <v>2.6849999999999996</v>
      </c>
      <c r="N969" s="4" t="str" cm="1">
        <f t="array" ref="N969">_xlfn.IFS(I969="Rob","Robusta",I969="Exc","Excelsa",I969="Ara","Arabica",I969="Lib","Liberica")</f>
        <v>Robusta</v>
      </c>
      <c r="O969" s="4" t="str" cm="1">
        <f t="array" ref="O969">_xlfn.IFS(J969="M","Medium",J969="L","Light",J969="D","Dark")</f>
        <v>Dark</v>
      </c>
      <c r="P969" s="4" t="str">
        <f>_xlfn.XLOOKUP(CoffeeOrderstable[[#This Row],[Customer ID]],customers!$A$1:$A$1001,customers!$I$1:$I$1001,,0)</f>
        <v>Yes</v>
      </c>
    </row>
    <row r="970" spans="1:16" x14ac:dyDescent="0.3">
      <c r="A970" s="3" t="s">
        <v>5961</v>
      </c>
      <c r="B970" s="5">
        <v>44642</v>
      </c>
      <c r="C970" s="3" t="s">
        <v>5962</v>
      </c>
      <c r="D970" s="4" t="s">
        <v>6174</v>
      </c>
      <c r="E970" s="3">
        <v>2</v>
      </c>
      <c r="F970" s="3" t="str">
        <f>_xlfn.XLOOKUP(C970,customers!$A$1:$A$1001,customers!$B$1:$B$1001,,0)</f>
        <v>Wiley Leopold</v>
      </c>
      <c r="G970" s="3" t="str">
        <f>IF(_xlfn.XLOOKUP(C970,customers!$A$1:$A$1001,customers!$C$1:$C$1001,,0)=0,"", _xlfn.XLOOKUP(C970,customers!$A$1:$A$1001,customers!$C$1:$C$1001,,0))</f>
        <v>wleopoldqw@blogspot.com</v>
      </c>
      <c r="H970" s="3" t="str">
        <f>_xlfn.XLOOKUP(C970,customers!$A$1:$A$1001,customers!$G$1:$G$1001,,0)</f>
        <v>United States</v>
      </c>
      <c r="I970" s="4" t="str">
        <f>INDEX(products!$A$1:$G$49,MATCH(orders!$D970,products!$A$1:$A$49,0),MATCH(orders!I$1,products!$A$1:$G$1,0))</f>
        <v>Rob</v>
      </c>
      <c r="J970" s="4" t="str">
        <f>INDEX(products!$A$1:$G$49,MATCH(orders!$D970,products!$A$1:$A$49,0),MATCH(orders!J$1,products!$A$1:$G$1,0))</f>
        <v>M</v>
      </c>
      <c r="K970" s="6">
        <f>INDEX(products!$A$1:$G$49,MATCH(orders!$D970,products!$A$1:$A$49,0),MATCH(orders!K$1,products!$A$1:$G$1,0))</f>
        <v>0.2</v>
      </c>
      <c r="L970" s="7">
        <f>INDEX(products!$A$1:$G$49,MATCH(orders!$D970,products!$A$1:$A$49,0),MATCH(orders!L$1,products!$A$1:$G$1,0))</f>
        <v>2.9849999999999999</v>
      </c>
      <c r="M970" s="7">
        <f t="shared" si="15"/>
        <v>5.97</v>
      </c>
      <c r="N970" s="4" t="str" cm="1">
        <f t="array" ref="N970">_xlfn.IFS(I970="Rob","Robusta",I970="Exc","Excelsa",I970="Ara","Arabica",I970="Lib","Liberica")</f>
        <v>Robusta</v>
      </c>
      <c r="O970" s="4" t="str" cm="1">
        <f t="array" ref="O970">_xlfn.IFS(J970="M","Medium",J970="L","Light",J970="D","Dark")</f>
        <v>Medium</v>
      </c>
      <c r="P970" s="4" t="str">
        <f>_xlfn.XLOOKUP(CoffeeOrderstable[[#This Row],[Customer ID]],customers!$A$1:$A$1001,customers!$I$1:$I$1001,,0)</f>
        <v>No</v>
      </c>
    </row>
    <row r="971" spans="1:16" x14ac:dyDescent="0.3">
      <c r="A971" s="3" t="s">
        <v>5967</v>
      </c>
      <c r="B971" s="5">
        <v>43649</v>
      </c>
      <c r="C971" s="3" t="s">
        <v>5968</v>
      </c>
      <c r="D971" s="4" t="s">
        <v>6143</v>
      </c>
      <c r="E971" s="3">
        <v>1</v>
      </c>
      <c r="F971" s="3" t="str">
        <f>_xlfn.XLOOKUP(C971,customers!$A$1:$A$1001,customers!$B$1:$B$1001,,0)</f>
        <v>Chiarra Shalders</v>
      </c>
      <c r="G971" s="3" t="str">
        <f>IF(_xlfn.XLOOKUP(C971,customers!$A$1:$A$1001,customers!$C$1:$C$1001,,0)=0,"", _xlfn.XLOOKUP(C971,customers!$A$1:$A$1001,customers!$C$1:$C$1001,,0))</f>
        <v>cshaldersqx@cisco.com</v>
      </c>
      <c r="H971" s="3" t="str">
        <f>_xlfn.XLOOKUP(C971,customers!$A$1:$A$1001,customers!$G$1:$G$1001,,0)</f>
        <v>United States</v>
      </c>
      <c r="I971" s="4" t="str">
        <f>INDEX(products!$A$1:$G$49,MATCH(orders!$D971,products!$A$1:$A$49,0),MATCH(orders!I$1,products!$A$1:$G$1,0))</f>
        <v>Lib</v>
      </c>
      <c r="J971" s="4" t="str">
        <f>INDEX(products!$A$1:$G$49,MATCH(orders!$D971,products!$A$1:$A$49,0),MATCH(orders!J$1,products!$A$1:$G$1,0))</f>
        <v>D</v>
      </c>
      <c r="K971" s="6">
        <f>INDEX(products!$A$1:$G$49,MATCH(orders!$D971,products!$A$1:$A$49,0),MATCH(orders!K$1,products!$A$1:$G$1,0))</f>
        <v>1</v>
      </c>
      <c r="L971" s="7">
        <f>INDEX(products!$A$1:$G$49,MATCH(orders!$D971,products!$A$1:$A$49,0),MATCH(orders!L$1,products!$A$1:$G$1,0))</f>
        <v>12.95</v>
      </c>
      <c r="M971" s="7">
        <f t="shared" si="15"/>
        <v>12.95</v>
      </c>
      <c r="N971" s="4" t="str" cm="1">
        <f t="array" ref="N971">_xlfn.IFS(I971="Rob","Robusta",I971="Exc","Excelsa",I971="Ara","Arabica",I971="Lib","Liberica")</f>
        <v>Liberica</v>
      </c>
      <c r="O971" s="4" t="str" cm="1">
        <f t="array" ref="O971">_xlfn.IFS(J971="M","Medium",J971="L","Light",J971="D","Dark")</f>
        <v>Dark</v>
      </c>
      <c r="P971" s="4" t="str">
        <f>_xlfn.XLOOKUP(CoffeeOrderstable[[#This Row],[Customer ID]],customers!$A$1:$A$1001,customers!$I$1:$I$1001,,0)</f>
        <v>Yes</v>
      </c>
    </row>
    <row r="972" spans="1:16" x14ac:dyDescent="0.3">
      <c r="A972" s="3" t="s">
        <v>5973</v>
      </c>
      <c r="B972" s="5">
        <v>43729</v>
      </c>
      <c r="C972" s="3" t="s">
        <v>5974</v>
      </c>
      <c r="D972" s="4" t="s">
        <v>6139</v>
      </c>
      <c r="E972" s="3">
        <v>1</v>
      </c>
      <c r="F972" s="3" t="str">
        <f>_xlfn.XLOOKUP(C972,customers!$A$1:$A$1001,customers!$B$1:$B$1001,,0)</f>
        <v>Sharl Southerill</v>
      </c>
      <c r="G972" s="3" t="str">
        <f>IF(_xlfn.XLOOKUP(C972,customers!$A$1:$A$1001,customers!$C$1:$C$1001,,0)=0,"", _xlfn.XLOOKUP(C972,customers!$A$1:$A$1001,customers!$C$1:$C$1001,,0))</f>
        <v/>
      </c>
      <c r="H972" s="3" t="str">
        <f>_xlfn.XLOOKUP(C972,customers!$A$1:$A$1001,customers!$G$1:$G$1001,,0)</f>
        <v>United States</v>
      </c>
      <c r="I972" s="4" t="str">
        <f>INDEX(products!$A$1:$G$49,MATCH(orders!$D972,products!$A$1:$A$49,0),MATCH(orders!I$1,products!$A$1:$G$1,0))</f>
        <v>Exc</v>
      </c>
      <c r="J972" s="4" t="str">
        <f>INDEX(products!$A$1:$G$49,MATCH(orders!$D972,products!$A$1:$A$49,0),MATCH(orders!J$1,products!$A$1:$G$1,0))</f>
        <v>M</v>
      </c>
      <c r="K972" s="6">
        <f>INDEX(products!$A$1:$G$49,MATCH(orders!$D972,products!$A$1:$A$49,0),MATCH(orders!K$1,products!$A$1:$G$1,0))</f>
        <v>0.5</v>
      </c>
      <c r="L972" s="7">
        <f>INDEX(products!$A$1:$G$49,MATCH(orders!$D972,products!$A$1:$A$49,0),MATCH(orders!L$1,products!$A$1:$G$1,0))</f>
        <v>8.25</v>
      </c>
      <c r="M972" s="7">
        <f t="shared" si="15"/>
        <v>8.25</v>
      </c>
      <c r="N972" s="4" t="str" cm="1">
        <f t="array" ref="N972">_xlfn.IFS(I972="Rob","Robusta",I972="Exc","Excelsa",I972="Ara","Arabica",I972="Lib","Liberica")</f>
        <v>Excelsa</v>
      </c>
      <c r="O972" s="4" t="str" cm="1">
        <f t="array" ref="O972">_xlfn.IFS(J972="M","Medium",J972="L","Light",J972="D","Dark")</f>
        <v>Medium</v>
      </c>
      <c r="P972" s="4" t="str">
        <f>_xlfn.XLOOKUP(CoffeeOrderstable[[#This Row],[Customer ID]],customers!$A$1:$A$1001,customers!$I$1:$I$1001,,0)</f>
        <v>No</v>
      </c>
    </row>
    <row r="973" spans="1:16" x14ac:dyDescent="0.3">
      <c r="A973" s="3" t="s">
        <v>5978</v>
      </c>
      <c r="B973" s="5">
        <v>43703</v>
      </c>
      <c r="C973" s="3" t="s">
        <v>5979</v>
      </c>
      <c r="D973" s="4" t="s">
        <v>6182</v>
      </c>
      <c r="E973" s="3">
        <v>5</v>
      </c>
      <c r="F973" s="3" t="str">
        <f>_xlfn.XLOOKUP(C973,customers!$A$1:$A$1001,customers!$B$1:$B$1001,,0)</f>
        <v>Noni Furber</v>
      </c>
      <c r="G973" s="3" t="str">
        <f>IF(_xlfn.XLOOKUP(C973,customers!$A$1:$A$1001,customers!$C$1:$C$1001,,0)=0,"", _xlfn.XLOOKUP(C973,customers!$A$1:$A$1001,customers!$C$1:$C$1001,,0))</f>
        <v>nfurberqz@jugem.jp</v>
      </c>
      <c r="H973" s="3" t="str">
        <f>_xlfn.XLOOKUP(C973,customers!$A$1:$A$1001,customers!$G$1:$G$1001,,0)</f>
        <v>United States</v>
      </c>
      <c r="I973" s="4" t="str">
        <f>INDEX(products!$A$1:$G$49,MATCH(orders!$D973,products!$A$1:$A$49,0),MATCH(orders!I$1,products!$A$1:$G$1,0))</f>
        <v>Ara</v>
      </c>
      <c r="J973" s="4" t="str">
        <f>INDEX(products!$A$1:$G$49,MATCH(orders!$D973,products!$A$1:$A$49,0),MATCH(orders!J$1,products!$A$1:$G$1,0))</f>
        <v>L</v>
      </c>
      <c r="K973" s="6">
        <f>INDEX(products!$A$1:$G$49,MATCH(orders!$D973,products!$A$1:$A$49,0),MATCH(orders!K$1,products!$A$1:$G$1,0))</f>
        <v>2.5</v>
      </c>
      <c r="L973" s="7">
        <f>INDEX(products!$A$1:$G$49,MATCH(orders!$D973,products!$A$1:$A$49,0),MATCH(orders!L$1,products!$A$1:$G$1,0))</f>
        <v>29.784999999999997</v>
      </c>
      <c r="M973" s="7">
        <f t="shared" si="15"/>
        <v>148.92499999999998</v>
      </c>
      <c r="N973" s="4" t="str" cm="1">
        <f t="array" ref="N973">_xlfn.IFS(I973="Rob","Robusta",I973="Exc","Excelsa",I973="Ara","Arabica",I973="Lib","Liberica")</f>
        <v>Arabica</v>
      </c>
      <c r="O973" s="4" t="str" cm="1">
        <f t="array" ref="O973">_xlfn.IFS(J973="M","Medium",J973="L","Light",J973="D","Dark")</f>
        <v>Light</v>
      </c>
      <c r="P973" s="4" t="str">
        <f>_xlfn.XLOOKUP(CoffeeOrderstable[[#This Row],[Customer ID]],customers!$A$1:$A$1001,customers!$I$1:$I$1001,,0)</f>
        <v>No</v>
      </c>
    </row>
    <row r="974" spans="1:16" x14ac:dyDescent="0.3">
      <c r="A974" s="3" t="s">
        <v>5984</v>
      </c>
      <c r="B974" s="5">
        <v>44411</v>
      </c>
      <c r="C974" s="3" t="s">
        <v>5985</v>
      </c>
      <c r="D974" s="4" t="s">
        <v>6182</v>
      </c>
      <c r="E974" s="3">
        <v>3</v>
      </c>
      <c r="F974" s="3" t="str">
        <f>_xlfn.XLOOKUP(C974,customers!$A$1:$A$1001,customers!$B$1:$B$1001,,0)</f>
        <v>Dinah Crutcher</v>
      </c>
      <c r="G974" s="3" t="str">
        <f>IF(_xlfn.XLOOKUP(C974,customers!$A$1:$A$1001,customers!$C$1:$C$1001,,0)=0,"", _xlfn.XLOOKUP(C974,customers!$A$1:$A$1001,customers!$C$1:$C$1001,,0))</f>
        <v/>
      </c>
      <c r="H974" s="3" t="str">
        <f>_xlfn.XLOOKUP(C974,customers!$A$1:$A$1001,customers!$G$1:$G$1001,,0)</f>
        <v>Ireland</v>
      </c>
      <c r="I974" s="4" t="str">
        <f>INDEX(products!$A$1:$G$49,MATCH(orders!$D974,products!$A$1:$A$49,0),MATCH(orders!I$1,products!$A$1:$G$1,0))</f>
        <v>Ara</v>
      </c>
      <c r="J974" s="4" t="str">
        <f>INDEX(products!$A$1:$G$49,MATCH(orders!$D974,products!$A$1:$A$49,0),MATCH(orders!J$1,products!$A$1:$G$1,0))</f>
        <v>L</v>
      </c>
      <c r="K974" s="6">
        <f>INDEX(products!$A$1:$G$49,MATCH(orders!$D974,products!$A$1:$A$49,0),MATCH(orders!K$1,products!$A$1:$G$1,0))</f>
        <v>2.5</v>
      </c>
      <c r="L974" s="7">
        <f>INDEX(products!$A$1:$G$49,MATCH(orders!$D974,products!$A$1:$A$49,0),MATCH(orders!L$1,products!$A$1:$G$1,0))</f>
        <v>29.784999999999997</v>
      </c>
      <c r="M974" s="7">
        <f t="shared" si="15"/>
        <v>89.35499999999999</v>
      </c>
      <c r="N974" s="4" t="str" cm="1">
        <f t="array" ref="N974">_xlfn.IFS(I974="Rob","Robusta",I974="Exc","Excelsa",I974="Ara","Arabica",I974="Lib","Liberica")</f>
        <v>Arabica</v>
      </c>
      <c r="O974" s="4" t="str" cm="1">
        <f t="array" ref="O974">_xlfn.IFS(J974="M","Medium",J974="L","Light",J974="D","Dark")</f>
        <v>Light</v>
      </c>
      <c r="P974" s="4" t="str">
        <f>_xlfn.XLOOKUP(CoffeeOrderstable[[#This Row],[Customer ID]],customers!$A$1:$A$1001,customers!$I$1:$I$1001,,0)</f>
        <v>Yes</v>
      </c>
    </row>
    <row r="975" spans="1:16" x14ac:dyDescent="0.3">
      <c r="A975" s="3" t="s">
        <v>5989</v>
      </c>
      <c r="B975" s="5">
        <v>44493</v>
      </c>
      <c r="C975" s="3" t="s">
        <v>5990</v>
      </c>
      <c r="D975" s="4" t="s">
        <v>6162</v>
      </c>
      <c r="E975" s="3">
        <v>6</v>
      </c>
      <c r="F975" s="3" t="str">
        <f>_xlfn.XLOOKUP(C975,customers!$A$1:$A$1001,customers!$B$1:$B$1001,,0)</f>
        <v>Charlean Keave</v>
      </c>
      <c r="G975" s="3" t="str">
        <f>IF(_xlfn.XLOOKUP(C975,customers!$A$1:$A$1001,customers!$C$1:$C$1001,,0)=0,"", _xlfn.XLOOKUP(C975,customers!$A$1:$A$1001,customers!$C$1:$C$1001,,0))</f>
        <v>ckeaver1@ucoz.com</v>
      </c>
      <c r="H975" s="3" t="str">
        <f>_xlfn.XLOOKUP(C975,customers!$A$1:$A$1001,customers!$G$1:$G$1001,,0)</f>
        <v>United States</v>
      </c>
      <c r="I975" s="4" t="str">
        <f>INDEX(products!$A$1:$G$49,MATCH(orders!$D975,products!$A$1:$A$49,0),MATCH(orders!I$1,products!$A$1:$G$1,0))</f>
        <v>Lib</v>
      </c>
      <c r="J975" s="4" t="str">
        <f>INDEX(products!$A$1:$G$49,MATCH(orders!$D975,products!$A$1:$A$49,0),MATCH(orders!J$1,products!$A$1:$G$1,0))</f>
        <v>M</v>
      </c>
      <c r="K975" s="6">
        <f>INDEX(products!$A$1:$G$49,MATCH(orders!$D975,products!$A$1:$A$49,0),MATCH(orders!K$1,products!$A$1:$G$1,0))</f>
        <v>1</v>
      </c>
      <c r="L975" s="7">
        <f>INDEX(products!$A$1:$G$49,MATCH(orders!$D975,products!$A$1:$A$49,0),MATCH(orders!L$1,products!$A$1:$G$1,0))</f>
        <v>14.55</v>
      </c>
      <c r="M975" s="7">
        <f t="shared" si="15"/>
        <v>87.300000000000011</v>
      </c>
      <c r="N975" s="4" t="str" cm="1">
        <f t="array" ref="N975">_xlfn.IFS(I975="Rob","Robusta",I975="Exc","Excelsa",I975="Ara","Arabica",I975="Lib","Liberica")</f>
        <v>Liberica</v>
      </c>
      <c r="O975" s="4" t="str" cm="1">
        <f t="array" ref="O975">_xlfn.IFS(J975="M","Medium",J975="L","Light",J975="D","Dark")</f>
        <v>Medium</v>
      </c>
      <c r="P975" s="4" t="str">
        <f>_xlfn.XLOOKUP(CoffeeOrderstable[[#This Row],[Customer ID]],customers!$A$1:$A$1001,customers!$I$1:$I$1001,,0)</f>
        <v>No</v>
      </c>
    </row>
    <row r="976" spans="1:16" x14ac:dyDescent="0.3">
      <c r="A976" s="3" t="s">
        <v>5995</v>
      </c>
      <c r="B976" s="5">
        <v>43556</v>
      </c>
      <c r="C976" s="3" t="s">
        <v>5996</v>
      </c>
      <c r="D976" s="4" t="s">
        <v>6172</v>
      </c>
      <c r="E976" s="3">
        <v>1</v>
      </c>
      <c r="F976" s="3" t="str">
        <f>_xlfn.XLOOKUP(C976,customers!$A$1:$A$1001,customers!$B$1:$B$1001,,0)</f>
        <v>Sada Roseborough</v>
      </c>
      <c r="G976" s="3" t="str">
        <f>IF(_xlfn.XLOOKUP(C976,customers!$A$1:$A$1001,customers!$C$1:$C$1001,,0)=0,"", _xlfn.XLOOKUP(C976,customers!$A$1:$A$1001,customers!$C$1:$C$1001,,0))</f>
        <v>sroseboroughr2@virginia.edu</v>
      </c>
      <c r="H976" s="3" t="str">
        <f>_xlfn.XLOOKUP(C976,customers!$A$1:$A$1001,customers!$G$1:$G$1001,,0)</f>
        <v>United States</v>
      </c>
      <c r="I976" s="4" t="str">
        <f>INDEX(products!$A$1:$G$49,MATCH(orders!$D976,products!$A$1:$A$49,0),MATCH(orders!I$1,products!$A$1:$G$1,0))</f>
        <v>Rob</v>
      </c>
      <c r="J976" s="4" t="str">
        <f>INDEX(products!$A$1:$G$49,MATCH(orders!$D976,products!$A$1:$A$49,0),MATCH(orders!J$1,products!$A$1:$G$1,0))</f>
        <v>D</v>
      </c>
      <c r="K976" s="6">
        <f>INDEX(products!$A$1:$G$49,MATCH(orders!$D976,products!$A$1:$A$49,0),MATCH(orders!K$1,products!$A$1:$G$1,0))</f>
        <v>0.5</v>
      </c>
      <c r="L976" s="7">
        <f>INDEX(products!$A$1:$G$49,MATCH(orders!$D976,products!$A$1:$A$49,0),MATCH(orders!L$1,products!$A$1:$G$1,0))</f>
        <v>5.3699999999999992</v>
      </c>
      <c r="M976" s="7">
        <f t="shared" si="15"/>
        <v>5.3699999999999992</v>
      </c>
      <c r="N976" s="4" t="str" cm="1">
        <f t="array" ref="N976">_xlfn.IFS(I976="Rob","Robusta",I976="Exc","Excelsa",I976="Ara","Arabica",I976="Lib","Liberica")</f>
        <v>Robusta</v>
      </c>
      <c r="O976" s="4" t="str" cm="1">
        <f t="array" ref="O976">_xlfn.IFS(J976="M","Medium",J976="L","Light",J976="D","Dark")</f>
        <v>Dark</v>
      </c>
      <c r="P976" s="4" t="str">
        <f>_xlfn.XLOOKUP(CoffeeOrderstable[[#This Row],[Customer ID]],customers!$A$1:$A$1001,customers!$I$1:$I$1001,,0)</f>
        <v>Yes</v>
      </c>
    </row>
    <row r="977" spans="1:16" x14ac:dyDescent="0.3">
      <c r="A977" s="3" t="s">
        <v>6001</v>
      </c>
      <c r="B977" s="5">
        <v>44538</v>
      </c>
      <c r="C977" s="3" t="s">
        <v>6002</v>
      </c>
      <c r="D977" s="4" t="s">
        <v>6154</v>
      </c>
      <c r="E977" s="3">
        <v>3</v>
      </c>
      <c r="F977" s="3" t="str">
        <f>_xlfn.XLOOKUP(C977,customers!$A$1:$A$1001,customers!$B$1:$B$1001,,0)</f>
        <v>Clayton Kingwell</v>
      </c>
      <c r="G977" s="3" t="str">
        <f>IF(_xlfn.XLOOKUP(C977,customers!$A$1:$A$1001,customers!$C$1:$C$1001,,0)=0,"", _xlfn.XLOOKUP(C977,customers!$A$1:$A$1001,customers!$C$1:$C$1001,,0))</f>
        <v>ckingwellr3@squarespace.com</v>
      </c>
      <c r="H977" s="3" t="str">
        <f>_xlfn.XLOOKUP(C977,customers!$A$1:$A$1001,customers!$G$1:$G$1001,,0)</f>
        <v>Ireland</v>
      </c>
      <c r="I977" s="4" t="str">
        <f>INDEX(products!$A$1:$G$49,MATCH(orders!$D977,products!$A$1:$A$49,0),MATCH(orders!I$1,products!$A$1:$G$1,0))</f>
        <v>Ara</v>
      </c>
      <c r="J977" s="4" t="str">
        <f>INDEX(products!$A$1:$G$49,MATCH(orders!$D977,products!$A$1:$A$49,0),MATCH(orders!J$1,products!$A$1:$G$1,0))</f>
        <v>D</v>
      </c>
      <c r="K977" s="6">
        <f>INDEX(products!$A$1:$G$49,MATCH(orders!$D977,products!$A$1:$A$49,0),MATCH(orders!K$1,products!$A$1:$G$1,0))</f>
        <v>0.2</v>
      </c>
      <c r="L977" s="7">
        <f>INDEX(products!$A$1:$G$49,MATCH(orders!$D977,products!$A$1:$A$49,0),MATCH(orders!L$1,products!$A$1:$G$1,0))</f>
        <v>2.9849999999999999</v>
      </c>
      <c r="M977" s="7">
        <f t="shared" si="15"/>
        <v>8.9550000000000001</v>
      </c>
      <c r="N977" s="4" t="str" cm="1">
        <f t="array" ref="N977">_xlfn.IFS(I977="Rob","Robusta",I977="Exc","Excelsa",I977="Ara","Arabica",I977="Lib","Liberica")</f>
        <v>Arabica</v>
      </c>
      <c r="O977" s="4" t="str" cm="1">
        <f t="array" ref="O977">_xlfn.IFS(J977="M","Medium",J977="L","Light",J977="D","Dark")</f>
        <v>Dark</v>
      </c>
      <c r="P977" s="4" t="str">
        <f>_xlfn.XLOOKUP(CoffeeOrderstable[[#This Row],[Customer ID]],customers!$A$1:$A$1001,customers!$I$1:$I$1001,,0)</f>
        <v>Yes</v>
      </c>
    </row>
    <row r="978" spans="1:16" x14ac:dyDescent="0.3">
      <c r="A978" s="3" t="s">
        <v>6007</v>
      </c>
      <c r="B978" s="5">
        <v>43643</v>
      </c>
      <c r="C978" s="3" t="s">
        <v>6008</v>
      </c>
      <c r="D978" s="4" t="s">
        <v>6142</v>
      </c>
      <c r="E978" s="3">
        <v>5</v>
      </c>
      <c r="F978" s="3" t="str">
        <f>_xlfn.XLOOKUP(C978,customers!$A$1:$A$1001,customers!$B$1:$B$1001,,0)</f>
        <v>Kacy Canto</v>
      </c>
      <c r="G978" s="3" t="str">
        <f>IF(_xlfn.XLOOKUP(C978,customers!$A$1:$A$1001,customers!$C$1:$C$1001,,0)=0,"", _xlfn.XLOOKUP(C978,customers!$A$1:$A$1001,customers!$C$1:$C$1001,,0))</f>
        <v>kcantor4@gmpg.org</v>
      </c>
      <c r="H978" s="3" t="str">
        <f>_xlfn.XLOOKUP(C978,customers!$A$1:$A$1001,customers!$G$1:$G$1001,,0)</f>
        <v>United States</v>
      </c>
      <c r="I978" s="4" t="str">
        <f>INDEX(products!$A$1:$G$49,MATCH(orders!$D978,products!$A$1:$A$49,0),MATCH(orders!I$1,products!$A$1:$G$1,0))</f>
        <v>Rob</v>
      </c>
      <c r="J978" s="4" t="str">
        <f>INDEX(products!$A$1:$G$49,MATCH(orders!$D978,products!$A$1:$A$49,0),MATCH(orders!J$1,products!$A$1:$G$1,0))</f>
        <v>L</v>
      </c>
      <c r="K978" s="6">
        <f>INDEX(products!$A$1:$G$49,MATCH(orders!$D978,products!$A$1:$A$49,0),MATCH(orders!K$1,products!$A$1:$G$1,0))</f>
        <v>2.5</v>
      </c>
      <c r="L978" s="7">
        <f>INDEX(products!$A$1:$G$49,MATCH(orders!$D978,products!$A$1:$A$49,0),MATCH(orders!L$1,products!$A$1:$G$1,0))</f>
        <v>27.484999999999996</v>
      </c>
      <c r="M978" s="7">
        <f t="shared" si="15"/>
        <v>137.42499999999998</v>
      </c>
      <c r="N978" s="4" t="str" cm="1">
        <f t="array" ref="N978">_xlfn.IFS(I978="Rob","Robusta",I978="Exc","Excelsa",I978="Ara","Arabica",I978="Lib","Liberica")</f>
        <v>Robusta</v>
      </c>
      <c r="O978" s="4" t="str" cm="1">
        <f t="array" ref="O978">_xlfn.IFS(J978="M","Medium",J978="L","Light",J978="D","Dark")</f>
        <v>Light</v>
      </c>
      <c r="P978" s="4" t="str">
        <f>_xlfn.XLOOKUP(CoffeeOrderstable[[#This Row],[Customer ID]],customers!$A$1:$A$1001,customers!$I$1:$I$1001,,0)</f>
        <v>Yes</v>
      </c>
    </row>
    <row r="979" spans="1:16" x14ac:dyDescent="0.3">
      <c r="A979" s="3" t="s">
        <v>6013</v>
      </c>
      <c r="B979" s="5">
        <v>44026</v>
      </c>
      <c r="C979" s="3" t="s">
        <v>6014</v>
      </c>
      <c r="D979" s="4" t="s">
        <v>6179</v>
      </c>
      <c r="E979" s="3">
        <v>5</v>
      </c>
      <c r="F979" s="3" t="str">
        <f>_xlfn.XLOOKUP(C979,customers!$A$1:$A$1001,customers!$B$1:$B$1001,,0)</f>
        <v>Mab Blakemore</v>
      </c>
      <c r="G979" s="3" t="str">
        <f>IF(_xlfn.XLOOKUP(C979,customers!$A$1:$A$1001,customers!$C$1:$C$1001,,0)=0,"", _xlfn.XLOOKUP(C979,customers!$A$1:$A$1001,customers!$C$1:$C$1001,,0))</f>
        <v>mblakemorer5@nsw.gov.au</v>
      </c>
      <c r="H979" s="3" t="str">
        <f>_xlfn.XLOOKUP(C979,customers!$A$1:$A$1001,customers!$G$1:$G$1001,,0)</f>
        <v>United States</v>
      </c>
      <c r="I979" s="4" t="str">
        <f>INDEX(products!$A$1:$G$49,MATCH(orders!$D979,products!$A$1:$A$49,0),MATCH(orders!I$1,products!$A$1:$G$1,0))</f>
        <v>Rob</v>
      </c>
      <c r="J979" s="4" t="str">
        <f>INDEX(products!$A$1:$G$49,MATCH(orders!$D979,products!$A$1:$A$49,0),MATCH(orders!J$1,products!$A$1:$G$1,0))</f>
        <v>L</v>
      </c>
      <c r="K979" s="6">
        <f>INDEX(products!$A$1:$G$49,MATCH(orders!$D979,products!$A$1:$A$49,0),MATCH(orders!K$1,products!$A$1:$G$1,0))</f>
        <v>1</v>
      </c>
      <c r="L979" s="7">
        <f>INDEX(products!$A$1:$G$49,MATCH(orders!$D979,products!$A$1:$A$49,0),MATCH(orders!L$1,products!$A$1:$G$1,0))</f>
        <v>11.95</v>
      </c>
      <c r="M979" s="7">
        <f t="shared" si="15"/>
        <v>59.75</v>
      </c>
      <c r="N979" s="4" t="str" cm="1">
        <f t="array" ref="N979">_xlfn.IFS(I979="Rob","Robusta",I979="Exc","Excelsa",I979="Ara","Arabica",I979="Lib","Liberica")</f>
        <v>Robusta</v>
      </c>
      <c r="O979" s="4" t="str" cm="1">
        <f t="array" ref="O979">_xlfn.IFS(J979="M","Medium",J979="L","Light",J979="D","Dark")</f>
        <v>Light</v>
      </c>
      <c r="P979" s="4" t="str">
        <f>_xlfn.XLOOKUP(CoffeeOrderstable[[#This Row],[Customer ID]],customers!$A$1:$A$1001,customers!$I$1:$I$1001,,0)</f>
        <v>No</v>
      </c>
    </row>
    <row r="980" spans="1:16" x14ac:dyDescent="0.3">
      <c r="A980" s="3" t="s">
        <v>6019</v>
      </c>
      <c r="B980" s="5">
        <v>43913</v>
      </c>
      <c r="C980" s="3" t="s">
        <v>5990</v>
      </c>
      <c r="D980" s="4" t="s">
        <v>6180</v>
      </c>
      <c r="E980" s="3">
        <v>3</v>
      </c>
      <c r="F980" s="3" t="str">
        <f>_xlfn.XLOOKUP(C980,customers!$A$1:$A$1001,customers!$B$1:$B$1001,,0)</f>
        <v>Charlean Keave</v>
      </c>
      <c r="G980" s="3" t="str">
        <f>IF(_xlfn.XLOOKUP(C980,customers!$A$1:$A$1001,customers!$C$1:$C$1001,,0)=0,"", _xlfn.XLOOKUP(C980,customers!$A$1:$A$1001,customers!$C$1:$C$1001,,0))</f>
        <v>ckeaver1@ucoz.com</v>
      </c>
      <c r="H980" s="3" t="str">
        <f>_xlfn.XLOOKUP(C980,customers!$A$1:$A$1001,customers!$G$1:$G$1001,,0)</f>
        <v>United States</v>
      </c>
      <c r="I980" s="4" t="str">
        <f>INDEX(products!$A$1:$G$49,MATCH(orders!$D980,products!$A$1:$A$49,0),MATCH(orders!I$1,products!$A$1:$G$1,0))</f>
        <v>Ara</v>
      </c>
      <c r="J980" s="4" t="str">
        <f>INDEX(products!$A$1:$G$49,MATCH(orders!$D980,products!$A$1:$A$49,0),MATCH(orders!J$1,products!$A$1:$G$1,0))</f>
        <v>L</v>
      </c>
      <c r="K980" s="6">
        <f>INDEX(products!$A$1:$G$49,MATCH(orders!$D980,products!$A$1:$A$49,0),MATCH(orders!K$1,products!$A$1:$G$1,0))</f>
        <v>0.5</v>
      </c>
      <c r="L980" s="7">
        <f>INDEX(products!$A$1:$G$49,MATCH(orders!$D980,products!$A$1:$A$49,0),MATCH(orders!L$1,products!$A$1:$G$1,0))</f>
        <v>7.77</v>
      </c>
      <c r="M980" s="7">
        <f t="shared" si="15"/>
        <v>23.31</v>
      </c>
      <c r="N980" s="4" t="str" cm="1">
        <f t="array" ref="N980">_xlfn.IFS(I980="Rob","Robusta",I980="Exc","Excelsa",I980="Ara","Arabica",I980="Lib","Liberica")</f>
        <v>Arabica</v>
      </c>
      <c r="O980" s="4" t="str" cm="1">
        <f t="array" ref="O980">_xlfn.IFS(J980="M","Medium",J980="L","Light",J980="D","Dark")</f>
        <v>Light</v>
      </c>
      <c r="P980" s="4" t="str">
        <f>_xlfn.XLOOKUP(CoffeeOrderstable[[#This Row],[Customer ID]],customers!$A$1:$A$1001,customers!$I$1:$I$1001,,0)</f>
        <v>No</v>
      </c>
    </row>
    <row r="981" spans="1:16" x14ac:dyDescent="0.3">
      <c r="A981" s="3" t="s">
        <v>6025</v>
      </c>
      <c r="B981" s="5">
        <v>43856</v>
      </c>
      <c r="C981" s="3" t="s">
        <v>6026</v>
      </c>
      <c r="D981" s="4" t="s">
        <v>6172</v>
      </c>
      <c r="E981" s="3">
        <v>2</v>
      </c>
      <c r="F981" s="3" t="str">
        <f>_xlfn.XLOOKUP(C981,customers!$A$1:$A$1001,customers!$B$1:$B$1001,,0)</f>
        <v>Javier Causnett</v>
      </c>
      <c r="G981" s="3" t="str">
        <f>IF(_xlfn.XLOOKUP(C981,customers!$A$1:$A$1001,customers!$C$1:$C$1001,,0)=0,"", _xlfn.XLOOKUP(C981,customers!$A$1:$A$1001,customers!$C$1:$C$1001,,0))</f>
        <v/>
      </c>
      <c r="H981" s="3" t="str">
        <f>_xlfn.XLOOKUP(C981,customers!$A$1:$A$1001,customers!$G$1:$G$1001,,0)</f>
        <v>United States</v>
      </c>
      <c r="I981" s="4" t="str">
        <f>INDEX(products!$A$1:$G$49,MATCH(orders!$D981,products!$A$1:$A$49,0),MATCH(orders!I$1,products!$A$1:$G$1,0))</f>
        <v>Rob</v>
      </c>
      <c r="J981" s="4" t="str">
        <f>INDEX(products!$A$1:$G$49,MATCH(orders!$D981,products!$A$1:$A$49,0),MATCH(orders!J$1,products!$A$1:$G$1,0))</f>
        <v>D</v>
      </c>
      <c r="K981" s="6">
        <f>INDEX(products!$A$1:$G$49,MATCH(orders!$D981,products!$A$1:$A$49,0),MATCH(orders!K$1,products!$A$1:$G$1,0))</f>
        <v>0.5</v>
      </c>
      <c r="L981" s="7">
        <f>INDEX(products!$A$1:$G$49,MATCH(orders!$D981,products!$A$1:$A$49,0),MATCH(orders!L$1,products!$A$1:$G$1,0))</f>
        <v>5.3699999999999992</v>
      </c>
      <c r="M981" s="7">
        <f t="shared" si="15"/>
        <v>10.739999999999998</v>
      </c>
      <c r="N981" s="4" t="str" cm="1">
        <f t="array" ref="N981">_xlfn.IFS(I981="Rob","Robusta",I981="Exc","Excelsa",I981="Ara","Arabica",I981="Lib","Liberica")</f>
        <v>Robusta</v>
      </c>
      <c r="O981" s="4" t="str" cm="1">
        <f t="array" ref="O981">_xlfn.IFS(J981="M","Medium",J981="L","Light",J981="D","Dark")</f>
        <v>Dark</v>
      </c>
      <c r="P981" s="4" t="str">
        <f>_xlfn.XLOOKUP(CoffeeOrderstable[[#This Row],[Customer ID]],customers!$A$1:$A$1001,customers!$I$1:$I$1001,,0)</f>
        <v>No</v>
      </c>
    </row>
    <row r="982" spans="1:16" x14ac:dyDescent="0.3">
      <c r="A982" s="3" t="s">
        <v>6030</v>
      </c>
      <c r="B982" s="5">
        <v>43982</v>
      </c>
      <c r="C982" s="3" t="s">
        <v>6031</v>
      </c>
      <c r="D982" s="4" t="s">
        <v>6185</v>
      </c>
      <c r="E982" s="3">
        <v>6</v>
      </c>
      <c r="F982" s="3" t="str">
        <f>_xlfn.XLOOKUP(C982,customers!$A$1:$A$1001,customers!$B$1:$B$1001,,0)</f>
        <v>Demetris Micheli</v>
      </c>
      <c r="G982" s="3" t="str">
        <f>IF(_xlfn.XLOOKUP(C982,customers!$A$1:$A$1001,customers!$C$1:$C$1001,,0)=0,"", _xlfn.XLOOKUP(C982,customers!$A$1:$A$1001,customers!$C$1:$C$1001,,0))</f>
        <v/>
      </c>
      <c r="H982" s="3" t="str">
        <f>_xlfn.XLOOKUP(C982,customers!$A$1:$A$1001,customers!$G$1:$G$1001,,0)</f>
        <v>United States</v>
      </c>
      <c r="I982" s="4" t="str">
        <f>INDEX(products!$A$1:$G$49,MATCH(orders!$D982,products!$A$1:$A$49,0),MATCH(orders!I$1,products!$A$1:$G$1,0))</f>
        <v>Exc</v>
      </c>
      <c r="J982" s="4" t="str">
        <f>INDEX(products!$A$1:$G$49,MATCH(orders!$D982,products!$A$1:$A$49,0),MATCH(orders!J$1,products!$A$1:$G$1,0))</f>
        <v>D</v>
      </c>
      <c r="K982" s="6">
        <f>INDEX(products!$A$1:$G$49,MATCH(orders!$D982,products!$A$1:$A$49,0),MATCH(orders!K$1,products!$A$1:$G$1,0))</f>
        <v>2.5</v>
      </c>
      <c r="L982" s="7">
        <f>INDEX(products!$A$1:$G$49,MATCH(orders!$D982,products!$A$1:$A$49,0),MATCH(orders!L$1,products!$A$1:$G$1,0))</f>
        <v>27.945</v>
      </c>
      <c r="M982" s="7">
        <f t="shared" si="15"/>
        <v>167.67000000000002</v>
      </c>
      <c r="N982" s="4" t="str" cm="1">
        <f t="array" ref="N982">_xlfn.IFS(I982="Rob","Robusta",I982="Exc","Excelsa",I982="Ara","Arabica",I982="Lib","Liberica")</f>
        <v>Excelsa</v>
      </c>
      <c r="O982" s="4" t="str" cm="1">
        <f t="array" ref="O982">_xlfn.IFS(J982="M","Medium",J982="L","Light",J982="D","Dark")</f>
        <v>Dark</v>
      </c>
      <c r="P982" s="4" t="str">
        <f>_xlfn.XLOOKUP(CoffeeOrderstable[[#This Row],[Customer ID]],customers!$A$1:$A$1001,customers!$I$1:$I$1001,,0)</f>
        <v>Yes</v>
      </c>
    </row>
    <row r="983" spans="1:16" x14ac:dyDescent="0.3">
      <c r="A983" s="3" t="s">
        <v>6035</v>
      </c>
      <c r="B983" s="5">
        <v>44397</v>
      </c>
      <c r="C983" s="3" t="s">
        <v>6036</v>
      </c>
      <c r="D983" s="4" t="s">
        <v>6153</v>
      </c>
      <c r="E983" s="3">
        <v>6</v>
      </c>
      <c r="F983" s="3" t="str">
        <f>_xlfn.XLOOKUP(C983,customers!$A$1:$A$1001,customers!$B$1:$B$1001,,0)</f>
        <v>Chloette Bernardot</v>
      </c>
      <c r="G983" s="3" t="str">
        <f>IF(_xlfn.XLOOKUP(C983,customers!$A$1:$A$1001,customers!$C$1:$C$1001,,0)=0,"", _xlfn.XLOOKUP(C983,customers!$A$1:$A$1001,customers!$C$1:$C$1001,,0))</f>
        <v>cbernardotr9@wix.com</v>
      </c>
      <c r="H983" s="3" t="str">
        <f>_xlfn.XLOOKUP(C983,customers!$A$1:$A$1001,customers!$G$1:$G$1001,,0)</f>
        <v>United States</v>
      </c>
      <c r="I983" s="4" t="str">
        <f>INDEX(products!$A$1:$G$49,MATCH(orders!$D983,products!$A$1:$A$49,0),MATCH(orders!I$1,products!$A$1:$G$1,0))</f>
        <v>Exc</v>
      </c>
      <c r="J983" s="4" t="str">
        <f>INDEX(products!$A$1:$G$49,MATCH(orders!$D983,products!$A$1:$A$49,0),MATCH(orders!J$1,products!$A$1:$G$1,0))</f>
        <v>D</v>
      </c>
      <c r="K983" s="6">
        <f>INDEX(products!$A$1:$G$49,MATCH(orders!$D983,products!$A$1:$A$49,0),MATCH(orders!K$1,products!$A$1:$G$1,0))</f>
        <v>0.2</v>
      </c>
      <c r="L983" s="7">
        <f>INDEX(products!$A$1:$G$49,MATCH(orders!$D983,products!$A$1:$A$49,0),MATCH(orders!L$1,products!$A$1:$G$1,0))</f>
        <v>3.645</v>
      </c>
      <c r="M983" s="7">
        <f t="shared" si="15"/>
        <v>21.87</v>
      </c>
      <c r="N983" s="4" t="str" cm="1">
        <f t="array" ref="N983">_xlfn.IFS(I983="Rob","Robusta",I983="Exc","Excelsa",I983="Ara","Arabica",I983="Lib","Liberica")</f>
        <v>Excelsa</v>
      </c>
      <c r="O983" s="4" t="str" cm="1">
        <f t="array" ref="O983">_xlfn.IFS(J983="M","Medium",J983="L","Light",J983="D","Dark")</f>
        <v>Dark</v>
      </c>
      <c r="P983" s="4" t="str">
        <f>_xlfn.XLOOKUP(CoffeeOrderstable[[#This Row],[Customer ID]],customers!$A$1:$A$1001,customers!$I$1:$I$1001,,0)</f>
        <v>Yes</v>
      </c>
    </row>
    <row r="984" spans="1:16" x14ac:dyDescent="0.3">
      <c r="A984" s="3" t="s">
        <v>6041</v>
      </c>
      <c r="B984" s="5">
        <v>44785</v>
      </c>
      <c r="C984" s="3" t="s">
        <v>6042</v>
      </c>
      <c r="D984" s="4" t="s">
        <v>6179</v>
      </c>
      <c r="E984" s="3">
        <v>2</v>
      </c>
      <c r="F984" s="3" t="str">
        <f>_xlfn.XLOOKUP(C984,customers!$A$1:$A$1001,customers!$B$1:$B$1001,,0)</f>
        <v>Kim Kemery</v>
      </c>
      <c r="G984" s="3" t="str">
        <f>IF(_xlfn.XLOOKUP(C984,customers!$A$1:$A$1001,customers!$C$1:$C$1001,,0)=0,"", _xlfn.XLOOKUP(C984,customers!$A$1:$A$1001,customers!$C$1:$C$1001,,0))</f>
        <v>kkemeryra@t.co</v>
      </c>
      <c r="H984" s="3" t="str">
        <f>_xlfn.XLOOKUP(C984,customers!$A$1:$A$1001,customers!$G$1:$G$1001,,0)</f>
        <v>United States</v>
      </c>
      <c r="I984" s="4" t="str">
        <f>INDEX(products!$A$1:$G$49,MATCH(orders!$D984,products!$A$1:$A$49,0),MATCH(orders!I$1,products!$A$1:$G$1,0))</f>
        <v>Rob</v>
      </c>
      <c r="J984" s="4" t="str">
        <f>INDEX(products!$A$1:$G$49,MATCH(orders!$D984,products!$A$1:$A$49,0),MATCH(orders!J$1,products!$A$1:$G$1,0))</f>
        <v>L</v>
      </c>
      <c r="K984" s="6">
        <f>INDEX(products!$A$1:$G$49,MATCH(orders!$D984,products!$A$1:$A$49,0),MATCH(orders!K$1,products!$A$1:$G$1,0))</f>
        <v>1</v>
      </c>
      <c r="L984" s="7">
        <f>INDEX(products!$A$1:$G$49,MATCH(orders!$D984,products!$A$1:$A$49,0),MATCH(orders!L$1,products!$A$1:$G$1,0))</f>
        <v>11.95</v>
      </c>
      <c r="M984" s="7">
        <f t="shared" si="15"/>
        <v>23.9</v>
      </c>
      <c r="N984" s="4" t="str" cm="1">
        <f t="array" ref="N984">_xlfn.IFS(I984="Rob","Robusta",I984="Exc","Excelsa",I984="Ara","Arabica",I984="Lib","Liberica")</f>
        <v>Robusta</v>
      </c>
      <c r="O984" s="4" t="str" cm="1">
        <f t="array" ref="O984">_xlfn.IFS(J984="M","Medium",J984="L","Light",J984="D","Dark")</f>
        <v>Light</v>
      </c>
      <c r="P984" s="4" t="str">
        <f>_xlfn.XLOOKUP(CoffeeOrderstable[[#This Row],[Customer ID]],customers!$A$1:$A$1001,customers!$I$1:$I$1001,,0)</f>
        <v>Yes</v>
      </c>
    </row>
    <row r="985" spans="1:16" x14ac:dyDescent="0.3">
      <c r="A985" s="3" t="s">
        <v>6047</v>
      </c>
      <c r="B985" s="5">
        <v>43831</v>
      </c>
      <c r="C985" s="3" t="s">
        <v>6048</v>
      </c>
      <c r="D985" s="4" t="s">
        <v>6152</v>
      </c>
      <c r="E985" s="3">
        <v>2</v>
      </c>
      <c r="F985" s="3" t="str">
        <f>_xlfn.XLOOKUP(C985,customers!$A$1:$A$1001,customers!$B$1:$B$1001,,0)</f>
        <v>Fanchette Parlot</v>
      </c>
      <c r="G985" s="3" t="str">
        <f>IF(_xlfn.XLOOKUP(C985,customers!$A$1:$A$1001,customers!$C$1:$C$1001,,0)=0,"", _xlfn.XLOOKUP(C985,customers!$A$1:$A$1001,customers!$C$1:$C$1001,,0))</f>
        <v>fparlotrb@forbes.com</v>
      </c>
      <c r="H985" s="3" t="str">
        <f>_xlfn.XLOOKUP(C985,customers!$A$1:$A$1001,customers!$G$1:$G$1001,,0)</f>
        <v>United States</v>
      </c>
      <c r="I985" s="4" t="str">
        <f>INDEX(products!$A$1:$G$49,MATCH(orders!$D985,products!$A$1:$A$49,0),MATCH(orders!I$1,products!$A$1:$G$1,0))</f>
        <v>Ara</v>
      </c>
      <c r="J985" s="4" t="str">
        <f>INDEX(products!$A$1:$G$49,MATCH(orders!$D985,products!$A$1:$A$49,0),MATCH(orders!J$1,products!$A$1:$G$1,0))</f>
        <v>M</v>
      </c>
      <c r="K985" s="6">
        <f>INDEX(products!$A$1:$G$49,MATCH(orders!$D985,products!$A$1:$A$49,0),MATCH(orders!K$1,products!$A$1:$G$1,0))</f>
        <v>0.2</v>
      </c>
      <c r="L985" s="7">
        <f>INDEX(products!$A$1:$G$49,MATCH(orders!$D985,products!$A$1:$A$49,0),MATCH(orders!L$1,products!$A$1:$G$1,0))</f>
        <v>3.375</v>
      </c>
      <c r="M985" s="7">
        <f t="shared" si="15"/>
        <v>6.75</v>
      </c>
      <c r="N985" s="4" t="str" cm="1">
        <f t="array" ref="N985">_xlfn.IFS(I985="Rob","Robusta",I985="Exc","Excelsa",I985="Ara","Arabica",I985="Lib","Liberica")</f>
        <v>Arabica</v>
      </c>
      <c r="O985" s="4" t="str" cm="1">
        <f t="array" ref="O985">_xlfn.IFS(J985="M","Medium",J985="L","Light",J985="D","Dark")</f>
        <v>Medium</v>
      </c>
      <c r="P985" s="4" t="str">
        <f>_xlfn.XLOOKUP(CoffeeOrderstable[[#This Row],[Customer ID]],customers!$A$1:$A$1001,customers!$I$1:$I$1001,,0)</f>
        <v>Yes</v>
      </c>
    </row>
    <row r="986" spans="1:16" x14ac:dyDescent="0.3">
      <c r="A986" s="3" t="s">
        <v>6053</v>
      </c>
      <c r="B986" s="5">
        <v>44214</v>
      </c>
      <c r="C986" s="3" t="s">
        <v>6054</v>
      </c>
      <c r="D986" s="4" t="s">
        <v>6166</v>
      </c>
      <c r="E986" s="3">
        <v>1</v>
      </c>
      <c r="F986" s="3" t="str">
        <f>_xlfn.XLOOKUP(C986,customers!$A$1:$A$1001,customers!$B$1:$B$1001,,0)</f>
        <v>Ramon Cheak</v>
      </c>
      <c r="G986" s="3" t="str">
        <f>IF(_xlfn.XLOOKUP(C986,customers!$A$1:$A$1001,customers!$C$1:$C$1001,,0)=0,"", _xlfn.XLOOKUP(C986,customers!$A$1:$A$1001,customers!$C$1:$C$1001,,0))</f>
        <v>rcheakrc@tripadvisor.com</v>
      </c>
      <c r="H986" s="3" t="str">
        <f>_xlfn.XLOOKUP(C986,customers!$A$1:$A$1001,customers!$G$1:$G$1001,,0)</f>
        <v>Ireland</v>
      </c>
      <c r="I986" s="4" t="str">
        <f>INDEX(products!$A$1:$G$49,MATCH(orders!$D986,products!$A$1:$A$49,0),MATCH(orders!I$1,products!$A$1:$G$1,0))</f>
        <v>Exc</v>
      </c>
      <c r="J986" s="4" t="str">
        <f>INDEX(products!$A$1:$G$49,MATCH(orders!$D986,products!$A$1:$A$49,0),MATCH(orders!J$1,products!$A$1:$G$1,0))</f>
        <v>M</v>
      </c>
      <c r="K986" s="6">
        <f>INDEX(products!$A$1:$G$49,MATCH(orders!$D986,products!$A$1:$A$49,0),MATCH(orders!K$1,products!$A$1:$G$1,0))</f>
        <v>2.5</v>
      </c>
      <c r="L986" s="7">
        <f>INDEX(products!$A$1:$G$49,MATCH(orders!$D986,products!$A$1:$A$49,0),MATCH(orders!L$1,products!$A$1:$G$1,0))</f>
        <v>31.624999999999996</v>
      </c>
      <c r="M986" s="7">
        <f t="shared" si="15"/>
        <v>31.624999999999996</v>
      </c>
      <c r="N986" s="4" t="str" cm="1">
        <f t="array" ref="N986">_xlfn.IFS(I986="Rob","Robusta",I986="Exc","Excelsa",I986="Ara","Arabica",I986="Lib","Liberica")</f>
        <v>Excelsa</v>
      </c>
      <c r="O986" s="4" t="str" cm="1">
        <f t="array" ref="O986">_xlfn.IFS(J986="M","Medium",J986="L","Light",J986="D","Dark")</f>
        <v>Medium</v>
      </c>
      <c r="P986" s="4" t="str">
        <f>_xlfn.XLOOKUP(CoffeeOrderstable[[#This Row],[Customer ID]],customers!$A$1:$A$1001,customers!$I$1:$I$1001,,0)</f>
        <v>Yes</v>
      </c>
    </row>
    <row r="987" spans="1:16" x14ac:dyDescent="0.3">
      <c r="A987" s="3" t="s">
        <v>6058</v>
      </c>
      <c r="B987" s="5">
        <v>44561</v>
      </c>
      <c r="C987" s="3" t="s">
        <v>6059</v>
      </c>
      <c r="D987" s="4" t="s">
        <v>6179</v>
      </c>
      <c r="E987" s="3">
        <v>4</v>
      </c>
      <c r="F987" s="3" t="str">
        <f>_xlfn.XLOOKUP(C987,customers!$A$1:$A$1001,customers!$B$1:$B$1001,,0)</f>
        <v>Koressa O'Geneay</v>
      </c>
      <c r="G987" s="3" t="str">
        <f>IF(_xlfn.XLOOKUP(C987,customers!$A$1:$A$1001,customers!$C$1:$C$1001,,0)=0,"", _xlfn.XLOOKUP(C987,customers!$A$1:$A$1001,customers!$C$1:$C$1001,,0))</f>
        <v>kogeneayrd@utexas.edu</v>
      </c>
      <c r="H987" s="3" t="str">
        <f>_xlfn.XLOOKUP(C987,customers!$A$1:$A$1001,customers!$G$1:$G$1001,,0)</f>
        <v>United States</v>
      </c>
      <c r="I987" s="4" t="str">
        <f>INDEX(products!$A$1:$G$49,MATCH(orders!$D987,products!$A$1:$A$49,0),MATCH(orders!I$1,products!$A$1:$G$1,0))</f>
        <v>Rob</v>
      </c>
      <c r="J987" s="4" t="str">
        <f>INDEX(products!$A$1:$G$49,MATCH(orders!$D987,products!$A$1:$A$49,0),MATCH(orders!J$1,products!$A$1:$G$1,0))</f>
        <v>L</v>
      </c>
      <c r="K987" s="6">
        <f>INDEX(products!$A$1:$G$49,MATCH(orders!$D987,products!$A$1:$A$49,0),MATCH(orders!K$1,products!$A$1:$G$1,0))</f>
        <v>1</v>
      </c>
      <c r="L987" s="7">
        <f>INDEX(products!$A$1:$G$49,MATCH(orders!$D987,products!$A$1:$A$49,0),MATCH(orders!L$1,products!$A$1:$G$1,0))</f>
        <v>11.95</v>
      </c>
      <c r="M987" s="7">
        <f t="shared" si="15"/>
        <v>47.8</v>
      </c>
      <c r="N987" s="4" t="str" cm="1">
        <f t="array" ref="N987">_xlfn.IFS(I987="Rob","Robusta",I987="Exc","Excelsa",I987="Ara","Arabica",I987="Lib","Liberica")</f>
        <v>Robusta</v>
      </c>
      <c r="O987" s="4" t="str" cm="1">
        <f t="array" ref="O987">_xlfn.IFS(J987="M","Medium",J987="L","Light",J987="D","Dark")</f>
        <v>Light</v>
      </c>
      <c r="P987" s="4" t="str">
        <f>_xlfn.XLOOKUP(CoffeeOrderstable[[#This Row],[Customer ID]],customers!$A$1:$A$1001,customers!$I$1:$I$1001,,0)</f>
        <v>No</v>
      </c>
    </row>
    <row r="988" spans="1:16" x14ac:dyDescent="0.3">
      <c r="A988" s="3" t="s">
        <v>6064</v>
      </c>
      <c r="B988" s="5">
        <v>43955</v>
      </c>
      <c r="C988" s="3" t="s">
        <v>6065</v>
      </c>
      <c r="D988" s="4" t="s">
        <v>6181</v>
      </c>
      <c r="E988" s="3">
        <v>1</v>
      </c>
      <c r="F988" s="3" t="str">
        <f>_xlfn.XLOOKUP(C988,customers!$A$1:$A$1001,customers!$B$1:$B$1001,,0)</f>
        <v>Claudell Ayre</v>
      </c>
      <c r="G988" s="3" t="str">
        <f>IF(_xlfn.XLOOKUP(C988,customers!$A$1:$A$1001,customers!$C$1:$C$1001,,0)=0,"", _xlfn.XLOOKUP(C988,customers!$A$1:$A$1001,customers!$C$1:$C$1001,,0))</f>
        <v>cayrere@symantec.com</v>
      </c>
      <c r="H988" s="3" t="str">
        <f>_xlfn.XLOOKUP(C988,customers!$A$1:$A$1001,customers!$G$1:$G$1001,,0)</f>
        <v>United States</v>
      </c>
      <c r="I988" s="4" t="str">
        <f>INDEX(products!$A$1:$G$49,MATCH(orders!$D988,products!$A$1:$A$49,0),MATCH(orders!I$1,products!$A$1:$G$1,0))</f>
        <v>Lib</v>
      </c>
      <c r="J988" s="4" t="str">
        <f>INDEX(products!$A$1:$G$49,MATCH(orders!$D988,products!$A$1:$A$49,0),MATCH(orders!J$1,products!$A$1:$G$1,0))</f>
        <v>M</v>
      </c>
      <c r="K988" s="6">
        <f>INDEX(products!$A$1:$G$49,MATCH(orders!$D988,products!$A$1:$A$49,0),MATCH(orders!K$1,products!$A$1:$G$1,0))</f>
        <v>2.5</v>
      </c>
      <c r="L988" s="7">
        <f>INDEX(products!$A$1:$G$49,MATCH(orders!$D988,products!$A$1:$A$49,0),MATCH(orders!L$1,products!$A$1:$G$1,0))</f>
        <v>33.464999999999996</v>
      </c>
      <c r="M988" s="7">
        <f t="shared" si="15"/>
        <v>33.464999999999996</v>
      </c>
      <c r="N988" s="4" t="str" cm="1">
        <f t="array" ref="N988">_xlfn.IFS(I988="Rob","Robusta",I988="Exc","Excelsa",I988="Ara","Arabica",I988="Lib","Liberica")</f>
        <v>Liberica</v>
      </c>
      <c r="O988" s="4" t="str" cm="1">
        <f t="array" ref="O988">_xlfn.IFS(J988="M","Medium",J988="L","Light",J988="D","Dark")</f>
        <v>Medium</v>
      </c>
      <c r="P988" s="4" t="str">
        <f>_xlfn.XLOOKUP(CoffeeOrderstable[[#This Row],[Customer ID]],customers!$A$1:$A$1001,customers!$I$1:$I$1001,,0)</f>
        <v>No</v>
      </c>
    </row>
    <row r="989" spans="1:16" x14ac:dyDescent="0.3">
      <c r="A989" s="3" t="s">
        <v>6070</v>
      </c>
      <c r="B989" s="5">
        <v>44247</v>
      </c>
      <c r="C989" s="3" t="s">
        <v>6071</v>
      </c>
      <c r="D989" s="4" t="s">
        <v>6158</v>
      </c>
      <c r="E989" s="3">
        <v>5</v>
      </c>
      <c r="F989" s="3" t="str">
        <f>_xlfn.XLOOKUP(C989,customers!$A$1:$A$1001,customers!$B$1:$B$1001,,0)</f>
        <v>Lorianne Kyneton</v>
      </c>
      <c r="G989" s="3" t="str">
        <f>IF(_xlfn.XLOOKUP(C989,customers!$A$1:$A$1001,customers!$C$1:$C$1001,,0)=0,"", _xlfn.XLOOKUP(C989,customers!$A$1:$A$1001,customers!$C$1:$C$1001,,0))</f>
        <v>lkynetonrf@macromedia.com</v>
      </c>
      <c r="H989" s="3" t="str">
        <f>_xlfn.XLOOKUP(C989,customers!$A$1:$A$1001,customers!$G$1:$G$1001,,0)</f>
        <v>United Kingdom</v>
      </c>
      <c r="I989" s="4" t="str">
        <f>INDEX(products!$A$1:$G$49,MATCH(orders!$D989,products!$A$1:$A$49,0),MATCH(orders!I$1,products!$A$1:$G$1,0))</f>
        <v>Ara</v>
      </c>
      <c r="J989" s="4" t="str">
        <f>INDEX(products!$A$1:$G$49,MATCH(orders!$D989,products!$A$1:$A$49,0),MATCH(orders!J$1,products!$A$1:$G$1,0))</f>
        <v>D</v>
      </c>
      <c r="K989" s="6">
        <f>INDEX(products!$A$1:$G$49,MATCH(orders!$D989,products!$A$1:$A$49,0),MATCH(orders!K$1,products!$A$1:$G$1,0))</f>
        <v>0.5</v>
      </c>
      <c r="L989" s="7">
        <f>INDEX(products!$A$1:$G$49,MATCH(orders!$D989,products!$A$1:$A$49,0),MATCH(orders!L$1,products!$A$1:$G$1,0))</f>
        <v>5.97</v>
      </c>
      <c r="M989" s="7">
        <f t="shared" si="15"/>
        <v>29.849999999999998</v>
      </c>
      <c r="N989" s="4" t="str" cm="1">
        <f t="array" ref="N989">_xlfn.IFS(I989="Rob","Robusta",I989="Exc","Excelsa",I989="Ara","Arabica",I989="Lib","Liberica")</f>
        <v>Arabica</v>
      </c>
      <c r="O989" s="4" t="str" cm="1">
        <f t="array" ref="O989">_xlfn.IFS(J989="M","Medium",J989="L","Light",J989="D","Dark")</f>
        <v>Dark</v>
      </c>
      <c r="P989" s="4" t="str">
        <f>_xlfn.XLOOKUP(CoffeeOrderstable[[#This Row],[Customer ID]],customers!$A$1:$A$1001,customers!$I$1:$I$1001,,0)</f>
        <v>Yes</v>
      </c>
    </row>
    <row r="990" spans="1:16" x14ac:dyDescent="0.3">
      <c r="A990" s="3" t="s">
        <v>6076</v>
      </c>
      <c r="B990" s="5">
        <v>43897</v>
      </c>
      <c r="C990" s="3" t="s">
        <v>6077</v>
      </c>
      <c r="D990" s="4" t="s">
        <v>6138</v>
      </c>
      <c r="E990" s="3">
        <v>3</v>
      </c>
      <c r="F990" s="3" t="str">
        <f>_xlfn.XLOOKUP(C990,customers!$A$1:$A$1001,customers!$B$1:$B$1001,,0)</f>
        <v>Adele McFayden</v>
      </c>
      <c r="G990" s="3" t="str">
        <f>IF(_xlfn.XLOOKUP(C990,customers!$A$1:$A$1001,customers!$C$1:$C$1001,,0)=0,"", _xlfn.XLOOKUP(C990,customers!$A$1:$A$1001,customers!$C$1:$C$1001,,0))</f>
        <v/>
      </c>
      <c r="H990" s="3" t="str">
        <f>_xlfn.XLOOKUP(C990,customers!$A$1:$A$1001,customers!$G$1:$G$1001,,0)</f>
        <v>United Kingdom</v>
      </c>
      <c r="I990" s="4" t="str">
        <f>INDEX(products!$A$1:$G$49,MATCH(orders!$D990,products!$A$1:$A$49,0),MATCH(orders!I$1,products!$A$1:$G$1,0))</f>
        <v>Rob</v>
      </c>
      <c r="J990" s="4" t="str">
        <f>INDEX(products!$A$1:$G$49,MATCH(orders!$D990,products!$A$1:$A$49,0),MATCH(orders!J$1,products!$A$1:$G$1,0))</f>
        <v>M</v>
      </c>
      <c r="K990" s="6">
        <f>INDEX(products!$A$1:$G$49,MATCH(orders!$D990,products!$A$1:$A$49,0),MATCH(orders!K$1,products!$A$1:$G$1,0))</f>
        <v>1</v>
      </c>
      <c r="L990" s="7">
        <f>INDEX(products!$A$1:$G$49,MATCH(orders!$D990,products!$A$1:$A$49,0),MATCH(orders!L$1,products!$A$1:$G$1,0))</f>
        <v>9.9499999999999993</v>
      </c>
      <c r="M990" s="7">
        <f t="shared" si="15"/>
        <v>29.849999999999998</v>
      </c>
      <c r="N990" s="4" t="str" cm="1">
        <f t="array" ref="N990">_xlfn.IFS(I990="Rob","Robusta",I990="Exc","Excelsa",I990="Ara","Arabica",I990="Lib","Liberica")</f>
        <v>Robusta</v>
      </c>
      <c r="O990" s="4" t="str" cm="1">
        <f t="array" ref="O990">_xlfn.IFS(J990="M","Medium",J990="L","Light",J990="D","Dark")</f>
        <v>Medium</v>
      </c>
      <c r="P990" s="4" t="str">
        <f>_xlfn.XLOOKUP(CoffeeOrderstable[[#This Row],[Customer ID]],customers!$A$1:$A$1001,customers!$I$1:$I$1001,,0)</f>
        <v>Yes</v>
      </c>
    </row>
    <row r="991" spans="1:16" x14ac:dyDescent="0.3">
      <c r="A991" s="3" t="s">
        <v>6081</v>
      </c>
      <c r="B991" s="5">
        <v>43560</v>
      </c>
      <c r="C991" s="3" t="s">
        <v>6082</v>
      </c>
      <c r="D991" s="4" t="s">
        <v>6175</v>
      </c>
      <c r="E991" s="3">
        <v>6</v>
      </c>
      <c r="F991" s="3" t="str">
        <f>_xlfn.XLOOKUP(C991,customers!$A$1:$A$1001,customers!$B$1:$B$1001,,0)</f>
        <v>Herta Layne</v>
      </c>
      <c r="G991" s="3" t="str">
        <f>IF(_xlfn.XLOOKUP(C991,customers!$A$1:$A$1001,customers!$C$1:$C$1001,,0)=0,"", _xlfn.XLOOKUP(C991,customers!$A$1:$A$1001,customers!$C$1:$C$1001,,0))</f>
        <v/>
      </c>
      <c r="H991" s="3" t="str">
        <f>_xlfn.XLOOKUP(C991,customers!$A$1:$A$1001,customers!$G$1:$G$1001,,0)</f>
        <v>United States</v>
      </c>
      <c r="I991" s="4" t="str">
        <f>INDEX(products!$A$1:$G$49,MATCH(orders!$D991,products!$A$1:$A$49,0),MATCH(orders!I$1,products!$A$1:$G$1,0))</f>
        <v>Ara</v>
      </c>
      <c r="J991" s="4" t="str">
        <f>INDEX(products!$A$1:$G$49,MATCH(orders!$D991,products!$A$1:$A$49,0),MATCH(orders!J$1,products!$A$1:$G$1,0))</f>
        <v>M</v>
      </c>
      <c r="K991" s="6">
        <f>INDEX(products!$A$1:$G$49,MATCH(orders!$D991,products!$A$1:$A$49,0),MATCH(orders!K$1,products!$A$1:$G$1,0))</f>
        <v>2.5</v>
      </c>
      <c r="L991" s="7">
        <f>INDEX(products!$A$1:$G$49,MATCH(orders!$D991,products!$A$1:$A$49,0),MATCH(orders!L$1,products!$A$1:$G$1,0))</f>
        <v>25.874999999999996</v>
      </c>
      <c r="M991" s="7">
        <f t="shared" si="15"/>
        <v>155.24999999999997</v>
      </c>
      <c r="N991" s="4" t="str" cm="1">
        <f t="array" ref="N991">_xlfn.IFS(I991="Rob","Robusta",I991="Exc","Excelsa",I991="Ara","Arabica",I991="Lib","Liberica")</f>
        <v>Arabica</v>
      </c>
      <c r="O991" s="4" t="str" cm="1">
        <f t="array" ref="O991">_xlfn.IFS(J991="M","Medium",J991="L","Light",J991="D","Dark")</f>
        <v>Medium</v>
      </c>
      <c r="P991" s="4" t="str">
        <f>_xlfn.XLOOKUP(CoffeeOrderstable[[#This Row],[Customer ID]],customers!$A$1:$A$1001,customers!$I$1:$I$1001,,0)</f>
        <v>Yes</v>
      </c>
    </row>
    <row r="992" spans="1:16" x14ac:dyDescent="0.3">
      <c r="A992" s="3" t="s">
        <v>6086</v>
      </c>
      <c r="B992" s="5">
        <v>44718</v>
      </c>
      <c r="C992" s="3" t="s">
        <v>6118</v>
      </c>
      <c r="D992" s="4" t="s">
        <v>6153</v>
      </c>
      <c r="E992" s="3">
        <v>5</v>
      </c>
      <c r="F992" s="3" t="str">
        <f>_xlfn.XLOOKUP(C992,customers!$A$1:$A$1001,customers!$B$1:$B$1001,,0)</f>
        <v>Marguerite Graves</v>
      </c>
      <c r="G992" s="3" t="str">
        <f>IF(_xlfn.XLOOKUP(C992,customers!$A$1:$A$1001,customers!$C$1:$C$1001,,0)=0,"", _xlfn.XLOOKUP(C992,customers!$A$1:$A$1001,customers!$C$1:$C$1001,,0))</f>
        <v/>
      </c>
      <c r="H992" s="3" t="str">
        <f>_xlfn.XLOOKUP(C992,customers!$A$1:$A$1001,customers!$G$1:$G$1001,,0)</f>
        <v>United States</v>
      </c>
      <c r="I992" s="4" t="str">
        <f>INDEX(products!$A$1:$G$49,MATCH(orders!$D992,products!$A$1:$A$49,0),MATCH(orders!I$1,products!$A$1:$G$1,0))</f>
        <v>Exc</v>
      </c>
      <c r="J992" s="4" t="str">
        <f>INDEX(products!$A$1:$G$49,MATCH(orders!$D992,products!$A$1:$A$49,0),MATCH(orders!J$1,products!$A$1:$G$1,0))</f>
        <v>D</v>
      </c>
      <c r="K992" s="6">
        <f>INDEX(products!$A$1:$G$49,MATCH(orders!$D992,products!$A$1:$A$49,0),MATCH(orders!K$1,products!$A$1:$G$1,0))</f>
        <v>0.2</v>
      </c>
      <c r="L992" s="7">
        <f>INDEX(products!$A$1:$G$49,MATCH(orders!$D992,products!$A$1:$A$49,0),MATCH(orders!L$1,products!$A$1:$G$1,0))</f>
        <v>3.645</v>
      </c>
      <c r="M992" s="7">
        <f t="shared" si="15"/>
        <v>18.225000000000001</v>
      </c>
      <c r="N992" s="4" t="str" cm="1">
        <f t="array" ref="N992">_xlfn.IFS(I992="Rob","Robusta",I992="Exc","Excelsa",I992="Ara","Arabica",I992="Lib","Liberica")</f>
        <v>Excelsa</v>
      </c>
      <c r="O992" s="4" t="str" cm="1">
        <f t="array" ref="O992">_xlfn.IFS(J992="M","Medium",J992="L","Light",J992="D","Dark")</f>
        <v>Dark</v>
      </c>
      <c r="P992" s="4" t="str">
        <f>_xlfn.XLOOKUP(CoffeeOrderstable[[#This Row],[Customer ID]],customers!$A$1:$A$1001,customers!$I$1:$I$1001,,0)</f>
        <v>No</v>
      </c>
    </row>
    <row r="993" spans="1:16" x14ac:dyDescent="0.3">
      <c r="A993" s="3" t="s">
        <v>6086</v>
      </c>
      <c r="B993" s="5">
        <v>44718</v>
      </c>
      <c r="C993" s="3" t="s">
        <v>6118</v>
      </c>
      <c r="D993" s="4" t="s">
        <v>6169</v>
      </c>
      <c r="E993" s="3">
        <v>2</v>
      </c>
      <c r="F993" s="3" t="str">
        <f>_xlfn.XLOOKUP(C993,customers!$A$1:$A$1001,customers!$B$1:$B$1001,,0)</f>
        <v>Marguerite Graves</v>
      </c>
      <c r="G993" s="3" t="str">
        <f>IF(_xlfn.XLOOKUP(C993,customers!$A$1:$A$1001,customers!$C$1:$C$1001,,0)=0,"", _xlfn.XLOOKUP(C993,customers!$A$1:$A$1001,customers!$C$1:$C$1001,,0))</f>
        <v/>
      </c>
      <c r="H993" s="3" t="str">
        <f>_xlfn.XLOOKUP(C993,customers!$A$1:$A$1001,customers!$G$1:$G$1001,,0)</f>
        <v>United States</v>
      </c>
      <c r="I993" s="4" t="str">
        <f>INDEX(products!$A$1:$G$49,MATCH(orders!$D993,products!$A$1:$A$49,0),MATCH(orders!I$1,products!$A$1:$G$1,0))</f>
        <v>Lib</v>
      </c>
      <c r="J993" s="4" t="str">
        <f>INDEX(products!$A$1:$G$49,MATCH(orders!$D993,products!$A$1:$A$49,0),MATCH(orders!J$1,products!$A$1:$G$1,0))</f>
        <v>D</v>
      </c>
      <c r="K993" s="6">
        <f>INDEX(products!$A$1:$G$49,MATCH(orders!$D993,products!$A$1:$A$49,0),MATCH(orders!K$1,products!$A$1:$G$1,0))</f>
        <v>0.5</v>
      </c>
      <c r="L993" s="7">
        <f>INDEX(products!$A$1:$G$49,MATCH(orders!$D993,products!$A$1:$A$49,0),MATCH(orders!L$1,products!$A$1:$G$1,0))</f>
        <v>7.77</v>
      </c>
      <c r="M993" s="7">
        <f t="shared" si="15"/>
        <v>15.54</v>
      </c>
      <c r="N993" s="4" t="str" cm="1">
        <f t="array" ref="N993">_xlfn.IFS(I993="Rob","Robusta",I993="Exc","Excelsa",I993="Ara","Arabica",I993="Lib","Liberica")</f>
        <v>Liberica</v>
      </c>
      <c r="O993" s="4" t="str" cm="1">
        <f t="array" ref="O993">_xlfn.IFS(J993="M","Medium",J993="L","Light",J993="D","Dark")</f>
        <v>Dark</v>
      </c>
      <c r="P993" s="4" t="str">
        <f>_xlfn.XLOOKUP(CoffeeOrderstable[[#This Row],[Customer ID]],customers!$A$1:$A$1001,customers!$I$1:$I$1001,,0)</f>
        <v>No</v>
      </c>
    </row>
    <row r="994" spans="1:16" x14ac:dyDescent="0.3">
      <c r="A994" s="3" t="s">
        <v>6096</v>
      </c>
      <c r="B994" s="5">
        <v>44276</v>
      </c>
      <c r="C994" s="3" t="s">
        <v>6097</v>
      </c>
      <c r="D994" s="4" t="s">
        <v>6164</v>
      </c>
      <c r="E994" s="3">
        <v>3</v>
      </c>
      <c r="F994" s="3" t="str">
        <f>_xlfn.XLOOKUP(C994,customers!$A$1:$A$1001,customers!$B$1:$B$1001,,0)</f>
        <v>Desdemona Eye</v>
      </c>
      <c r="G994" s="3" t="str">
        <f>IF(_xlfn.XLOOKUP(C994,customers!$A$1:$A$1001,customers!$C$1:$C$1001,,0)=0,"", _xlfn.XLOOKUP(C994,customers!$A$1:$A$1001,customers!$C$1:$C$1001,,0))</f>
        <v/>
      </c>
      <c r="H994" s="3" t="str">
        <f>_xlfn.XLOOKUP(C994,customers!$A$1:$A$1001,customers!$G$1:$G$1001,,0)</f>
        <v>Ireland</v>
      </c>
      <c r="I994" s="4" t="str">
        <f>INDEX(products!$A$1:$G$49,MATCH(orders!$D994,products!$A$1:$A$49,0),MATCH(orders!I$1,products!$A$1:$G$1,0))</f>
        <v>Lib</v>
      </c>
      <c r="J994" s="4" t="str">
        <f>INDEX(products!$A$1:$G$49,MATCH(orders!$D994,products!$A$1:$A$49,0),MATCH(orders!J$1,products!$A$1:$G$1,0))</f>
        <v>L</v>
      </c>
      <c r="K994" s="6">
        <f>INDEX(products!$A$1:$G$49,MATCH(orders!$D994,products!$A$1:$A$49,0),MATCH(orders!K$1,products!$A$1:$G$1,0))</f>
        <v>2.5</v>
      </c>
      <c r="L994" s="7">
        <f>INDEX(products!$A$1:$G$49,MATCH(orders!$D994,products!$A$1:$A$49,0),MATCH(orders!L$1,products!$A$1:$G$1,0))</f>
        <v>36.454999999999998</v>
      </c>
      <c r="M994" s="7">
        <f t="shared" si="15"/>
        <v>109.36499999999999</v>
      </c>
      <c r="N994" s="4" t="str" cm="1">
        <f t="array" ref="N994">_xlfn.IFS(I994="Rob","Robusta",I994="Exc","Excelsa",I994="Ara","Arabica",I994="Lib","Liberica")</f>
        <v>Liberica</v>
      </c>
      <c r="O994" s="4" t="str" cm="1">
        <f t="array" ref="O994">_xlfn.IFS(J994="M","Medium",J994="L","Light",J994="D","Dark")</f>
        <v>Light</v>
      </c>
      <c r="P994" s="4" t="str">
        <f>_xlfn.XLOOKUP(CoffeeOrderstable[[#This Row],[Customer ID]],customers!$A$1:$A$1001,customers!$I$1:$I$1001,,0)</f>
        <v>No</v>
      </c>
    </row>
    <row r="995" spans="1:16" x14ac:dyDescent="0.3">
      <c r="A995" s="3" t="s">
        <v>6101</v>
      </c>
      <c r="B995" s="5">
        <v>44549</v>
      </c>
      <c r="C995" s="3" t="s">
        <v>6102</v>
      </c>
      <c r="D995" s="4" t="s">
        <v>6140</v>
      </c>
      <c r="E995" s="3">
        <v>6</v>
      </c>
      <c r="F995" s="3" t="str">
        <f>_xlfn.XLOOKUP(C995,customers!$A$1:$A$1001,customers!$B$1:$B$1001,,0)</f>
        <v>Margarette Sterland</v>
      </c>
      <c r="G995" s="3" t="str">
        <f>IF(_xlfn.XLOOKUP(C995,customers!$A$1:$A$1001,customers!$C$1:$C$1001,,0)=0,"", _xlfn.XLOOKUP(C995,customers!$A$1:$A$1001,customers!$C$1:$C$1001,,0))</f>
        <v/>
      </c>
      <c r="H995" s="3" t="str">
        <f>_xlfn.XLOOKUP(C995,customers!$A$1:$A$1001,customers!$G$1:$G$1001,,0)</f>
        <v>United States</v>
      </c>
      <c r="I995" s="4" t="str">
        <f>INDEX(products!$A$1:$G$49,MATCH(orders!$D995,products!$A$1:$A$49,0),MATCH(orders!I$1,products!$A$1:$G$1,0))</f>
        <v>Ara</v>
      </c>
      <c r="J995" s="4" t="str">
        <f>INDEX(products!$A$1:$G$49,MATCH(orders!$D995,products!$A$1:$A$49,0),MATCH(orders!J$1,products!$A$1:$G$1,0))</f>
        <v>L</v>
      </c>
      <c r="K995" s="6">
        <f>INDEX(products!$A$1:$G$49,MATCH(orders!$D995,products!$A$1:$A$49,0),MATCH(orders!K$1,products!$A$1:$G$1,0))</f>
        <v>1</v>
      </c>
      <c r="L995" s="7">
        <f>INDEX(products!$A$1:$G$49,MATCH(orders!$D995,products!$A$1:$A$49,0),MATCH(orders!L$1,products!$A$1:$G$1,0))</f>
        <v>12.95</v>
      </c>
      <c r="M995" s="7">
        <f t="shared" si="15"/>
        <v>77.699999999999989</v>
      </c>
      <c r="N995" s="4" t="str" cm="1">
        <f t="array" ref="N995">_xlfn.IFS(I995="Rob","Robusta",I995="Exc","Excelsa",I995="Ara","Arabica",I995="Lib","Liberica")</f>
        <v>Arabica</v>
      </c>
      <c r="O995" s="4" t="str" cm="1">
        <f t="array" ref="O995">_xlfn.IFS(J995="M","Medium",J995="L","Light",J995="D","Dark")</f>
        <v>Light</v>
      </c>
      <c r="P995" s="4" t="str">
        <f>_xlfn.XLOOKUP(CoffeeOrderstable[[#This Row],[Customer ID]],customers!$A$1:$A$1001,customers!$I$1:$I$1001,,0)</f>
        <v>No</v>
      </c>
    </row>
    <row r="996" spans="1:16" x14ac:dyDescent="0.3">
      <c r="A996" s="3" t="s">
        <v>6106</v>
      </c>
      <c r="B996" s="5">
        <v>44244</v>
      </c>
      <c r="C996" s="3" t="s">
        <v>6107</v>
      </c>
      <c r="D996" s="4" t="s">
        <v>6154</v>
      </c>
      <c r="E996" s="3">
        <v>3</v>
      </c>
      <c r="F996" s="3" t="str">
        <f>_xlfn.XLOOKUP(C996,customers!$A$1:$A$1001,customers!$B$1:$B$1001,,0)</f>
        <v>Catharine Scoines</v>
      </c>
      <c r="G996" s="3" t="str">
        <f>IF(_xlfn.XLOOKUP(C996,customers!$A$1:$A$1001,customers!$C$1:$C$1001,,0)=0,"", _xlfn.XLOOKUP(C996,customers!$A$1:$A$1001,customers!$C$1:$C$1001,,0))</f>
        <v/>
      </c>
      <c r="H996" s="3" t="str">
        <f>_xlfn.XLOOKUP(C996,customers!$A$1:$A$1001,customers!$G$1:$G$1001,,0)</f>
        <v>Ireland</v>
      </c>
      <c r="I996" s="4" t="str">
        <f>INDEX(products!$A$1:$G$49,MATCH(orders!$D996,products!$A$1:$A$49,0),MATCH(orders!I$1,products!$A$1:$G$1,0))</f>
        <v>Ara</v>
      </c>
      <c r="J996" s="4" t="str">
        <f>INDEX(products!$A$1:$G$49,MATCH(orders!$D996,products!$A$1:$A$49,0),MATCH(orders!J$1,products!$A$1:$G$1,0))</f>
        <v>D</v>
      </c>
      <c r="K996" s="6">
        <f>INDEX(products!$A$1:$G$49,MATCH(orders!$D996,products!$A$1:$A$49,0),MATCH(orders!K$1,products!$A$1:$G$1,0))</f>
        <v>0.2</v>
      </c>
      <c r="L996" s="7">
        <f>INDEX(products!$A$1:$G$49,MATCH(orders!$D996,products!$A$1:$A$49,0),MATCH(orders!L$1,products!$A$1:$G$1,0))</f>
        <v>2.9849999999999999</v>
      </c>
      <c r="M996" s="7">
        <f t="shared" si="15"/>
        <v>8.9550000000000001</v>
      </c>
      <c r="N996" s="4" t="str" cm="1">
        <f t="array" ref="N996">_xlfn.IFS(I996="Rob","Robusta",I996="Exc","Excelsa",I996="Ara","Arabica",I996="Lib","Liberica")</f>
        <v>Arabica</v>
      </c>
      <c r="O996" s="4" t="str" cm="1">
        <f t="array" ref="O996">_xlfn.IFS(J996="M","Medium",J996="L","Light",J996="D","Dark")</f>
        <v>Dark</v>
      </c>
      <c r="P996" s="4" t="str">
        <f>_xlfn.XLOOKUP(CoffeeOrderstable[[#This Row],[Customer ID]],customers!$A$1:$A$1001,customers!$I$1:$I$1001,,0)</f>
        <v>No</v>
      </c>
    </row>
    <row r="997" spans="1:16" x14ac:dyDescent="0.3">
      <c r="A997" s="3" t="s">
        <v>6111</v>
      </c>
      <c r="B997" s="5">
        <v>43836</v>
      </c>
      <c r="C997" s="3" t="s">
        <v>6112</v>
      </c>
      <c r="D997" s="4" t="s">
        <v>6142</v>
      </c>
      <c r="E997" s="3">
        <v>1</v>
      </c>
      <c r="F997" s="3" t="str">
        <f>_xlfn.XLOOKUP(C997,customers!$A$1:$A$1001,customers!$B$1:$B$1001,,0)</f>
        <v>Jennica Tewelson</v>
      </c>
      <c r="G997" s="3" t="str">
        <f>IF(_xlfn.XLOOKUP(C997,customers!$A$1:$A$1001,customers!$C$1:$C$1001,,0)=0,"", _xlfn.XLOOKUP(C997,customers!$A$1:$A$1001,customers!$C$1:$C$1001,,0))</f>
        <v>jtewelsonrn@samsung.com</v>
      </c>
      <c r="H997" s="3" t="str">
        <f>_xlfn.XLOOKUP(C997,customers!$A$1:$A$1001,customers!$G$1:$G$1001,,0)</f>
        <v>United States</v>
      </c>
      <c r="I997" s="4" t="str">
        <f>INDEX(products!$A$1:$G$49,MATCH(orders!$D997,products!$A$1:$A$49,0),MATCH(orders!I$1,products!$A$1:$G$1,0))</f>
        <v>Rob</v>
      </c>
      <c r="J997" s="4" t="str">
        <f>INDEX(products!$A$1:$G$49,MATCH(orders!$D997,products!$A$1:$A$49,0),MATCH(orders!J$1,products!$A$1:$G$1,0))</f>
        <v>L</v>
      </c>
      <c r="K997" s="6">
        <f>INDEX(products!$A$1:$G$49,MATCH(orders!$D997,products!$A$1:$A$49,0),MATCH(orders!K$1,products!$A$1:$G$1,0))</f>
        <v>2.5</v>
      </c>
      <c r="L997" s="7">
        <f>INDEX(products!$A$1:$G$49,MATCH(orders!$D997,products!$A$1:$A$49,0),MATCH(orders!L$1,products!$A$1:$G$1,0))</f>
        <v>27.484999999999996</v>
      </c>
      <c r="M997" s="7">
        <f t="shared" si="15"/>
        <v>27.484999999999996</v>
      </c>
      <c r="N997" s="4" t="str" cm="1">
        <f t="array" ref="N997">_xlfn.IFS(I997="Rob","Robusta",I997="Exc","Excelsa",I997="Ara","Arabica",I997="Lib","Liberica")</f>
        <v>Robusta</v>
      </c>
      <c r="O997" s="4" t="str" cm="1">
        <f t="array" ref="O997">_xlfn.IFS(J997="M","Medium",J997="L","Light",J997="D","Dark")</f>
        <v>Light</v>
      </c>
      <c r="P997" s="4" t="str">
        <f>_xlfn.XLOOKUP(CoffeeOrderstable[[#This Row],[Customer ID]],customers!$A$1:$A$1001,customers!$I$1:$I$1001,,0)</f>
        <v>No</v>
      </c>
    </row>
    <row r="998" spans="1:16" x14ac:dyDescent="0.3">
      <c r="A998" s="3" t="s">
        <v>6117</v>
      </c>
      <c r="B998" s="5">
        <v>44685</v>
      </c>
      <c r="C998" s="3" t="s">
        <v>6118</v>
      </c>
      <c r="D998" s="4" t="s">
        <v>6146</v>
      </c>
      <c r="E998" s="3">
        <v>5</v>
      </c>
      <c r="F998" s="3" t="str">
        <f>_xlfn.XLOOKUP(C998,customers!$A$1:$A$1001,customers!$B$1:$B$1001,,0)</f>
        <v>Marguerite Graves</v>
      </c>
      <c r="G998" s="3" t="str">
        <f>IF(_xlfn.XLOOKUP(C998,customers!$A$1:$A$1001,customers!$C$1:$C$1001,,0)=0,"", _xlfn.XLOOKUP(C998,customers!$A$1:$A$1001,customers!$C$1:$C$1001,,0))</f>
        <v/>
      </c>
      <c r="H998" s="3" t="str">
        <f>_xlfn.XLOOKUP(C998,customers!$A$1:$A$1001,customers!$G$1:$G$1001,,0)</f>
        <v>United States</v>
      </c>
      <c r="I998" s="4" t="str">
        <f>INDEX(products!$A$1:$G$49,MATCH(orders!$D998,products!$A$1:$A$49,0),MATCH(orders!I$1,products!$A$1:$G$1,0))</f>
        <v>Rob</v>
      </c>
      <c r="J998" s="4" t="str">
        <f>INDEX(products!$A$1:$G$49,MATCH(orders!$D998,products!$A$1:$A$49,0),MATCH(orders!J$1,products!$A$1:$G$1,0))</f>
        <v>M</v>
      </c>
      <c r="K998" s="6">
        <f>INDEX(products!$A$1:$G$49,MATCH(orders!$D998,products!$A$1:$A$49,0),MATCH(orders!K$1,products!$A$1:$G$1,0))</f>
        <v>0.5</v>
      </c>
      <c r="L998" s="7">
        <f>INDEX(products!$A$1:$G$49,MATCH(orders!$D998,products!$A$1:$A$49,0),MATCH(orders!L$1,products!$A$1:$G$1,0))</f>
        <v>5.97</v>
      </c>
      <c r="M998" s="7">
        <f t="shared" si="15"/>
        <v>29.849999999999998</v>
      </c>
      <c r="N998" s="4" t="str" cm="1">
        <f t="array" ref="N998">_xlfn.IFS(I998="Rob","Robusta",I998="Exc","Excelsa",I998="Ara","Arabica",I998="Lib","Liberica")</f>
        <v>Robusta</v>
      </c>
      <c r="O998" s="4" t="str" cm="1">
        <f t="array" ref="O998">_xlfn.IFS(J998="M","Medium",J998="L","Light",J998="D","Dark")</f>
        <v>Medium</v>
      </c>
      <c r="P998" s="4" t="str">
        <f>_xlfn.XLOOKUP(CoffeeOrderstable[[#This Row],[Customer ID]],customers!$A$1:$A$1001,customers!$I$1:$I$1001,,0)</f>
        <v>No</v>
      </c>
    </row>
    <row r="999" spans="1:16" x14ac:dyDescent="0.3">
      <c r="A999" s="3" t="s">
        <v>6122</v>
      </c>
      <c r="B999" s="5">
        <v>43749</v>
      </c>
      <c r="C999" s="3" t="s">
        <v>6118</v>
      </c>
      <c r="D999" s="4" t="s">
        <v>6157</v>
      </c>
      <c r="E999" s="3">
        <v>4</v>
      </c>
      <c r="F999" s="3" t="str">
        <f>_xlfn.XLOOKUP(C999,customers!$A$1:$A$1001,customers!$B$1:$B$1001,,0)</f>
        <v>Marguerite Graves</v>
      </c>
      <c r="G999" s="3" t="str">
        <f>IF(_xlfn.XLOOKUP(C999,customers!$A$1:$A$1001,customers!$C$1:$C$1001,,0)=0,"", _xlfn.XLOOKUP(C999,customers!$A$1:$A$1001,customers!$C$1:$C$1001,,0))</f>
        <v/>
      </c>
      <c r="H999" s="3" t="str">
        <f>_xlfn.XLOOKUP(C999,customers!$A$1:$A$1001,customers!$G$1:$G$1001,,0)</f>
        <v>United States</v>
      </c>
      <c r="I999" s="4" t="str">
        <f>INDEX(products!$A$1:$G$49,MATCH(orders!$D999,products!$A$1:$A$49,0),MATCH(orders!I$1,products!$A$1:$G$1,0))</f>
        <v>Ara</v>
      </c>
      <c r="J999" s="4" t="str">
        <f>INDEX(products!$A$1:$G$49,MATCH(orders!$D999,products!$A$1:$A$49,0),MATCH(orders!J$1,products!$A$1:$G$1,0))</f>
        <v>M</v>
      </c>
      <c r="K999" s="6">
        <f>INDEX(products!$A$1:$G$49,MATCH(orders!$D999,products!$A$1:$A$49,0),MATCH(orders!K$1,products!$A$1:$G$1,0))</f>
        <v>0.5</v>
      </c>
      <c r="L999" s="7">
        <f>INDEX(products!$A$1:$G$49,MATCH(orders!$D999,products!$A$1:$A$49,0),MATCH(orders!L$1,products!$A$1:$G$1,0))</f>
        <v>6.75</v>
      </c>
      <c r="M999" s="7">
        <f t="shared" si="15"/>
        <v>27</v>
      </c>
      <c r="N999" s="4" t="str" cm="1">
        <f t="array" ref="N999">_xlfn.IFS(I999="Rob","Robusta",I999="Exc","Excelsa",I999="Ara","Arabica",I999="Lib","Liberica")</f>
        <v>Arabica</v>
      </c>
      <c r="O999" s="4" t="str" cm="1">
        <f t="array" ref="O999">_xlfn.IFS(J999="M","Medium",J999="L","Light",J999="D","Dark")</f>
        <v>Medium</v>
      </c>
      <c r="P999" s="4" t="str">
        <f>_xlfn.XLOOKUP(CoffeeOrderstable[[#This Row],[Customer ID]],customers!$A$1:$A$1001,customers!$I$1:$I$1001,,0)</f>
        <v>No</v>
      </c>
    </row>
    <row r="1000" spans="1:16" x14ac:dyDescent="0.3">
      <c r="A1000" s="3" t="s">
        <v>6127</v>
      </c>
      <c r="B1000" s="5">
        <v>44411</v>
      </c>
      <c r="C1000" s="3" t="s">
        <v>6128</v>
      </c>
      <c r="D1000" s="4" t="s">
        <v>6147</v>
      </c>
      <c r="E1000" s="3">
        <v>1</v>
      </c>
      <c r="F1000" s="3" t="str">
        <f>_xlfn.XLOOKUP(C1000,customers!$A$1:$A$1001,customers!$B$1:$B$1001,,0)</f>
        <v>Nicolina Jenny</v>
      </c>
      <c r="G1000" s="3" t="str">
        <f>IF(_xlfn.XLOOKUP(C1000,customers!$A$1:$A$1001,customers!$C$1:$C$1001,,0)=0,"", _xlfn.XLOOKUP(C1000,customers!$A$1:$A$1001,customers!$C$1:$C$1001,,0))</f>
        <v>njennyrq@bigcartel.com</v>
      </c>
      <c r="H1000" s="3" t="str">
        <f>_xlfn.XLOOKUP(C1000,customers!$A$1:$A$1001,customers!$G$1:$G$1001,,0)</f>
        <v>United States</v>
      </c>
      <c r="I1000" s="4" t="str">
        <f>INDEX(products!$A$1:$G$49,MATCH(orders!$D1000,products!$A$1:$A$49,0),MATCH(orders!I$1,products!$A$1:$G$1,0))</f>
        <v>Ara</v>
      </c>
      <c r="J1000" s="4" t="str">
        <f>INDEX(products!$A$1:$G$49,MATCH(orders!$D1000,products!$A$1:$A$49,0),MATCH(orders!J$1,products!$A$1:$G$1,0))</f>
        <v>D</v>
      </c>
      <c r="K1000" s="6">
        <f>INDEX(products!$A$1:$G$49,MATCH(orders!$D1000,products!$A$1:$A$49,0),MATCH(orders!K$1,products!$A$1:$G$1,0))</f>
        <v>1</v>
      </c>
      <c r="L1000" s="7">
        <f>INDEX(products!$A$1:$G$49,MATCH(orders!$D1000,products!$A$1:$A$49,0),MATCH(orders!L$1,products!$A$1:$G$1,0))</f>
        <v>9.9499999999999993</v>
      </c>
      <c r="M1000" s="7">
        <f t="shared" si="15"/>
        <v>9.9499999999999993</v>
      </c>
      <c r="N1000" s="4" t="str" cm="1">
        <f t="array" ref="N1000">_xlfn.IFS(I1000="Rob","Robusta",I1000="Exc","Excelsa",I1000="Ara","Arabica",I1000="Lib","Liberica")</f>
        <v>Arabica</v>
      </c>
      <c r="O1000" s="4" t="str" cm="1">
        <f t="array" ref="O1000">_xlfn.IFS(J1000="M","Medium",J1000="L","Light",J1000="D","Dark")</f>
        <v>Dark</v>
      </c>
      <c r="P1000" s="4" t="str">
        <f>_xlfn.XLOOKUP(CoffeeOrderstable[[#This Row],[Customer ID]],customers!$A$1:$A$1001,customers!$I$1:$I$1001,,0)</f>
        <v>No</v>
      </c>
    </row>
    <row r="1001" spans="1:16" x14ac:dyDescent="0.3">
      <c r="A1001" s="3" t="s">
        <v>6133</v>
      </c>
      <c r="B1001" s="5">
        <v>44119</v>
      </c>
      <c r="C1001" s="3" t="s">
        <v>6134</v>
      </c>
      <c r="D1001" s="4" t="s">
        <v>6156</v>
      </c>
      <c r="E1001" s="3">
        <v>3</v>
      </c>
      <c r="F1001" s="3" t="str">
        <f>_xlfn.XLOOKUP(C1001,customers!$A$1:$A$1001,customers!$B$1:$B$1001,,0)</f>
        <v>Vidovic Antonelli</v>
      </c>
      <c r="G1001" s="3" t="str">
        <f>IF(_xlfn.XLOOKUP(C1001,customers!$A$1:$A$1001,customers!$C$1:$C$1001,,0)=0,"", _xlfn.XLOOKUP(C1001,customers!$A$1:$A$1001,customers!$C$1:$C$1001,,0))</f>
        <v/>
      </c>
      <c r="H1001" s="3" t="str">
        <f>_xlfn.XLOOKUP(C1001,customers!$A$1:$A$1001,customers!$G$1:$G$1001,,0)</f>
        <v>United Kingdom</v>
      </c>
      <c r="I1001" s="4" t="str">
        <f>INDEX(products!$A$1:$G$49,MATCH(orders!$D1001,products!$A$1:$A$49,0),MATCH(orders!I$1,products!$A$1:$G$1,0))</f>
        <v>Exc</v>
      </c>
      <c r="J1001" s="4" t="str">
        <f>INDEX(products!$A$1:$G$49,MATCH(orders!$D1001,products!$A$1:$A$49,0),MATCH(orders!J$1,products!$A$1:$G$1,0))</f>
        <v>M</v>
      </c>
      <c r="K1001" s="6">
        <f>INDEX(products!$A$1:$G$49,MATCH(orders!$D1001,products!$A$1:$A$49,0),MATCH(orders!K$1,products!$A$1:$G$1,0))</f>
        <v>0.2</v>
      </c>
      <c r="L1001" s="7">
        <f>INDEX(products!$A$1:$G$49,MATCH(orders!$D1001,products!$A$1:$A$49,0),MATCH(orders!L$1,products!$A$1:$G$1,0))</f>
        <v>4.125</v>
      </c>
      <c r="M1001" s="7">
        <f t="shared" si="15"/>
        <v>12.375</v>
      </c>
      <c r="N1001" s="4" t="str" cm="1">
        <f t="array" ref="N1001">_xlfn.IFS(I1001="Rob","Robusta",I1001="Exc","Excelsa",I1001="Ara","Arabica",I1001="Lib","Liberica")</f>
        <v>Excelsa</v>
      </c>
      <c r="O1001" s="4" t="str" cm="1">
        <f t="array" ref="O1001">_xlfn.IFS(J1001="M","Medium",J1001="L","Light",J1001="D","Dark")</f>
        <v>Medium</v>
      </c>
      <c r="P1001" s="4" t="str">
        <f>_xlfn.XLOOKUP(CoffeeOrderstable[[#This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zoomScale="78" workbookViewId="0">
      <selection activeCell="L12" sqref="L1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Total_sales</vt:lpstr>
      <vt:lpstr>Country bar chart</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Anushka</dc:creator>
  <cp:keywords/>
  <dc:description/>
  <cp:lastModifiedBy>Anushka Aggarwal</cp:lastModifiedBy>
  <cp:revision/>
  <cp:lastPrinted>2026-08-12T11:06:16Z</cp:lastPrinted>
  <dcterms:created xsi:type="dcterms:W3CDTF">2022-11-26T09:51:45Z</dcterms:created>
  <dcterms:modified xsi:type="dcterms:W3CDTF">2026-08-12T11:11:04Z</dcterms:modified>
  <cp:category/>
  <cp:contentStatus/>
</cp:coreProperties>
</file>